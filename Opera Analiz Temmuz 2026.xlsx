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804" tabRatio="600" firstSheet="0" activeTab="0" autoFilterDateGrouping="1"/>
  </bookViews>
  <sheets>
    <sheet name="Aylık Rapor" sheetId="1" state="visible" r:id="rId1"/>
    <sheet name="Günlük Rapor" sheetId="2" state="visible" r:id="rId2"/>
    <sheet name="GES Üretim" sheetId="3" state="visible" r:id="rId3"/>
    <sheet name="Opera Aylık Analiz" sheetId="4" state="visible" r:id="rId4"/>
    <sheet name="Opera Günlük Analiz" sheetId="5" state="visible" r:id="rId5"/>
    <sheet name="Opera Enerji Veri" sheetId="6" state="visible" r:id="rId6"/>
  </sheets>
  <externalReferences>
    <externalReference r:id="rId7"/>
  </externalReferences>
  <definedNames/>
  <calcPr calcId="191028" fullCalcOnLoad="1"/>
</workbook>
</file>

<file path=xl/styles.xml><?xml version="1.0" encoding="utf-8"?>
<styleSheet xmlns="http://schemas.openxmlformats.org/spreadsheetml/2006/main">
  <numFmts count="10">
    <numFmt numFmtId="164" formatCode="d/m/yyyy\ hh:mm;@"/>
    <numFmt numFmtId="165" formatCode="_-* #,##0.00_-;\-* #,##0.00_-;_-* &quot;-&quot;??_-;_-@_-"/>
    <numFmt numFmtId="166" formatCode="#,##0.00_ ;[Red]\-#,##0.00\ "/>
    <numFmt numFmtId="167" formatCode="[$-41F]mmmm\ yy;@"/>
    <numFmt numFmtId="168" formatCode="dd\.mm\.yyyy"/>
    <numFmt numFmtId="169" formatCode="#,##0_ ;[Red]\-#,##0\ "/>
    <numFmt numFmtId="170" formatCode="_-* #,##0_-;\-* #,##0_-;_-* &quot;-&quot;??_-;_-@_-"/>
    <numFmt numFmtId="171" formatCode="0.0%"/>
    <numFmt numFmtId="172" formatCode="_-[$$-409]* #,##0.00_ ;_-[$$-409]* \-#,##0.00\ ;_-[$$-409]* &quot;-&quot;??_ ;_-@_ "/>
    <numFmt numFmtId="173" formatCode="_-[$₺-41F]* #,##0.00_-;\-[$₺-41F]* #,##0.00_-;_-[$₺-41F]* &quot;-&quot;??_-;_-@_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0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b val="1"/>
      <i val="1"/>
      <color theme="0"/>
      <sz val="11"/>
      <scheme val="minor"/>
    </font>
    <font>
      <name val="Calibri"/>
      <charset val="162"/>
      <family val="2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charset val="162"/>
      <family val="2"/>
      <b val="1"/>
      <i val="1"/>
      <color rgb="FFFF0000"/>
      <sz val="11"/>
      <scheme val="minor"/>
    </font>
    <font>
      <name val="Calibri"/>
      <family val="2"/>
      <b val="1"/>
      <color theme="1" tint="0.0499893185216834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i val="1"/>
      <color rgb="FFFF0000"/>
      <sz val="11"/>
      <scheme val="minor"/>
    </font>
    <font>
      <name val="Calibri"/>
      <charset val="162"/>
      <family val="2"/>
      <b val="1"/>
      <color theme="1"/>
      <sz val="13"/>
      <scheme val="minor"/>
    </font>
    <font>
      <name val="Calibri"/>
      <charset val="162"/>
      <family val="2"/>
      <b val="1"/>
      <color theme="0"/>
      <sz val="13"/>
      <scheme val="minor"/>
    </font>
  </fonts>
  <fills count="22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1" fillId="0" borderId="0"/>
    <xf numFmtId="43" fontId="1" fillId="0" borderId="0"/>
    <xf numFmtId="9" fontId="1" fillId="0" borderId="0"/>
    <xf numFmtId="0" fontId="5" fillId="0" borderId="0"/>
    <xf numFmtId="43" fontId="1" fillId="0" borderId="0"/>
    <xf numFmtId="0" fontId="12" fillId="0" borderId="0"/>
  </cellStyleXfs>
  <cellXfs count="230">
    <xf numFmtId="0" fontId="0" fillId="0" borderId="0" pivotButton="0" quotePrefix="0" xfId="0"/>
    <xf numFmtId="40" fontId="0" fillId="0" borderId="0" pivotButton="0" quotePrefix="0" xfId="1"/>
    <xf numFmtId="40" fontId="2" fillId="2" borderId="0" applyAlignment="1" pivotButton="0" quotePrefix="0" xfId="1">
      <alignment horizontal="center" vertical="center" wrapText="1"/>
    </xf>
    <xf numFmtId="40" fontId="0" fillId="0" borderId="0" applyAlignment="1" pivotButton="0" quotePrefix="0" xfId="1">
      <alignment horizontal="center" vertical="center" wrapText="1"/>
    </xf>
    <xf numFmtId="164" fontId="0" fillId="0" borderId="0" pivotButton="0" quotePrefix="0" xfId="1"/>
    <xf numFmtId="164" fontId="2" fillId="2" borderId="0" applyAlignment="1" pivotButton="0" quotePrefix="0" xfId="1">
      <alignment horizontal="center" vertical="center" wrapText="1"/>
    </xf>
    <xf numFmtId="14" fontId="0" fillId="0" borderId="0" pivotButton="0" quotePrefix="0" xfId="1"/>
    <xf numFmtId="0" fontId="0" fillId="0" borderId="0" pivotButton="0" quotePrefix="0" xfId="1"/>
    <xf numFmtId="40" fontId="2" fillId="4" borderId="0" applyAlignment="1" pivotButton="0" quotePrefix="0" xfId="1">
      <alignment horizontal="center" vertical="center" wrapText="1"/>
    </xf>
    <xf numFmtId="0" fontId="3" fillId="0" borderId="0" pivotButton="0" quotePrefix="0" xfId="0"/>
    <xf numFmtId="165" fontId="0" fillId="0" borderId="0" pivotButton="0" quotePrefix="0" xfId="1"/>
    <xf numFmtId="40" fontId="3" fillId="6" borderId="1" applyAlignment="1" pivotButton="0" quotePrefix="0" xfId="1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40" fontId="3" fillId="7" borderId="1" applyAlignment="1" pivotButton="0" quotePrefix="0" xfId="1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40" fontId="2" fillId="9" borderId="1" applyAlignment="1" pivotButton="0" quotePrefix="0" xfId="1">
      <alignment horizontal="center" vertical="center" wrapText="1"/>
    </xf>
    <xf numFmtId="165" fontId="2" fillId="9" borderId="1" applyAlignment="1" pivotButton="0" quotePrefix="0" xfId="1">
      <alignment horizontal="center" vertical="center" wrapText="1"/>
    </xf>
    <xf numFmtId="14" fontId="0" fillId="0" borderId="1" pivotButton="0" quotePrefix="0" xfId="1"/>
    <xf numFmtId="166" fontId="0" fillId="0" borderId="1" pivotButton="0" quotePrefix="0" xfId="1"/>
    <xf numFmtId="14" fontId="0" fillId="0" borderId="0" pivotButton="0" quotePrefix="0" xfId="0"/>
    <xf numFmtId="14" fontId="2" fillId="9" borderId="1" applyAlignment="1" pivotButton="0" quotePrefix="0" xfId="0">
      <alignment horizontal="center" vertical="center"/>
    </xf>
    <xf numFmtId="167" fontId="0" fillId="0" borderId="1" pivotButton="0" quotePrefix="0" xfId="1"/>
    <xf numFmtId="166" fontId="0" fillId="5" borderId="1" pivotButton="0" quotePrefix="0" xfId="1"/>
    <xf numFmtId="10" fontId="0" fillId="0" borderId="0" pivotButton="0" quotePrefix="0" xfId="2"/>
    <xf numFmtId="40" fontId="3" fillId="3" borderId="1" applyAlignment="1" pivotButton="0" quotePrefix="0" xfId="1">
      <alignment horizontal="center" vertical="center" wrapText="1"/>
    </xf>
    <xf numFmtId="40" fontId="3" fillId="10" borderId="1" applyAlignment="1" pivotButton="0" quotePrefix="0" xfId="1">
      <alignment horizontal="center" vertical="center" wrapText="1"/>
    </xf>
    <xf numFmtId="40" fontId="3" fillId="6" borderId="1" applyAlignment="1" pivotButton="0" quotePrefix="0" xfId="1">
      <alignment horizontal="center"/>
    </xf>
    <xf numFmtId="10" fontId="0" fillId="0" borderId="1" pivotButton="0" quotePrefix="0" xfId="2"/>
    <xf numFmtId="40" fontId="3" fillId="7" borderId="0" applyAlignment="1" pivotButton="0" quotePrefix="0" xfId="1">
      <alignment horizontal="center"/>
    </xf>
    <xf numFmtId="168" fontId="0" fillId="0" borderId="0" pivotButton="0" quotePrefix="0" xfId="0"/>
    <xf numFmtId="4" fontId="0" fillId="0" borderId="0" pivotButton="0" quotePrefix="0" xfId="0"/>
    <xf numFmtId="40" fontId="2" fillId="11" borderId="0" applyAlignment="1" pivotButton="0" quotePrefix="0" xfId="1">
      <alignment horizontal="center" vertical="center" wrapText="1"/>
    </xf>
    <xf numFmtId="40" fontId="2" fillId="12" borderId="0" applyAlignment="1" pivotButton="0" quotePrefix="0" xfId="1">
      <alignment horizontal="center" vertical="center" wrapText="1"/>
    </xf>
    <xf numFmtId="40" fontId="0" fillId="5" borderId="0" pivotButton="0" quotePrefix="0" xfId="1"/>
    <xf numFmtId="40" fontId="0" fillId="0" borderId="0" pivotButton="0" quotePrefix="0" xfId="1"/>
    <xf numFmtId="14" fontId="0" fillId="0" borderId="0" pivotButton="0" quotePrefix="0" xfId="1"/>
    <xf numFmtId="0" fontId="0" fillId="0" borderId="0" pivotButton="0" quotePrefix="0" xfId="1"/>
    <xf numFmtId="165" fontId="2" fillId="2" borderId="0" applyAlignment="1" pivotButton="0" quotePrefix="0" xfId="1">
      <alignment horizontal="center" vertical="center" wrapText="1"/>
    </xf>
    <xf numFmtId="2" fontId="2" fillId="11" borderId="0" applyAlignment="1" pivotButton="0" quotePrefix="0" xfId="1">
      <alignment horizontal="center" vertical="center" wrapText="1"/>
    </xf>
    <xf numFmtId="2" fontId="0" fillId="0" borderId="0" pivotButton="0" quotePrefix="0" xfId="0"/>
    <xf numFmtId="2" fontId="0" fillId="0" borderId="0" pivotButton="0" quotePrefix="0" xfId="1"/>
    <xf numFmtId="166" fontId="0" fillId="0" borderId="1" pivotButton="0" quotePrefix="0" xfId="1"/>
    <xf numFmtId="0" fontId="0" fillId="0" borderId="0" applyAlignment="1" pivotButton="0" quotePrefix="0" xfId="0">
      <alignment horizontal="center" vertical="center"/>
    </xf>
    <xf numFmtId="9" fontId="0" fillId="0" borderId="0" pivotButton="0" quotePrefix="0" xfId="2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1">
      <alignment horizontal="right"/>
    </xf>
    <xf numFmtId="9" fontId="3" fillId="0" borderId="0" applyAlignment="1" pivotButton="0" quotePrefix="0" xfId="2">
      <alignment horizontal="right"/>
    </xf>
    <xf numFmtId="9" fontId="3" fillId="0" borderId="0" applyAlignment="1" pivotButton="0" quotePrefix="0" xfId="2">
      <alignment horizontal="center" vertical="center" wrapText="1"/>
    </xf>
    <xf numFmtId="40" fontId="3" fillId="0" borderId="0" applyAlignment="1" pivotButton="0" quotePrefix="0" xfId="0">
      <alignment horizontal="center" vertical="center"/>
    </xf>
    <xf numFmtId="9" fontId="3" fillId="0" borderId="0" applyAlignment="1" pivotButton="0" quotePrefix="0" xfId="2">
      <alignment horizontal="center" vertical="center"/>
    </xf>
    <xf numFmtId="165" fontId="3" fillId="0" borderId="0" applyAlignment="1" pivotButton="0" quotePrefix="0" xfId="1">
      <alignment vertical="center"/>
    </xf>
    <xf numFmtId="9" fontId="3" fillId="0" borderId="0" applyAlignment="1" pivotButton="0" quotePrefix="0" xfId="2">
      <alignment vertical="center"/>
    </xf>
    <xf numFmtId="1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14" fontId="6" fillId="4" borderId="4" applyAlignment="1" pivotButton="0" quotePrefix="0" xfId="0">
      <alignment horizontal="center" vertical="center" wrapText="1"/>
    </xf>
    <xf numFmtId="40" fontId="2" fillId="4" borderId="4" applyAlignment="1" pivotButton="0" quotePrefix="0" xfId="1">
      <alignment horizontal="center" vertical="center" wrapText="1"/>
    </xf>
    <xf numFmtId="0" fontId="2" fillId="13" borderId="4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40" fontId="6" fillId="8" borderId="4" applyAlignment="1" pivotButton="0" quotePrefix="0" xfId="1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14" fontId="7" fillId="4" borderId="4" pivotButton="0" quotePrefix="0" xfId="1"/>
    <xf numFmtId="0" fontId="2" fillId="14" borderId="4" applyAlignment="1" pivotButton="0" quotePrefix="0" xfId="0">
      <alignment horizontal="center" vertical="center" wrapText="1"/>
    </xf>
    <xf numFmtId="166" fontId="0" fillId="0" borderId="4" applyAlignment="1" pivotButton="0" quotePrefix="0" xfId="1">
      <alignment horizontal="right" vertical="center"/>
    </xf>
    <xf numFmtId="10" fontId="0" fillId="0" borderId="4" applyAlignment="1" pivotButton="0" quotePrefix="0" xfId="2">
      <alignment horizontal="right" vertical="center"/>
    </xf>
    <xf numFmtId="166" fontId="0" fillId="15" borderId="4" applyAlignment="1" pivotButton="0" quotePrefix="0" xfId="1">
      <alignment horizontal="right" vertical="center"/>
    </xf>
    <xf numFmtId="10" fontId="0" fillId="15" borderId="4" applyAlignment="1" pivotButton="0" quotePrefix="0" xfId="2">
      <alignment horizontal="right" vertical="center"/>
    </xf>
    <xf numFmtId="166" fontId="1" fillId="15" borderId="4" applyAlignment="1" pivotButton="0" quotePrefix="0" xfId="1">
      <alignment horizontal="right" vertical="center"/>
    </xf>
    <xf numFmtId="166" fontId="1" fillId="0" borderId="4" applyAlignment="1" pivotButton="0" quotePrefix="0" xfId="1">
      <alignment horizontal="right" vertical="center"/>
    </xf>
    <xf numFmtId="166" fontId="1" fillId="16" borderId="4" applyAlignment="1" pivotButton="0" quotePrefix="0" xfId="1">
      <alignment horizontal="right" vertical="center"/>
    </xf>
    <xf numFmtId="9" fontId="0" fillId="0" borderId="4" applyAlignment="1" pivotButton="0" quotePrefix="0" xfId="2">
      <alignment horizontal="right" vertical="center"/>
    </xf>
    <xf numFmtId="9" fontId="0" fillId="15" borderId="4" applyAlignment="1" pivotButton="0" quotePrefix="0" xfId="2">
      <alignment horizontal="right" vertical="center"/>
    </xf>
    <xf numFmtId="9" fontId="1" fillId="15" borderId="4" applyAlignment="1" pivotButton="0" quotePrefix="0" xfId="2">
      <alignment horizontal="right" vertical="center"/>
    </xf>
    <xf numFmtId="9" fontId="1" fillId="0" borderId="4" applyAlignment="1" pivotButton="0" quotePrefix="0" xfId="2">
      <alignment horizontal="right" vertical="center"/>
    </xf>
    <xf numFmtId="9" fontId="1" fillId="16" borderId="4" applyAlignment="1" pivotButton="0" quotePrefix="0" xfId="2">
      <alignment horizontal="right" vertical="center"/>
    </xf>
    <xf numFmtId="40" fontId="3" fillId="0" borderId="0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10" fontId="0" fillId="0" borderId="3" pivotButton="0" quotePrefix="0" xfId="2"/>
    <xf numFmtId="9" fontId="0" fillId="0" borderId="0" applyAlignment="1" pivotButton="0" quotePrefix="0" xfId="2">
      <alignment horizontal="center" vertical="center"/>
    </xf>
    <xf numFmtId="0" fontId="2" fillId="0" borderId="0" applyAlignment="1" pivotButton="0" quotePrefix="0" xfId="0">
      <alignment horizontal="center"/>
    </xf>
    <xf numFmtId="9" fontId="0" fillId="0" borderId="0" pivotButton="0" quotePrefix="0" xfId="2"/>
    <xf numFmtId="165" fontId="9" fillId="5" borderId="0" pivotButton="0" quotePrefix="0" xfId="1"/>
    <xf numFmtId="165" fontId="9" fillId="5" borderId="0" applyAlignment="1" pivotButton="0" quotePrefix="0" xfId="1">
      <alignment horizontal="center" vertical="center"/>
    </xf>
    <xf numFmtId="10" fontId="9" fillId="5" borderId="0" applyAlignment="1" pivotButton="0" quotePrefix="0" xfId="2">
      <alignment horizontal="center" vertical="center"/>
    </xf>
    <xf numFmtId="165" fontId="9" fillId="5" borderId="0" pivotButton="0" quotePrefix="0" xfId="1"/>
    <xf numFmtId="10" fontId="9" fillId="5" borderId="0" pivotButton="0" quotePrefix="0" xfId="2"/>
    <xf numFmtId="9" fontId="9" fillId="5" borderId="0" pivotButton="0" quotePrefix="0" xfId="2"/>
    <xf numFmtId="169" fontId="0" fillId="0" borderId="4" applyAlignment="1" pivotButton="0" quotePrefix="0" xfId="1">
      <alignment horizontal="right" vertical="center"/>
    </xf>
    <xf numFmtId="169" fontId="0" fillId="15" borderId="4" applyAlignment="1" pivotButton="0" quotePrefix="0" xfId="1">
      <alignment horizontal="right" vertical="center"/>
    </xf>
    <xf numFmtId="169" fontId="1" fillId="15" borderId="4" applyAlignment="1" pivotButton="0" quotePrefix="0" xfId="1">
      <alignment horizontal="right" vertical="center"/>
    </xf>
    <xf numFmtId="169" fontId="1" fillId="0" borderId="4" applyAlignment="1" pivotButton="0" quotePrefix="0" xfId="1">
      <alignment horizontal="right" vertical="center"/>
    </xf>
    <xf numFmtId="169" fontId="1" fillId="16" borderId="4" applyAlignment="1" pivotButton="0" quotePrefix="0" xfId="1">
      <alignment horizontal="right" vertical="center"/>
    </xf>
    <xf numFmtId="170" fontId="3" fillId="0" borderId="0" applyAlignment="1" pivotButton="0" quotePrefix="0" xfId="1">
      <alignment vertical="center"/>
    </xf>
    <xf numFmtId="170" fontId="3" fillId="0" borderId="0" applyAlignment="1" pivotButton="0" quotePrefix="0" xfId="1">
      <alignment horizontal="right"/>
    </xf>
    <xf numFmtId="169" fontId="9" fillId="5" borderId="0" pivotButton="0" quotePrefix="0" xfId="1"/>
    <xf numFmtId="9" fontId="0" fillId="0" borderId="1" pivotButton="0" quotePrefix="0" xfId="2"/>
    <xf numFmtId="40" fontId="10" fillId="8" borderId="1" applyAlignment="1" pivotButton="0" quotePrefix="0" xfId="1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71" fontId="0" fillId="0" borderId="1" pivotButton="0" quotePrefix="0" xfId="0"/>
    <xf numFmtId="40" fontId="3" fillId="3" borderId="1" applyAlignment="1" pivotButton="0" quotePrefix="0" xfId="1">
      <alignment horizontal="center"/>
    </xf>
    <xf numFmtId="9" fontId="3" fillId="6" borderId="1" applyAlignment="1" pivotButton="0" quotePrefix="0" xfId="2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166" fontId="3" fillId="18" borderId="1" applyAlignment="1" pivotButton="0" quotePrefix="0" xfId="1">
      <alignment horizontal="center" vertical="center" wrapText="1"/>
    </xf>
    <xf numFmtId="170" fontId="0" fillId="0" borderId="3" pivotButton="0" quotePrefix="0" xfId="1"/>
    <xf numFmtId="170" fontId="0" fillId="0" borderId="1" pivotButton="0" quotePrefix="0" xfId="1"/>
    <xf numFmtId="1" fontId="3" fillId="6" borderId="1" applyAlignment="1" pivotButton="0" quotePrefix="0" xfId="1">
      <alignment horizontal="center"/>
    </xf>
    <xf numFmtId="1" fontId="3" fillId="6" borderId="1" applyAlignment="1" pivotButton="0" quotePrefix="0" xfId="0">
      <alignment horizontal="center" vertical="center" wrapText="1"/>
    </xf>
    <xf numFmtId="1" fontId="0" fillId="0" borderId="1" pivotButton="0" quotePrefix="0" xfId="1"/>
    <xf numFmtId="1" fontId="0" fillId="0" borderId="0" pivotButton="0" quotePrefix="0" xfId="0"/>
    <xf numFmtId="1" fontId="3" fillId="7" borderId="0" applyAlignment="1" pivotButton="0" quotePrefix="0" xfId="1">
      <alignment horizontal="center"/>
    </xf>
    <xf numFmtId="1" fontId="3" fillId="7" borderId="1" applyAlignment="1" pivotButton="0" quotePrefix="0" xfId="1">
      <alignment horizontal="center" vertical="center" wrapText="1"/>
    </xf>
    <xf numFmtId="1" fontId="0" fillId="0" borderId="0" pivotButton="0" quotePrefix="0" xfId="1"/>
    <xf numFmtId="170" fontId="9" fillId="5" borderId="0" pivotButton="0" quotePrefix="0" xfId="1"/>
    <xf numFmtId="170" fontId="9" fillId="5" borderId="0" applyAlignment="1" pivotButton="0" quotePrefix="0" xfId="1">
      <alignment horizontal="center" vertical="center"/>
    </xf>
    <xf numFmtId="170" fontId="9" fillId="5" borderId="0" pivotButton="0" quotePrefix="0" xfId="1"/>
    <xf numFmtId="40" fontId="1" fillId="5" borderId="0" pivotButton="0" quotePrefix="0" xfId="1"/>
    <xf numFmtId="40" fontId="11" fillId="5" borderId="0" applyAlignment="1" pivotButton="0" quotePrefix="0" xfId="1">
      <alignment horizontal="center" vertical="center" wrapText="1"/>
    </xf>
    <xf numFmtId="4" fontId="1" fillId="5" borderId="0" pivotButton="0" quotePrefix="0" xfId="0"/>
    <xf numFmtId="166" fontId="3" fillId="0" borderId="0" applyAlignment="1" pivotButton="0" quotePrefix="0" xfId="1">
      <alignment horizontal="right"/>
    </xf>
    <xf numFmtId="166" fontId="3" fillId="0" borderId="0" applyAlignment="1" pivotButton="0" quotePrefix="0" xfId="0">
      <alignment horizontal="right"/>
    </xf>
    <xf numFmtId="166" fontId="3" fillId="0" borderId="0" applyAlignment="1" pivotButton="0" quotePrefix="0" xfId="2">
      <alignment horizontal="right"/>
    </xf>
    <xf numFmtId="10" fontId="3" fillId="0" borderId="0" applyAlignment="1" pivotButton="0" quotePrefix="0" xfId="2">
      <alignment horizontal="right"/>
    </xf>
    <xf numFmtId="171" fontId="0" fillId="0" borderId="0" pivotButton="0" quotePrefix="0" xfId="0"/>
    <xf numFmtId="167" fontId="7" fillId="4" borderId="4" pivotButton="0" quotePrefix="0" xfId="4"/>
    <xf numFmtId="40" fontId="3" fillId="0" borderId="0" applyAlignment="1" pivotButton="0" quotePrefix="0" xfId="0">
      <alignment horizontal="right" vertical="center"/>
    </xf>
    <xf numFmtId="40" fontId="2" fillId="17" borderId="0" applyAlignment="1" pivotButton="0" quotePrefix="0" xfId="1">
      <alignment horizontal="center" vertical="center" wrapText="1"/>
    </xf>
    <xf numFmtId="2" fontId="2" fillId="17" borderId="0" applyAlignment="1" pivotButton="0" quotePrefix="0" xfId="1">
      <alignment horizontal="center" vertical="center" wrapText="1"/>
    </xf>
    <xf numFmtId="169" fontId="0" fillId="19" borderId="4" applyAlignment="1" pivotButton="0" quotePrefix="0" xfId="4">
      <alignment horizontal="right" vertical="center"/>
    </xf>
    <xf numFmtId="166" fontId="0" fillId="19" borderId="4" applyAlignment="1" pivotButton="0" quotePrefix="0" xfId="4">
      <alignment horizontal="right" vertical="center"/>
    </xf>
    <xf numFmtId="10" fontId="0" fillId="19" borderId="4" applyAlignment="1" pivotButton="0" quotePrefix="0" xfId="2">
      <alignment horizontal="right" vertical="center"/>
    </xf>
    <xf numFmtId="9" fontId="0" fillId="19" borderId="4" applyAlignment="1" pivotButton="0" quotePrefix="0" xfId="2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40" fontId="3" fillId="0" borderId="0" applyAlignment="1" pivotButton="0" quotePrefix="0" xfId="0">
      <alignment horizontal="right" vertical="center" wrapText="1"/>
    </xf>
    <xf numFmtId="171" fontId="3" fillId="6" borderId="1" applyAlignment="1" pivotButton="0" quotePrefix="0" xfId="2">
      <alignment horizontal="center"/>
    </xf>
    <xf numFmtId="171" fontId="3" fillId="6" borderId="1" applyAlignment="1" pivotButton="0" quotePrefix="0" xfId="2">
      <alignment horizontal="center" vertical="center" wrapText="1"/>
    </xf>
    <xf numFmtId="171" fontId="0" fillId="0" borderId="0" pivotButton="0" quotePrefix="0" xfId="2"/>
    <xf numFmtId="171" fontId="0" fillId="0" borderId="1" pivotButton="0" quotePrefix="0" xfId="2"/>
    <xf numFmtId="10" fontId="9" fillId="5" borderId="0" applyAlignment="1" pivotButton="0" quotePrefix="0" xfId="1">
      <alignment horizontal="center" vertical="center"/>
    </xf>
    <xf numFmtId="10" fontId="0" fillId="5" borderId="1" pivotButton="0" quotePrefix="0" xfId="2"/>
    <xf numFmtId="10" fontId="0" fillId="5" borderId="3" pivotButton="0" quotePrefix="0" xfId="2"/>
    <xf numFmtId="10" fontId="9" fillId="5" borderId="0" pivotButton="0" quotePrefix="0" xfId="1"/>
    <xf numFmtId="0" fontId="3" fillId="0" borderId="0" applyAlignment="1" pivotButton="0" quotePrefix="0" xfId="0">
      <alignment horizontal="right" vertical="center" wrapText="1"/>
    </xf>
    <xf numFmtId="167" fontId="2" fillId="0" borderId="0" applyAlignment="1" pivotButton="0" quotePrefix="0" xfId="0">
      <alignment horizontal="center"/>
    </xf>
    <xf numFmtId="169" fontId="3" fillId="0" borderId="0" applyAlignment="1" pivotButton="0" quotePrefix="0" xfId="1">
      <alignment horizontal="right"/>
    </xf>
    <xf numFmtId="0" fontId="12" fillId="0" borderId="0" pivotButton="0" quotePrefix="0" xfId="5"/>
    <xf numFmtId="4" fontId="12" fillId="0" borderId="0" pivotButton="0" quotePrefix="0" xfId="5"/>
    <xf numFmtId="165" fontId="2" fillId="13" borderId="0" applyAlignment="1" pivotButton="0" quotePrefix="0" xfId="1">
      <alignment horizontal="center" vertical="center" wrapText="1"/>
    </xf>
    <xf numFmtId="40" fontId="2" fillId="13" borderId="0" applyAlignment="1" pivotButton="0" quotePrefix="0" xfId="1">
      <alignment horizontal="center" vertical="center" wrapText="1"/>
    </xf>
    <xf numFmtId="40" fontId="0" fillId="20" borderId="0" applyAlignment="1" pivotButton="0" quotePrefix="0" xfId="1">
      <alignment horizontal="center" vertical="center" wrapText="1"/>
    </xf>
    <xf numFmtId="40" fontId="3" fillId="21" borderId="1" applyAlignment="1" pivotButton="0" quotePrefix="0" xfId="1">
      <alignment horizontal="center" vertical="center" wrapText="1"/>
    </xf>
    <xf numFmtId="166" fontId="0" fillId="21" borderId="1" pivotButton="0" quotePrefix="0" xfId="1"/>
    <xf numFmtId="0" fontId="2" fillId="13" borderId="4" applyAlignment="1" pivotButton="0" quotePrefix="0" xfId="0">
      <alignment horizontal="center" vertical="center" wrapText="1"/>
    </xf>
    <xf numFmtId="0" fontId="2" fillId="14" borderId="5" applyAlignment="1" pivotButton="0" quotePrefix="0" xfId="0">
      <alignment horizontal="center" vertical="center" wrapText="1"/>
    </xf>
    <xf numFmtId="0" fontId="2" fillId="14" borderId="6" applyAlignment="1" pivotButton="0" quotePrefix="0" xfId="0">
      <alignment horizontal="center" vertical="center" wrapText="1"/>
    </xf>
    <xf numFmtId="0" fontId="2" fillId="14" borderId="7" applyAlignment="1" pivotButton="0" quotePrefix="0" xfId="0">
      <alignment horizontal="center" vertical="center" wrapText="1"/>
    </xf>
    <xf numFmtId="40" fontId="3" fillId="6" borderId="3" applyAlignment="1" pivotButton="0" quotePrefix="0" xfId="1">
      <alignment horizontal="center"/>
    </xf>
    <xf numFmtId="40" fontId="3" fillId="6" borderId="10" applyAlignment="1" pivotButton="0" quotePrefix="0" xfId="1">
      <alignment horizontal="center"/>
    </xf>
    <xf numFmtId="40" fontId="3" fillId="6" borderId="11" applyAlignment="1" pivotButton="0" quotePrefix="0" xfId="1">
      <alignment horizontal="center"/>
    </xf>
    <xf numFmtId="40" fontId="3" fillId="7" borderId="8" applyAlignment="1" pivotButton="0" quotePrefix="0" xfId="1">
      <alignment horizontal="center"/>
    </xf>
    <xf numFmtId="40" fontId="3" fillId="7" borderId="9" applyAlignment="1" pivotButton="0" quotePrefix="0" xfId="1">
      <alignment horizontal="center"/>
    </xf>
    <xf numFmtId="40" fontId="3" fillId="6" borderId="1" applyAlignment="1" pivotButton="0" quotePrefix="0" xfId="1">
      <alignment horizontal="center"/>
    </xf>
    <xf numFmtId="40" fontId="3" fillId="7" borderId="1" applyAlignment="1" pivotButton="0" quotePrefix="0" xfId="1">
      <alignment horizontal="center"/>
    </xf>
    <xf numFmtId="40" fontId="3" fillId="3" borderId="1" applyAlignment="1" pivotButton="0" quotePrefix="0" xfId="1">
      <alignment horizontal="center"/>
    </xf>
    <xf numFmtId="40" fontId="4" fillId="11" borderId="0" applyAlignment="1" pivotButton="0" quotePrefix="0" xfId="1">
      <alignment horizontal="center"/>
    </xf>
    <xf numFmtId="40" fontId="4" fillId="12" borderId="0" applyAlignment="1" pivotButton="0" quotePrefix="0" xfId="1">
      <alignment horizontal="center"/>
    </xf>
    <xf numFmtId="40" fontId="3" fillId="10" borderId="8" applyAlignment="1" pivotButton="0" quotePrefix="0" xfId="1">
      <alignment horizontal="center"/>
    </xf>
    <xf numFmtId="40" fontId="3" fillId="10" borderId="9" applyAlignment="1" pivotButton="0" quotePrefix="0" xfId="1">
      <alignment horizontal="center"/>
    </xf>
    <xf numFmtId="40" fontId="4" fillId="17" borderId="0" applyAlignment="1" pivotButton="0" quotePrefix="0" xfId="1">
      <alignment horizontal="center" vertical="center" wrapText="1"/>
    </xf>
    <xf numFmtId="4" fontId="2" fillId="2" borderId="0" pivotButton="0" quotePrefix="0" xfId="0"/>
    <xf numFmtId="0" fontId="2" fillId="2" borderId="0" pivotButton="0" quotePrefix="0" xfId="0"/>
    <xf numFmtId="169" fontId="13" fillId="5" borderId="0" pivotButton="0" quotePrefix="0" xfId="1"/>
    <xf numFmtId="169" fontId="8" fillId="5" borderId="4" applyAlignment="1" pivotButton="0" quotePrefix="0" xfId="1">
      <alignment horizontal="right" vertical="center"/>
    </xf>
    <xf numFmtId="0" fontId="14" fillId="0" borderId="0" pivotButton="0" quotePrefix="0" xfId="0"/>
    <xf numFmtId="0" fontId="14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vertical="center"/>
    </xf>
    <xf numFmtId="172" fontId="14" fillId="0" borderId="0" applyAlignment="1" pivotButton="0" quotePrefix="0" xfId="0">
      <alignment horizontal="right" vertical="center" wrapText="1"/>
    </xf>
    <xf numFmtId="173" fontId="14" fillId="0" borderId="0" applyAlignment="1" pivotButton="0" quotePrefix="0" xfId="0">
      <alignment horizontal="right" vertical="center" wrapText="1"/>
    </xf>
    <xf numFmtId="40" fontId="14" fillId="0" borderId="0" applyAlignment="1" pivotButton="0" quotePrefix="0" xfId="0">
      <alignment horizontal="right" vertical="center" wrapText="1"/>
    </xf>
    <xf numFmtId="0" fontId="15" fillId="12" borderId="0" applyAlignment="1" pivotButton="0" quotePrefix="0" xfId="0">
      <alignment horizontal="center"/>
    </xf>
    <xf numFmtId="0" fontId="15" fillId="17" borderId="0" applyAlignment="1" pivotButton="0" quotePrefix="0" xfId="0">
      <alignment horizontal="center"/>
    </xf>
    <xf numFmtId="0" fontId="15" fillId="14" borderId="0" applyAlignment="1" pivotButton="0" quotePrefix="0" xfId="0">
      <alignment horizontal="center"/>
    </xf>
    <xf numFmtId="0" fontId="15" fillId="13" borderId="0" applyAlignment="1" pivotButton="0" quotePrefix="0" xfId="0">
      <alignment horizontal="center"/>
    </xf>
    <xf numFmtId="167" fontId="15" fillId="4" borderId="2" applyAlignment="1" pivotButton="0" quotePrefix="0" xfId="0">
      <alignment horizontal="center"/>
    </xf>
    <xf numFmtId="167" fontId="15" fillId="4" borderId="0" applyAlignment="1" pivotButton="0" quotePrefix="0" xfId="0">
      <alignment horizontal="center"/>
    </xf>
    <xf numFmtId="165" fontId="0" fillId="0" borderId="1" pivotButton="0" quotePrefix="0" xfId="1"/>
    <xf numFmtId="0" fontId="2" fillId="13" borderId="1" pivotButton="0" quotePrefix="0" xfId="0"/>
    <xf numFmtId="0" fontId="0" fillId="0" borderId="0" pivotButton="0" quotePrefix="0" xfId="0"/>
    <xf numFmtId="167" fontId="15" fillId="4" borderId="2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165" fontId="3" fillId="0" borderId="0" applyAlignment="1" pivotButton="0" quotePrefix="0" xfId="1">
      <alignment vertical="center"/>
    </xf>
    <xf numFmtId="165" fontId="3" fillId="0" borderId="0" applyAlignment="1" pivotButton="0" quotePrefix="0" xfId="1">
      <alignment horizontal="right"/>
    </xf>
    <xf numFmtId="166" fontId="3" fillId="0" borderId="0" applyAlignment="1" pivotButton="0" quotePrefix="0" xfId="0">
      <alignment horizontal="right"/>
    </xf>
    <xf numFmtId="166" fontId="3" fillId="0" borderId="0" applyAlignment="1" pivotButton="0" quotePrefix="0" xfId="1">
      <alignment horizontal="right"/>
    </xf>
    <xf numFmtId="166" fontId="3" fillId="0" borderId="0" applyAlignment="1" pivotButton="0" quotePrefix="0" xfId="2">
      <alignment horizontal="right"/>
    </xf>
    <xf numFmtId="173" fontId="14" fillId="0" borderId="0" applyAlignment="1" pivotButton="0" quotePrefix="0" xfId="0">
      <alignment horizontal="right" vertical="center" wrapText="1"/>
    </xf>
    <xf numFmtId="172" fontId="14" fillId="0" borderId="0" applyAlignment="1" pivotButton="0" quotePrefix="0" xfId="0">
      <alignment horizontal="right" vertical="center" wrapText="1"/>
    </xf>
    <xf numFmtId="0" fontId="0" fillId="0" borderId="6" pivotButton="0" quotePrefix="0" xfId="0"/>
    <xf numFmtId="0" fontId="0" fillId="0" borderId="7" pivotButton="0" quotePrefix="0" xfId="0"/>
    <xf numFmtId="166" fontId="0" fillId="0" borderId="4" applyAlignment="1" pivotButton="0" quotePrefix="0" xfId="1">
      <alignment horizontal="right" vertical="center"/>
    </xf>
    <xf numFmtId="166" fontId="0" fillId="15" borderId="4" applyAlignment="1" pivotButton="0" quotePrefix="0" xfId="1">
      <alignment horizontal="right" vertical="center"/>
    </xf>
    <xf numFmtId="166" fontId="1" fillId="15" borderId="4" applyAlignment="1" pivotButton="0" quotePrefix="0" xfId="1">
      <alignment horizontal="right" vertical="center"/>
    </xf>
    <xf numFmtId="166" fontId="1" fillId="0" borderId="4" applyAlignment="1" pivotButton="0" quotePrefix="0" xfId="1">
      <alignment horizontal="right" vertical="center"/>
    </xf>
    <xf numFmtId="166" fontId="1" fillId="16" borderId="4" applyAlignment="1" pivotButton="0" quotePrefix="0" xfId="1">
      <alignment horizontal="right" vertical="center"/>
    </xf>
    <xf numFmtId="165" fontId="9" fillId="5" borderId="0" pivotButton="0" quotePrefix="0" xfId="1"/>
    <xf numFmtId="165" fontId="9" fillId="5" borderId="0" applyAlignment="1" pivotButton="0" quotePrefix="0" xfId="1">
      <alignment horizontal="center" vertical="center"/>
    </xf>
    <xf numFmtId="167" fontId="7" fillId="4" borderId="4" pivotButton="0" quotePrefix="0" xfId="4"/>
    <xf numFmtId="166" fontId="0" fillId="19" borderId="4" applyAlignment="1" pivotButton="0" quotePrefix="0" xfId="4">
      <alignment horizontal="right" vertical="center"/>
    </xf>
    <xf numFmtId="165" fontId="0" fillId="0" borderId="0" pivotButton="0" quotePrefix="0" xfId="1"/>
    <xf numFmtId="164" fontId="2" fillId="2" borderId="0" applyAlignment="1" pivotButton="0" quotePrefix="0" xfId="1">
      <alignment horizontal="center" vertical="center" wrapText="1"/>
    </xf>
    <xf numFmtId="165" fontId="0" fillId="0" borderId="1" pivotButton="0" quotePrefix="0" xfId="1"/>
    <xf numFmtId="0" fontId="0" fillId="0" borderId="10" pivotButton="0" quotePrefix="0" xfId="0"/>
    <xf numFmtId="0" fontId="0" fillId="0" borderId="11" pivotButton="0" quotePrefix="0" xfId="0"/>
    <xf numFmtId="0" fontId="0" fillId="0" borderId="9" pivotButton="0" quotePrefix="0" xfId="0"/>
    <xf numFmtId="165" fontId="2" fillId="9" borderId="1" applyAlignment="1" pivotButton="0" quotePrefix="0" xfId="1">
      <alignment horizontal="center" vertical="center" wrapText="1"/>
    </xf>
    <xf numFmtId="167" fontId="0" fillId="0" borderId="1" pivotButton="0" quotePrefix="0" xfId="1"/>
    <xf numFmtId="166" fontId="0" fillId="0" borderId="1" pivotButton="0" quotePrefix="0" xfId="1"/>
    <xf numFmtId="166" fontId="0" fillId="5" borderId="1" pivotButton="0" quotePrefix="0" xfId="1"/>
    <xf numFmtId="166" fontId="0" fillId="21" borderId="1" pivotButton="0" quotePrefix="0" xfId="1"/>
    <xf numFmtId="171" fontId="0" fillId="0" borderId="1" pivotButton="0" quotePrefix="0" xfId="0"/>
    <xf numFmtId="171" fontId="0" fillId="0" borderId="0" pivotButton="0" quotePrefix="0" xfId="0"/>
    <xf numFmtId="171" fontId="0" fillId="0" borderId="0" pivotButton="0" quotePrefix="0" xfId="2"/>
    <xf numFmtId="171" fontId="3" fillId="6" borderId="1" applyAlignment="1" pivotButton="0" quotePrefix="0" xfId="2">
      <alignment horizontal="center"/>
    </xf>
    <xf numFmtId="171" fontId="3" fillId="6" borderId="1" applyAlignment="1" pivotButton="0" quotePrefix="0" xfId="2">
      <alignment horizontal="center" vertical="center" wrapText="1"/>
    </xf>
    <xf numFmtId="171" fontId="0" fillId="0" borderId="1" pivotButton="0" quotePrefix="0" xfId="2"/>
    <xf numFmtId="164" fontId="0" fillId="0" borderId="0" pivotButton="0" quotePrefix="0" xfId="1"/>
    <xf numFmtId="165" fontId="2" fillId="2" borderId="0" applyAlignment="1" pivotButton="0" quotePrefix="0" xfId="1">
      <alignment horizontal="center" vertical="center" wrapText="1"/>
    </xf>
    <xf numFmtId="165" fontId="2" fillId="13" borderId="0" applyAlignment="1" pivotButton="0" quotePrefix="0" xfId="1">
      <alignment horizontal="center" vertical="center" wrapText="1"/>
    </xf>
    <xf numFmtId="166" fontId="3" fillId="18" borderId="1" applyAlignment="1" pivotButton="0" quotePrefix="0" xfId="1">
      <alignment horizontal="center" vertical="center" wrapText="1"/>
    </xf>
  </cellXfs>
  <cellStyles count="6">
    <cellStyle name="Normal" xfId="0" builtinId="0"/>
    <cellStyle name="Comma" xfId="1" builtinId="3"/>
    <cellStyle name="Percent" xfId="2" builtinId="5"/>
    <cellStyle name="Normal 2" xfId="3"/>
    <cellStyle name="Comma 2" xfId="4"/>
    <cellStyle name="Normal 3" xf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Temmuz%202026%20%20Veril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İYATLAR"/>
      <sheetName val="GÖP VERİLERİ"/>
      <sheetName val="GİP VERİLERİ"/>
    </sheetNames>
    <sheetDataSet>
      <sheetData sheetId="0">
        <row r="2">
          <cell r="A2">
            <v>46204</v>
          </cell>
          <cell r="B2" t="str">
            <v>00:00</v>
          </cell>
          <cell r="C2">
            <v>4090.67</v>
          </cell>
          <cell r="D2">
            <v>87.87</v>
          </cell>
          <cell r="E2">
            <v>4091</v>
          </cell>
          <cell r="F2">
            <v>3901.78</v>
          </cell>
          <cell r="G2" t="str">
            <v>Enerji Açığı</v>
          </cell>
        </row>
        <row r="3">
          <cell r="A3">
            <v>46204.041666666664</v>
          </cell>
          <cell r="B3" t="str">
            <v>01:00</v>
          </cell>
          <cell r="C3">
            <v>4000</v>
          </cell>
          <cell r="D3">
            <v>85.92</v>
          </cell>
          <cell r="E3">
            <v>4000</v>
          </cell>
          <cell r="F3">
            <v>3986.47</v>
          </cell>
          <cell r="G3" t="str">
            <v>Enerji Açığı</v>
          </cell>
        </row>
        <row r="4">
          <cell r="A4">
            <v>46204.083333333336</v>
          </cell>
          <cell r="B4" t="str">
            <v>02:00</v>
          </cell>
          <cell r="C4">
            <v>3575.03</v>
          </cell>
          <cell r="D4">
            <v>76.790000000000006</v>
          </cell>
          <cell r="E4">
            <v>3848</v>
          </cell>
          <cell r="F4">
            <v>3229.34</v>
          </cell>
          <cell r="G4" t="str">
            <v>Enerji Açığı</v>
          </cell>
        </row>
        <row r="5">
          <cell r="A5">
            <v>46204.125</v>
          </cell>
          <cell r="B5" t="str">
            <v>03:00</v>
          </cell>
          <cell r="C5">
            <v>3544.71</v>
          </cell>
          <cell r="D5">
            <v>76.14</v>
          </cell>
          <cell r="E5">
            <v>3800</v>
          </cell>
          <cell r="F5">
            <v>3506.53</v>
          </cell>
          <cell r="G5" t="str">
            <v>Enerji Açığı</v>
          </cell>
        </row>
        <row r="6">
          <cell r="A6">
            <v>46204.166666666664</v>
          </cell>
          <cell r="B6" t="str">
            <v>04:00</v>
          </cell>
          <cell r="C6">
            <v>3506.05</v>
          </cell>
          <cell r="D6">
            <v>75.31</v>
          </cell>
          <cell r="E6">
            <v>3600</v>
          </cell>
          <cell r="F6">
            <v>3554.59</v>
          </cell>
          <cell r="G6" t="str">
            <v>Enerji Açığı</v>
          </cell>
        </row>
        <row r="7">
          <cell r="A7">
            <v>46204.208333333336</v>
          </cell>
          <cell r="B7" t="str">
            <v>05:00</v>
          </cell>
          <cell r="C7">
            <v>3000</v>
          </cell>
          <cell r="D7">
            <v>64.44</v>
          </cell>
          <cell r="E7">
            <v>3450</v>
          </cell>
          <cell r="F7">
            <v>2641.52</v>
          </cell>
          <cell r="G7" t="str">
            <v>Enerji Açığı</v>
          </cell>
        </row>
        <row r="8">
          <cell r="A8">
            <v>46204.25</v>
          </cell>
          <cell r="B8" t="str">
            <v>06:00</v>
          </cell>
          <cell r="C8">
            <v>1899.99</v>
          </cell>
          <cell r="D8">
            <v>40.81</v>
          </cell>
          <cell r="E8">
            <v>1909.99</v>
          </cell>
          <cell r="F8">
            <v>2675.81</v>
          </cell>
          <cell r="G8" t="str">
            <v>Enerji Açığı</v>
          </cell>
        </row>
        <row r="9">
          <cell r="A9">
            <v>46204.291666666664</v>
          </cell>
          <cell r="B9" t="str">
            <v>07:00</v>
          </cell>
          <cell r="C9">
            <v>370.01</v>
          </cell>
          <cell r="D9">
            <v>7.95</v>
          </cell>
          <cell r="E9">
            <v>370</v>
          </cell>
          <cell r="F9">
            <v>417.17</v>
          </cell>
          <cell r="G9" t="str">
            <v>Enerji Fazlası</v>
          </cell>
        </row>
        <row r="10">
          <cell r="A10">
            <v>46204.333333333336</v>
          </cell>
          <cell r="B10" t="str">
            <v>08:00</v>
          </cell>
          <cell r="C10">
            <v>2800</v>
          </cell>
          <cell r="D10">
            <v>60.14</v>
          </cell>
          <cell r="E10">
            <v>699.99</v>
          </cell>
          <cell r="F10">
            <v>2955.48</v>
          </cell>
          <cell r="G10" t="str">
            <v>Enerji Fazlası</v>
          </cell>
        </row>
        <row r="11">
          <cell r="A11">
            <v>46204.375</v>
          </cell>
          <cell r="B11" t="str">
            <v>09:00</v>
          </cell>
          <cell r="C11">
            <v>3489.99</v>
          </cell>
          <cell r="D11">
            <v>74.959999999999994</v>
          </cell>
          <cell r="E11">
            <v>3489.99</v>
          </cell>
          <cell r="F11">
            <v>3318.99</v>
          </cell>
          <cell r="G11" t="str">
            <v>Enerji Açığı</v>
          </cell>
        </row>
        <row r="12">
          <cell r="A12">
            <v>46204.416666666664</v>
          </cell>
          <cell r="B12" t="str">
            <v>10:00</v>
          </cell>
          <cell r="C12">
            <v>2499.67</v>
          </cell>
          <cell r="D12">
            <v>53.69</v>
          </cell>
          <cell r="E12">
            <v>400</v>
          </cell>
          <cell r="F12">
            <v>2435.48</v>
          </cell>
          <cell r="G12" t="str">
            <v>Enerji Fazlası</v>
          </cell>
        </row>
        <row r="13">
          <cell r="A13">
            <v>46204.458333333336</v>
          </cell>
          <cell r="B13" t="str">
            <v>11:00</v>
          </cell>
          <cell r="C13">
            <v>2429.0100000000002</v>
          </cell>
          <cell r="D13">
            <v>52.17</v>
          </cell>
          <cell r="E13">
            <v>500</v>
          </cell>
          <cell r="F13">
            <v>1772.46</v>
          </cell>
          <cell r="G13" t="str">
            <v>Enerji Fazlası</v>
          </cell>
        </row>
        <row r="14">
          <cell r="A14">
            <v>46204.5</v>
          </cell>
          <cell r="B14" t="str">
            <v>12:00</v>
          </cell>
          <cell r="C14">
            <v>1499.97</v>
          </cell>
          <cell r="D14">
            <v>32.22</v>
          </cell>
          <cell r="E14">
            <v>450</v>
          </cell>
          <cell r="F14">
            <v>1164.53</v>
          </cell>
          <cell r="G14" t="str">
            <v>Enerji Fazlası</v>
          </cell>
        </row>
        <row r="15">
          <cell r="A15">
            <v>46204.541666666664</v>
          </cell>
          <cell r="B15" t="str">
            <v>13:00</v>
          </cell>
          <cell r="C15">
            <v>2429.0100000000002</v>
          </cell>
          <cell r="D15">
            <v>52.17</v>
          </cell>
          <cell r="E15">
            <v>400</v>
          </cell>
          <cell r="F15">
            <v>2194.48</v>
          </cell>
          <cell r="G15" t="str">
            <v>Enerji Fazlası</v>
          </cell>
        </row>
        <row r="16">
          <cell r="A16">
            <v>46204.583333333336</v>
          </cell>
          <cell r="B16" t="str">
            <v>14:00</v>
          </cell>
          <cell r="C16">
            <v>3500.89</v>
          </cell>
          <cell r="D16">
            <v>75.2</v>
          </cell>
          <cell r="E16">
            <v>1000</v>
          </cell>
          <cell r="F16">
            <v>3422.99</v>
          </cell>
          <cell r="G16" t="str">
            <v>Enerji Fazlası</v>
          </cell>
        </row>
        <row r="17">
          <cell r="A17">
            <v>46204.625</v>
          </cell>
          <cell r="B17" t="str">
            <v>15:00</v>
          </cell>
          <cell r="C17">
            <v>3475.57</v>
          </cell>
          <cell r="D17">
            <v>74.650000000000006</v>
          </cell>
          <cell r="E17">
            <v>500</v>
          </cell>
          <cell r="F17">
            <v>3124.79</v>
          </cell>
          <cell r="G17" t="str">
            <v>Enerji Fazlası</v>
          </cell>
        </row>
        <row r="18">
          <cell r="A18">
            <v>46204.666666666664</v>
          </cell>
          <cell r="B18" t="str">
            <v>16:00</v>
          </cell>
          <cell r="C18">
            <v>3995</v>
          </cell>
          <cell r="D18">
            <v>85.81</v>
          </cell>
          <cell r="E18">
            <v>3995</v>
          </cell>
          <cell r="F18">
            <v>3540.8</v>
          </cell>
          <cell r="G18" t="str">
            <v>Enerji Açığı</v>
          </cell>
        </row>
        <row r="19">
          <cell r="A19">
            <v>46204.708333333336</v>
          </cell>
          <cell r="B19" t="str">
            <v>17:00</v>
          </cell>
          <cell r="C19">
            <v>4400.01</v>
          </cell>
          <cell r="D19">
            <v>94.51</v>
          </cell>
          <cell r="E19">
            <v>4400.01</v>
          </cell>
          <cell r="F19">
            <v>4019.12</v>
          </cell>
          <cell r="G19" t="str">
            <v>Enerji Açığı</v>
          </cell>
        </row>
        <row r="20">
          <cell r="A20">
            <v>46204.75</v>
          </cell>
          <cell r="B20" t="str">
            <v>18:00</v>
          </cell>
          <cell r="C20">
            <v>4200</v>
          </cell>
          <cell r="D20">
            <v>90.22</v>
          </cell>
          <cell r="E20">
            <v>4200</v>
          </cell>
          <cell r="F20">
            <v>3865.12</v>
          </cell>
          <cell r="G20" t="str">
            <v>Enerji Açığı</v>
          </cell>
        </row>
        <row r="21">
          <cell r="A21">
            <v>46204.791666666664</v>
          </cell>
          <cell r="B21" t="str">
            <v>19:00</v>
          </cell>
          <cell r="C21">
            <v>3800</v>
          </cell>
          <cell r="D21">
            <v>81.62</v>
          </cell>
          <cell r="E21">
            <v>4320</v>
          </cell>
          <cell r="F21">
            <v>3933.95</v>
          </cell>
          <cell r="G21" t="str">
            <v>Enerji Açığı</v>
          </cell>
        </row>
        <row r="22">
          <cell r="A22">
            <v>46204.833333333336</v>
          </cell>
          <cell r="B22" t="str">
            <v>20:00</v>
          </cell>
          <cell r="C22">
            <v>4400</v>
          </cell>
          <cell r="D22">
            <v>94.51</v>
          </cell>
          <cell r="E22">
            <v>4400</v>
          </cell>
          <cell r="F22">
            <v>4277.88</v>
          </cell>
          <cell r="G22" t="str">
            <v>Enerji Açığı</v>
          </cell>
        </row>
        <row r="23">
          <cell r="A23">
            <v>46204.875</v>
          </cell>
          <cell r="B23" t="str">
            <v>21:00</v>
          </cell>
          <cell r="C23">
            <v>4300</v>
          </cell>
          <cell r="D23">
            <v>92.36</v>
          </cell>
          <cell r="E23">
            <v>4450</v>
          </cell>
          <cell r="F23">
            <v>4202.66</v>
          </cell>
          <cell r="G23" t="str">
            <v>Enerji Açığı</v>
          </cell>
        </row>
        <row r="24">
          <cell r="A24">
            <v>46204.916666666664</v>
          </cell>
          <cell r="B24" t="str">
            <v>22:00</v>
          </cell>
          <cell r="C24">
            <v>3700.63</v>
          </cell>
          <cell r="D24">
            <v>79.489999999999995</v>
          </cell>
          <cell r="E24">
            <v>4198</v>
          </cell>
          <cell r="F24">
            <v>3627.23</v>
          </cell>
          <cell r="G24" t="str">
            <v>Enerji Açığı</v>
          </cell>
        </row>
        <row r="25">
          <cell r="A25">
            <v>46204.958333333336</v>
          </cell>
          <cell r="B25" t="str">
            <v>23:00</v>
          </cell>
          <cell r="C25">
            <v>4000</v>
          </cell>
          <cell r="D25">
            <v>85.92</v>
          </cell>
          <cell r="E25">
            <v>4180</v>
          </cell>
          <cell r="F25">
            <v>3582.93</v>
          </cell>
          <cell r="G25" t="str">
            <v>Enerji Açığı</v>
          </cell>
        </row>
        <row r="26">
          <cell r="A26">
            <v>46205</v>
          </cell>
          <cell r="B26" t="str">
            <v>00:00</v>
          </cell>
          <cell r="C26">
            <v>3743</v>
          </cell>
          <cell r="D26">
            <v>80.37</v>
          </cell>
          <cell r="E26">
            <v>3800</v>
          </cell>
          <cell r="F26">
            <v>3866.2</v>
          </cell>
          <cell r="G26" t="str">
            <v>Enerji Açığı</v>
          </cell>
        </row>
        <row r="27">
          <cell r="A27">
            <v>46205.041666666664</v>
          </cell>
          <cell r="B27" t="str">
            <v>01:00</v>
          </cell>
          <cell r="C27">
            <v>3200</v>
          </cell>
          <cell r="D27">
            <v>68.709999999999994</v>
          </cell>
          <cell r="E27">
            <v>3450</v>
          </cell>
          <cell r="F27">
            <v>3389.41</v>
          </cell>
          <cell r="G27" t="str">
            <v>Enerji Açığı</v>
          </cell>
        </row>
        <row r="28">
          <cell r="A28">
            <v>46205.083333333336</v>
          </cell>
          <cell r="B28" t="str">
            <v>02:00</v>
          </cell>
          <cell r="C28">
            <v>3300</v>
          </cell>
          <cell r="D28">
            <v>70.849999999999994</v>
          </cell>
          <cell r="E28">
            <v>3500</v>
          </cell>
          <cell r="F28">
            <v>3423.13</v>
          </cell>
          <cell r="G28" t="str">
            <v>Enerji Açığı</v>
          </cell>
        </row>
        <row r="29">
          <cell r="A29">
            <v>46205.125</v>
          </cell>
          <cell r="B29" t="str">
            <v>03:00</v>
          </cell>
          <cell r="C29">
            <v>3269.01</v>
          </cell>
          <cell r="D29">
            <v>70.19</v>
          </cell>
          <cell r="E29">
            <v>3450</v>
          </cell>
          <cell r="F29">
            <v>3443.48</v>
          </cell>
          <cell r="G29" t="str">
            <v>Enerji Açığı</v>
          </cell>
        </row>
        <row r="30">
          <cell r="A30">
            <v>46205.166666666664</v>
          </cell>
          <cell r="B30" t="str">
            <v>04:00</v>
          </cell>
          <cell r="C30">
            <v>3999.99</v>
          </cell>
          <cell r="D30">
            <v>85.88</v>
          </cell>
          <cell r="E30">
            <v>3999.99</v>
          </cell>
          <cell r="F30">
            <v>4231.7700000000004</v>
          </cell>
          <cell r="G30" t="str">
            <v>Enerji Açığı</v>
          </cell>
        </row>
        <row r="31">
          <cell r="A31">
            <v>46205.208333333336</v>
          </cell>
          <cell r="B31" t="str">
            <v>05:00</v>
          </cell>
          <cell r="C31">
            <v>3999.99</v>
          </cell>
          <cell r="D31">
            <v>85.88</v>
          </cell>
          <cell r="E31">
            <v>3999.99</v>
          </cell>
          <cell r="F31">
            <v>4224.9399999999996</v>
          </cell>
          <cell r="G31" t="str">
            <v>Enerji Fazlası</v>
          </cell>
        </row>
        <row r="32">
          <cell r="A32">
            <v>46205.25</v>
          </cell>
          <cell r="B32" t="str">
            <v>06:00</v>
          </cell>
          <cell r="C32">
            <v>3488.22</v>
          </cell>
          <cell r="D32">
            <v>74.900000000000006</v>
          </cell>
          <cell r="E32">
            <v>1834</v>
          </cell>
          <cell r="F32">
            <v>3562.07</v>
          </cell>
          <cell r="G32" t="str">
            <v>Enerji Fazlası</v>
          </cell>
        </row>
        <row r="33">
          <cell r="A33">
            <v>46205.291666666664</v>
          </cell>
          <cell r="B33" t="str">
            <v>07:00</v>
          </cell>
          <cell r="C33">
            <v>1799.97</v>
          </cell>
          <cell r="D33">
            <v>38.65</v>
          </cell>
          <cell r="E33">
            <v>1000</v>
          </cell>
          <cell r="F33">
            <v>1812.87</v>
          </cell>
          <cell r="G33" t="str">
            <v>Enerji Fazlası</v>
          </cell>
        </row>
        <row r="34">
          <cell r="A34">
            <v>46205.333333333336</v>
          </cell>
          <cell r="B34" t="str">
            <v>08:00</v>
          </cell>
          <cell r="C34">
            <v>3680</v>
          </cell>
          <cell r="D34">
            <v>79.010000000000005</v>
          </cell>
          <cell r="E34">
            <v>1001</v>
          </cell>
          <cell r="F34">
            <v>3809.29</v>
          </cell>
          <cell r="G34" t="str">
            <v>Enerji Fazlası</v>
          </cell>
        </row>
        <row r="35">
          <cell r="A35">
            <v>46205.375</v>
          </cell>
          <cell r="B35" t="str">
            <v>09:00</v>
          </cell>
          <cell r="C35">
            <v>3499.99</v>
          </cell>
          <cell r="D35">
            <v>75.150000000000006</v>
          </cell>
          <cell r="E35">
            <v>4048</v>
          </cell>
          <cell r="F35">
            <v>3646.04</v>
          </cell>
          <cell r="G35" t="str">
            <v>Enerji Açığı</v>
          </cell>
        </row>
        <row r="36">
          <cell r="A36">
            <v>46205.416666666664</v>
          </cell>
          <cell r="B36" t="str">
            <v>10:00</v>
          </cell>
          <cell r="C36">
            <v>2699.99</v>
          </cell>
          <cell r="D36">
            <v>57.97</v>
          </cell>
          <cell r="E36">
            <v>4090</v>
          </cell>
          <cell r="F36">
            <v>2815.86</v>
          </cell>
          <cell r="G36" t="str">
            <v>Enerji Açığı</v>
          </cell>
        </row>
        <row r="37">
          <cell r="A37">
            <v>46205.458333333336</v>
          </cell>
          <cell r="B37" t="str">
            <v>11:00</v>
          </cell>
          <cell r="C37">
            <v>2999.01</v>
          </cell>
          <cell r="D37">
            <v>64.39</v>
          </cell>
          <cell r="E37">
            <v>4048</v>
          </cell>
          <cell r="F37">
            <v>3174.79</v>
          </cell>
          <cell r="G37" t="str">
            <v>Enerji Açığı</v>
          </cell>
        </row>
        <row r="38">
          <cell r="A38">
            <v>46205.5</v>
          </cell>
          <cell r="B38" t="str">
            <v>12:00</v>
          </cell>
          <cell r="C38">
            <v>1499.98</v>
          </cell>
          <cell r="D38">
            <v>32.21</v>
          </cell>
          <cell r="E38">
            <v>3550</v>
          </cell>
          <cell r="F38">
            <v>1970.26</v>
          </cell>
          <cell r="G38" t="str">
            <v>Enerji Açığı</v>
          </cell>
        </row>
        <row r="39">
          <cell r="A39">
            <v>46205.541666666664</v>
          </cell>
          <cell r="B39" t="str">
            <v>13:00</v>
          </cell>
          <cell r="C39">
            <v>2997</v>
          </cell>
          <cell r="D39">
            <v>64.349999999999994</v>
          </cell>
          <cell r="E39">
            <v>3500</v>
          </cell>
          <cell r="F39">
            <v>3522.69</v>
          </cell>
          <cell r="G39" t="str">
            <v>Enerji Açığı</v>
          </cell>
        </row>
        <row r="40">
          <cell r="A40">
            <v>46205.583333333336</v>
          </cell>
          <cell r="B40" t="str">
            <v>14:00</v>
          </cell>
          <cell r="C40">
            <v>2997.01</v>
          </cell>
          <cell r="D40">
            <v>64.349999999999994</v>
          </cell>
          <cell r="E40">
            <v>3500</v>
          </cell>
          <cell r="F40">
            <v>3524.87</v>
          </cell>
          <cell r="G40" t="str">
            <v>Enerji Açığı</v>
          </cell>
        </row>
        <row r="41">
          <cell r="A41">
            <v>46205.625</v>
          </cell>
          <cell r="B41" t="str">
            <v>15:00</v>
          </cell>
          <cell r="C41">
            <v>2007</v>
          </cell>
          <cell r="D41">
            <v>43.09</v>
          </cell>
          <cell r="E41">
            <v>3450</v>
          </cell>
          <cell r="F41">
            <v>2394.29</v>
          </cell>
          <cell r="G41" t="str">
            <v>Enerji Açığı</v>
          </cell>
        </row>
        <row r="42">
          <cell r="A42">
            <v>46205.666666666664</v>
          </cell>
          <cell r="B42" t="str">
            <v>16:00</v>
          </cell>
          <cell r="C42">
            <v>2537.9899999999998</v>
          </cell>
          <cell r="D42">
            <v>54.49</v>
          </cell>
          <cell r="E42">
            <v>3600</v>
          </cell>
          <cell r="F42">
            <v>2900.52</v>
          </cell>
          <cell r="G42" t="str">
            <v>Enerji Açığı</v>
          </cell>
        </row>
        <row r="43">
          <cell r="A43">
            <v>46205.708333333336</v>
          </cell>
          <cell r="B43" t="str">
            <v>17:00</v>
          </cell>
          <cell r="C43">
            <v>3803.12</v>
          </cell>
          <cell r="D43">
            <v>81.66</v>
          </cell>
          <cell r="E43">
            <v>4180</v>
          </cell>
          <cell r="F43">
            <v>3813.26</v>
          </cell>
          <cell r="G43" t="str">
            <v>Enerji Açığı</v>
          </cell>
        </row>
        <row r="44">
          <cell r="A44">
            <v>46205.75</v>
          </cell>
          <cell r="B44" t="str">
            <v>18:00</v>
          </cell>
          <cell r="C44">
            <v>2925</v>
          </cell>
          <cell r="D44">
            <v>62.8</v>
          </cell>
          <cell r="E44">
            <v>4180</v>
          </cell>
          <cell r="F44">
            <v>3347.78</v>
          </cell>
          <cell r="G44" t="str">
            <v>Enerji Açığı</v>
          </cell>
        </row>
        <row r="45">
          <cell r="A45">
            <v>46205.791666666664</v>
          </cell>
          <cell r="B45" t="str">
            <v>19:00</v>
          </cell>
          <cell r="C45">
            <v>4237.01</v>
          </cell>
          <cell r="D45">
            <v>90.97</v>
          </cell>
          <cell r="E45">
            <v>4320</v>
          </cell>
          <cell r="F45">
            <v>4223.8999999999996</v>
          </cell>
          <cell r="G45" t="str">
            <v>Enerji Açığı</v>
          </cell>
        </row>
        <row r="46">
          <cell r="A46">
            <v>46205.833333333336</v>
          </cell>
          <cell r="B46" t="str">
            <v>20:00</v>
          </cell>
          <cell r="C46">
            <v>4500</v>
          </cell>
          <cell r="D46">
            <v>96.62</v>
          </cell>
          <cell r="E46">
            <v>4500</v>
          </cell>
          <cell r="F46">
            <v>4483.6899999999996</v>
          </cell>
          <cell r="G46" t="str">
            <v>Enerji Açığı</v>
          </cell>
        </row>
        <row r="47">
          <cell r="A47">
            <v>46205.875</v>
          </cell>
          <cell r="B47" t="str">
            <v>21:00</v>
          </cell>
          <cell r="C47">
            <v>4500</v>
          </cell>
          <cell r="D47">
            <v>96.62</v>
          </cell>
          <cell r="E47">
            <v>2555</v>
          </cell>
          <cell r="F47">
            <v>4317.25</v>
          </cell>
          <cell r="G47" t="str">
            <v>Enerji Fazlası</v>
          </cell>
        </row>
        <row r="48">
          <cell r="A48">
            <v>46205.916666666664</v>
          </cell>
          <cell r="B48" t="str">
            <v>22:00</v>
          </cell>
          <cell r="C48">
            <v>4000.01</v>
          </cell>
          <cell r="D48">
            <v>85.88</v>
          </cell>
          <cell r="E48">
            <v>4048</v>
          </cell>
          <cell r="F48">
            <v>3941.25</v>
          </cell>
          <cell r="G48" t="str">
            <v>Enerji Açığı</v>
          </cell>
        </row>
        <row r="49">
          <cell r="A49">
            <v>46205.958333333336</v>
          </cell>
          <cell r="B49" t="str">
            <v>23:00</v>
          </cell>
          <cell r="C49">
            <v>3499.4</v>
          </cell>
          <cell r="D49">
            <v>75.14</v>
          </cell>
          <cell r="E49">
            <v>3499.4</v>
          </cell>
          <cell r="F49">
            <v>3256.81</v>
          </cell>
          <cell r="G49" t="str">
            <v>Enerji Açığı</v>
          </cell>
        </row>
        <row r="50">
          <cell r="A50">
            <v>46206</v>
          </cell>
          <cell r="B50" t="str">
            <v>00:00</v>
          </cell>
          <cell r="C50">
            <v>3500.99</v>
          </cell>
          <cell r="D50">
            <v>75.150000000000006</v>
          </cell>
          <cell r="E50">
            <v>3600</v>
          </cell>
          <cell r="F50">
            <v>3407.05</v>
          </cell>
          <cell r="G50" t="str">
            <v>Enerji Açığı</v>
          </cell>
        </row>
        <row r="51">
          <cell r="A51">
            <v>46206.041666666664</v>
          </cell>
          <cell r="B51" t="str">
            <v>01:00</v>
          </cell>
          <cell r="C51">
            <v>3000</v>
          </cell>
          <cell r="D51">
            <v>64.400000000000006</v>
          </cell>
          <cell r="E51">
            <v>3101</v>
          </cell>
          <cell r="F51">
            <v>3123.55</v>
          </cell>
          <cell r="G51" t="str">
            <v>Enerji Açığı</v>
          </cell>
        </row>
        <row r="52">
          <cell r="A52">
            <v>46206.083333333336</v>
          </cell>
          <cell r="B52" t="str">
            <v>02:00</v>
          </cell>
          <cell r="C52">
            <v>3499.99</v>
          </cell>
          <cell r="D52">
            <v>75.13</v>
          </cell>
          <cell r="E52">
            <v>3800</v>
          </cell>
          <cell r="F52">
            <v>3584.52</v>
          </cell>
          <cell r="G52" t="str">
            <v>Enerji Açığı</v>
          </cell>
        </row>
        <row r="53">
          <cell r="A53">
            <v>46206.125</v>
          </cell>
          <cell r="B53" t="str">
            <v>03:00</v>
          </cell>
          <cell r="C53">
            <v>3500</v>
          </cell>
          <cell r="D53">
            <v>75.13</v>
          </cell>
          <cell r="E53">
            <v>2222</v>
          </cell>
          <cell r="F53">
            <v>3115.75</v>
          </cell>
          <cell r="G53" t="str">
            <v>Enerji Fazlası</v>
          </cell>
        </row>
        <row r="54">
          <cell r="A54">
            <v>46206.166666666664</v>
          </cell>
          <cell r="B54" t="str">
            <v>04:00</v>
          </cell>
          <cell r="C54">
            <v>4090.79</v>
          </cell>
          <cell r="D54">
            <v>87.81</v>
          </cell>
          <cell r="E54">
            <v>1500</v>
          </cell>
          <cell r="F54">
            <v>3896.97</v>
          </cell>
          <cell r="G54" t="str">
            <v>Enerji Fazlası</v>
          </cell>
        </row>
        <row r="55">
          <cell r="A55">
            <v>46206.208333333336</v>
          </cell>
          <cell r="B55" t="str">
            <v>05:00</v>
          </cell>
          <cell r="C55">
            <v>3600</v>
          </cell>
          <cell r="D55">
            <v>77.28</v>
          </cell>
          <cell r="E55">
            <v>2001</v>
          </cell>
          <cell r="F55">
            <v>3156.57</v>
          </cell>
          <cell r="G55" t="str">
            <v>Enerji Fazlası</v>
          </cell>
        </row>
        <row r="56">
          <cell r="A56">
            <v>46206.25</v>
          </cell>
          <cell r="B56" t="str">
            <v>06:00</v>
          </cell>
          <cell r="C56">
            <v>2450.9899999999998</v>
          </cell>
          <cell r="D56">
            <v>52.61</v>
          </cell>
          <cell r="E56">
            <v>2302.9899999999998</v>
          </cell>
          <cell r="F56">
            <v>1602.82</v>
          </cell>
          <cell r="G56" t="str">
            <v>Enerji Fazlası</v>
          </cell>
        </row>
        <row r="57">
          <cell r="A57">
            <v>46206.291666666664</v>
          </cell>
          <cell r="B57" t="str">
            <v>07:00</v>
          </cell>
          <cell r="C57">
            <v>1799.98</v>
          </cell>
          <cell r="D57">
            <v>38.64</v>
          </cell>
          <cell r="E57">
            <v>1000</v>
          </cell>
          <cell r="F57">
            <v>1207.98</v>
          </cell>
          <cell r="G57" t="str">
            <v>Enerji Fazlası</v>
          </cell>
        </row>
        <row r="58">
          <cell r="A58">
            <v>46206.333333333336</v>
          </cell>
          <cell r="B58" t="str">
            <v>08:00</v>
          </cell>
          <cell r="C58">
            <v>3599.99</v>
          </cell>
          <cell r="D58">
            <v>77.28</v>
          </cell>
          <cell r="E58">
            <v>3800</v>
          </cell>
          <cell r="F58">
            <v>3137.25</v>
          </cell>
          <cell r="G58" t="str">
            <v>Enerji Açığı</v>
          </cell>
        </row>
        <row r="59">
          <cell r="A59">
            <v>46206.375</v>
          </cell>
          <cell r="B59" t="str">
            <v>09:00</v>
          </cell>
          <cell r="C59">
            <v>3499.99</v>
          </cell>
          <cell r="D59">
            <v>75.13</v>
          </cell>
          <cell r="E59">
            <v>3999.99</v>
          </cell>
          <cell r="F59">
            <v>3067.38</v>
          </cell>
          <cell r="G59" t="str">
            <v>Enerji Açığı</v>
          </cell>
        </row>
        <row r="60">
          <cell r="A60">
            <v>46206.416666666664</v>
          </cell>
          <cell r="B60" t="str">
            <v>10:00</v>
          </cell>
          <cell r="C60">
            <v>2537.9899999999998</v>
          </cell>
          <cell r="D60">
            <v>54.48</v>
          </cell>
          <cell r="E60">
            <v>3900</v>
          </cell>
          <cell r="F60">
            <v>2421.2399999999998</v>
          </cell>
          <cell r="G60" t="str">
            <v>Enerji Açığı</v>
          </cell>
        </row>
        <row r="61">
          <cell r="A61">
            <v>46206.458333333336</v>
          </cell>
          <cell r="B61" t="str">
            <v>11:00</v>
          </cell>
          <cell r="C61">
            <v>2250</v>
          </cell>
          <cell r="D61">
            <v>48.3</v>
          </cell>
          <cell r="E61">
            <v>3450</v>
          </cell>
          <cell r="F61">
            <v>2151.1999999999998</v>
          </cell>
          <cell r="G61" t="str">
            <v>Enerji Açığı</v>
          </cell>
        </row>
        <row r="62">
          <cell r="A62">
            <v>46206.5</v>
          </cell>
          <cell r="B62" t="str">
            <v>12:00</v>
          </cell>
          <cell r="C62">
            <v>1499.98</v>
          </cell>
          <cell r="D62">
            <v>32.200000000000003</v>
          </cell>
          <cell r="E62">
            <v>1000</v>
          </cell>
          <cell r="F62">
            <v>1324.84</v>
          </cell>
          <cell r="G62" t="str">
            <v>Enerji Fazlası</v>
          </cell>
        </row>
        <row r="63">
          <cell r="A63">
            <v>46206.541666666664</v>
          </cell>
          <cell r="B63" t="str">
            <v>13:00</v>
          </cell>
          <cell r="C63">
            <v>1897.17</v>
          </cell>
          <cell r="D63">
            <v>40.72</v>
          </cell>
          <cell r="E63">
            <v>499.99</v>
          </cell>
          <cell r="F63">
            <v>1682.15</v>
          </cell>
          <cell r="G63" t="str">
            <v>Enerji Fazlası</v>
          </cell>
        </row>
        <row r="64">
          <cell r="A64">
            <v>46206.583333333336</v>
          </cell>
          <cell r="B64" t="str">
            <v>14:00</v>
          </cell>
          <cell r="C64">
            <v>3549.05</v>
          </cell>
          <cell r="D64">
            <v>76.180000000000007</v>
          </cell>
          <cell r="E64">
            <v>3549.05</v>
          </cell>
          <cell r="F64">
            <v>3358.12</v>
          </cell>
          <cell r="G64" t="str">
            <v>Enerji Açığı</v>
          </cell>
        </row>
        <row r="65">
          <cell r="A65">
            <v>46206.625</v>
          </cell>
          <cell r="B65" t="str">
            <v>15:00</v>
          </cell>
          <cell r="C65">
            <v>3499.99</v>
          </cell>
          <cell r="D65">
            <v>75.13</v>
          </cell>
          <cell r="E65">
            <v>4000</v>
          </cell>
          <cell r="F65">
            <v>3136.37</v>
          </cell>
          <cell r="G65" t="str">
            <v>Enerji Açığı</v>
          </cell>
        </row>
        <row r="66">
          <cell r="A66">
            <v>46206.666666666664</v>
          </cell>
          <cell r="B66" t="str">
            <v>16:00</v>
          </cell>
          <cell r="C66">
            <v>3000.01</v>
          </cell>
          <cell r="D66">
            <v>64.400000000000006</v>
          </cell>
          <cell r="E66">
            <v>4050</v>
          </cell>
          <cell r="F66">
            <v>2771.93</v>
          </cell>
          <cell r="G66" t="str">
            <v>Enerji Açığı</v>
          </cell>
        </row>
        <row r="67">
          <cell r="A67">
            <v>46206.708333333336</v>
          </cell>
          <cell r="B67" t="str">
            <v>17:00</v>
          </cell>
          <cell r="C67">
            <v>3804.29</v>
          </cell>
          <cell r="D67">
            <v>81.66</v>
          </cell>
          <cell r="E67">
            <v>4099</v>
          </cell>
          <cell r="F67">
            <v>3846.62</v>
          </cell>
          <cell r="G67" t="str">
            <v>Enerji Açığı</v>
          </cell>
        </row>
        <row r="68">
          <cell r="A68">
            <v>46206.75</v>
          </cell>
          <cell r="B68" t="str">
            <v>18:00</v>
          </cell>
          <cell r="C68">
            <v>3389.89</v>
          </cell>
          <cell r="D68">
            <v>72.77</v>
          </cell>
          <cell r="E68">
            <v>4050</v>
          </cell>
          <cell r="F68">
            <v>3485.24</v>
          </cell>
          <cell r="G68" t="str">
            <v>Enerji Açığı</v>
          </cell>
        </row>
        <row r="69">
          <cell r="A69">
            <v>46206.791666666664</v>
          </cell>
          <cell r="B69" t="str">
            <v>19:00</v>
          </cell>
          <cell r="C69">
            <v>3852.62</v>
          </cell>
          <cell r="D69">
            <v>82.7</v>
          </cell>
          <cell r="E69">
            <v>4300</v>
          </cell>
          <cell r="F69">
            <v>3838.23</v>
          </cell>
          <cell r="G69" t="str">
            <v>Enerji Açığı</v>
          </cell>
        </row>
        <row r="70">
          <cell r="A70">
            <v>46206.833333333336</v>
          </cell>
          <cell r="B70" t="str">
            <v>20:00</v>
          </cell>
          <cell r="C70">
            <v>4235.01</v>
          </cell>
          <cell r="D70">
            <v>90.91</v>
          </cell>
          <cell r="E70">
            <v>4320</v>
          </cell>
          <cell r="F70">
            <v>4343.8599999999997</v>
          </cell>
          <cell r="G70" t="str">
            <v>Enerji Açığı</v>
          </cell>
        </row>
        <row r="71">
          <cell r="A71">
            <v>46206.875</v>
          </cell>
          <cell r="B71" t="str">
            <v>21:00</v>
          </cell>
          <cell r="C71">
            <v>4200</v>
          </cell>
          <cell r="D71">
            <v>90.15</v>
          </cell>
          <cell r="E71">
            <v>4320</v>
          </cell>
          <cell r="F71">
            <v>4299.01</v>
          </cell>
          <cell r="G71" t="str">
            <v>Enerji Açığı</v>
          </cell>
        </row>
        <row r="72">
          <cell r="A72">
            <v>46206.916666666664</v>
          </cell>
          <cell r="B72" t="str">
            <v>22:00</v>
          </cell>
          <cell r="C72">
            <v>3488.19</v>
          </cell>
          <cell r="D72">
            <v>74.88</v>
          </cell>
          <cell r="E72">
            <v>4250</v>
          </cell>
          <cell r="F72">
            <v>3703.99</v>
          </cell>
          <cell r="G72" t="str">
            <v>Enerji Açığı</v>
          </cell>
        </row>
        <row r="73">
          <cell r="A73">
            <v>46206.958333333336</v>
          </cell>
          <cell r="B73" t="str">
            <v>23:00</v>
          </cell>
          <cell r="C73">
            <v>2924.18</v>
          </cell>
          <cell r="D73">
            <v>62.77</v>
          </cell>
          <cell r="E73">
            <v>2934.18</v>
          </cell>
          <cell r="F73">
            <v>3257.28</v>
          </cell>
          <cell r="G73" t="str">
            <v>Enerji Açığı</v>
          </cell>
        </row>
        <row r="74">
          <cell r="A74">
            <v>46207</v>
          </cell>
          <cell r="B74" t="str">
            <v>00:00</v>
          </cell>
          <cell r="C74">
            <v>3400</v>
          </cell>
          <cell r="D74">
            <v>72.95</v>
          </cell>
          <cell r="E74">
            <v>3699</v>
          </cell>
          <cell r="F74">
            <v>3633.88</v>
          </cell>
          <cell r="G74" t="str">
            <v>Enerji Açığı</v>
          </cell>
        </row>
        <row r="75">
          <cell r="A75">
            <v>46207.041666666664</v>
          </cell>
          <cell r="B75" t="str">
            <v>01:00</v>
          </cell>
          <cell r="C75">
            <v>3677.01</v>
          </cell>
          <cell r="D75">
            <v>78.89</v>
          </cell>
          <cell r="E75">
            <v>3699</v>
          </cell>
          <cell r="F75">
            <v>4004.84</v>
          </cell>
          <cell r="G75" t="str">
            <v>Enerji Açığı</v>
          </cell>
        </row>
        <row r="76">
          <cell r="A76">
            <v>46207.083333333336</v>
          </cell>
          <cell r="B76" t="str">
            <v>02:00</v>
          </cell>
          <cell r="C76">
            <v>3400.01</v>
          </cell>
          <cell r="D76">
            <v>72.95</v>
          </cell>
          <cell r="E76">
            <v>3699</v>
          </cell>
          <cell r="F76">
            <v>3754.47</v>
          </cell>
          <cell r="G76" t="str">
            <v>Enerji Açığı</v>
          </cell>
        </row>
        <row r="77">
          <cell r="A77">
            <v>46207.125</v>
          </cell>
          <cell r="B77" t="str">
            <v>03:00</v>
          </cell>
          <cell r="C77">
            <v>3658</v>
          </cell>
          <cell r="D77">
            <v>78.48</v>
          </cell>
          <cell r="E77">
            <v>2723.66</v>
          </cell>
          <cell r="F77">
            <v>3758</v>
          </cell>
          <cell r="G77" t="str">
            <v>Enerji Fazlası</v>
          </cell>
        </row>
        <row r="78">
          <cell r="A78">
            <v>46207.166666666664</v>
          </cell>
          <cell r="B78" t="str">
            <v>04:00</v>
          </cell>
          <cell r="C78">
            <v>3677.01</v>
          </cell>
          <cell r="D78">
            <v>78.89</v>
          </cell>
          <cell r="E78">
            <v>2241</v>
          </cell>
          <cell r="F78">
            <v>3799.56</v>
          </cell>
          <cell r="G78" t="str">
            <v>Enerji Fazlası</v>
          </cell>
        </row>
        <row r="79">
          <cell r="A79">
            <v>46207.208333333336</v>
          </cell>
          <cell r="B79" t="str">
            <v>05:00</v>
          </cell>
          <cell r="C79">
            <v>3389.89</v>
          </cell>
          <cell r="D79">
            <v>72.73</v>
          </cell>
          <cell r="E79">
            <v>1389.89</v>
          </cell>
          <cell r="F79">
            <v>3638.63</v>
          </cell>
          <cell r="G79" t="str">
            <v>Enerji Fazlası</v>
          </cell>
        </row>
        <row r="80">
          <cell r="A80">
            <v>46207.25</v>
          </cell>
          <cell r="B80" t="str">
            <v>06:00</v>
          </cell>
          <cell r="C80">
            <v>2538</v>
          </cell>
          <cell r="D80">
            <v>54.45</v>
          </cell>
          <cell r="E80">
            <v>600</v>
          </cell>
          <cell r="F80">
            <v>2647.38</v>
          </cell>
          <cell r="G80" t="str">
            <v>Enerji Fazlası</v>
          </cell>
        </row>
        <row r="81">
          <cell r="A81">
            <v>46207.291666666664</v>
          </cell>
          <cell r="B81" t="str">
            <v>07:00</v>
          </cell>
          <cell r="C81">
            <v>1500</v>
          </cell>
          <cell r="D81">
            <v>32.18</v>
          </cell>
          <cell r="E81">
            <v>2500</v>
          </cell>
          <cell r="F81">
            <v>1590.72</v>
          </cell>
          <cell r="G81" t="str">
            <v>Enerji Açığı</v>
          </cell>
        </row>
        <row r="82">
          <cell r="A82">
            <v>46207.333333333336</v>
          </cell>
          <cell r="B82" t="str">
            <v>08:00</v>
          </cell>
          <cell r="C82">
            <v>1850</v>
          </cell>
          <cell r="D82">
            <v>39.69</v>
          </cell>
          <cell r="E82">
            <v>2277</v>
          </cell>
          <cell r="F82">
            <v>2266.6799999999998</v>
          </cell>
          <cell r="G82" t="str">
            <v>Enerji Açığı</v>
          </cell>
        </row>
        <row r="83">
          <cell r="A83">
            <v>46207.375</v>
          </cell>
          <cell r="B83" t="str">
            <v>09:00</v>
          </cell>
          <cell r="C83">
            <v>1764.01</v>
          </cell>
          <cell r="D83">
            <v>37.85</v>
          </cell>
          <cell r="E83">
            <v>2500.0100000000002</v>
          </cell>
          <cell r="F83">
            <v>2315.19</v>
          </cell>
          <cell r="G83" t="str">
            <v>Enerji Açığı</v>
          </cell>
        </row>
        <row r="84">
          <cell r="A84">
            <v>46207.416666666664</v>
          </cell>
          <cell r="B84" t="str">
            <v>10:00</v>
          </cell>
          <cell r="C84">
            <v>1499.97</v>
          </cell>
          <cell r="D84">
            <v>32.18</v>
          </cell>
          <cell r="E84">
            <v>2235.63</v>
          </cell>
          <cell r="F84">
            <v>1467.09</v>
          </cell>
          <cell r="G84" t="str">
            <v>Enerji Açığı</v>
          </cell>
        </row>
        <row r="85">
          <cell r="A85">
            <v>46207.458333333336</v>
          </cell>
          <cell r="B85" t="str">
            <v>11:00</v>
          </cell>
          <cell r="C85">
            <v>1499.97</v>
          </cell>
          <cell r="D85">
            <v>32.18</v>
          </cell>
          <cell r="E85">
            <v>2750</v>
          </cell>
          <cell r="F85">
            <v>1768</v>
          </cell>
          <cell r="G85" t="str">
            <v>Enerji Açığı</v>
          </cell>
        </row>
        <row r="86">
          <cell r="A86">
            <v>46207.5</v>
          </cell>
          <cell r="B86" t="str">
            <v>12:00</v>
          </cell>
          <cell r="C86">
            <v>700.01</v>
          </cell>
          <cell r="D86">
            <v>15.02</v>
          </cell>
          <cell r="E86">
            <v>2235.63</v>
          </cell>
          <cell r="F86">
            <v>1307.05</v>
          </cell>
          <cell r="G86" t="str">
            <v>Enerji Açığı</v>
          </cell>
        </row>
        <row r="87">
          <cell r="A87">
            <v>46207.541666666664</v>
          </cell>
          <cell r="B87" t="str">
            <v>13:00</v>
          </cell>
          <cell r="C87">
            <v>1499.97</v>
          </cell>
          <cell r="D87">
            <v>32.18</v>
          </cell>
          <cell r="E87">
            <v>2500</v>
          </cell>
          <cell r="F87">
            <v>2125.33</v>
          </cell>
          <cell r="G87" t="str">
            <v>Enerji Açığı</v>
          </cell>
        </row>
        <row r="88">
          <cell r="A88">
            <v>46207.583333333336</v>
          </cell>
          <cell r="B88" t="str">
            <v>14:00</v>
          </cell>
          <cell r="C88">
            <v>1696.72</v>
          </cell>
          <cell r="D88">
            <v>36.4</v>
          </cell>
          <cell r="E88">
            <v>3000</v>
          </cell>
          <cell r="F88">
            <v>2506.5500000000002</v>
          </cell>
          <cell r="G88" t="str">
            <v>Enerji Açığı</v>
          </cell>
        </row>
        <row r="89">
          <cell r="A89">
            <v>46207.625</v>
          </cell>
          <cell r="B89" t="str">
            <v>15:00</v>
          </cell>
          <cell r="C89">
            <v>1691.9</v>
          </cell>
          <cell r="D89">
            <v>36.299999999999997</v>
          </cell>
          <cell r="E89">
            <v>2750</v>
          </cell>
          <cell r="F89">
            <v>2667.68</v>
          </cell>
          <cell r="G89" t="str">
            <v>Enerji Açığı</v>
          </cell>
        </row>
        <row r="90">
          <cell r="A90">
            <v>46207.666666666664</v>
          </cell>
          <cell r="B90" t="str">
            <v>16:00</v>
          </cell>
          <cell r="C90">
            <v>1499.97</v>
          </cell>
          <cell r="D90">
            <v>32.18</v>
          </cell>
          <cell r="E90">
            <v>2032.39</v>
          </cell>
          <cell r="F90">
            <v>2467.92</v>
          </cell>
          <cell r="G90" t="str">
            <v>Enerji Açığı</v>
          </cell>
        </row>
        <row r="91">
          <cell r="A91">
            <v>46207.708333333336</v>
          </cell>
          <cell r="B91" t="str">
            <v>17:00</v>
          </cell>
          <cell r="C91">
            <v>1499.99</v>
          </cell>
          <cell r="D91">
            <v>32.18</v>
          </cell>
          <cell r="E91">
            <v>1874.99</v>
          </cell>
          <cell r="F91">
            <v>2548.17</v>
          </cell>
          <cell r="G91" t="str">
            <v>Enerji Açığı</v>
          </cell>
        </row>
        <row r="92">
          <cell r="A92">
            <v>46207.75</v>
          </cell>
          <cell r="B92" t="str">
            <v>18:00</v>
          </cell>
          <cell r="C92">
            <v>1499.98</v>
          </cell>
          <cell r="D92">
            <v>32.18</v>
          </cell>
          <cell r="E92">
            <v>3000</v>
          </cell>
          <cell r="F92">
            <v>2562.17</v>
          </cell>
          <cell r="G92" t="str">
            <v>Enerji Açığı</v>
          </cell>
        </row>
        <row r="93">
          <cell r="A93">
            <v>46207.791666666664</v>
          </cell>
          <cell r="B93" t="str">
            <v>19:00</v>
          </cell>
          <cell r="C93">
            <v>3000</v>
          </cell>
          <cell r="D93">
            <v>64.37</v>
          </cell>
          <cell r="E93">
            <v>4050</v>
          </cell>
          <cell r="F93">
            <v>3897.53</v>
          </cell>
          <cell r="G93" t="str">
            <v>Enerji Açığı</v>
          </cell>
        </row>
        <row r="94">
          <cell r="A94">
            <v>46207.833333333336</v>
          </cell>
          <cell r="B94" t="str">
            <v>20:00</v>
          </cell>
          <cell r="C94">
            <v>4045.41</v>
          </cell>
          <cell r="D94">
            <v>86.8</v>
          </cell>
          <cell r="E94">
            <v>4377</v>
          </cell>
          <cell r="F94">
            <v>4432.59</v>
          </cell>
          <cell r="G94" t="str">
            <v>Enerji Açığı</v>
          </cell>
        </row>
        <row r="95">
          <cell r="A95">
            <v>46207.875</v>
          </cell>
          <cell r="B95" t="str">
            <v>21:00</v>
          </cell>
          <cell r="C95">
            <v>4030.12</v>
          </cell>
          <cell r="D95">
            <v>86.47</v>
          </cell>
          <cell r="E95">
            <v>4377</v>
          </cell>
          <cell r="F95">
            <v>4451.17</v>
          </cell>
          <cell r="G95" t="str">
            <v>Enerji Açığı</v>
          </cell>
        </row>
        <row r="96">
          <cell r="A96">
            <v>46207.916666666664</v>
          </cell>
          <cell r="B96" t="str">
            <v>22:00</v>
          </cell>
          <cell r="C96">
            <v>3400.01</v>
          </cell>
          <cell r="D96">
            <v>72.95</v>
          </cell>
          <cell r="E96">
            <v>4100</v>
          </cell>
          <cell r="F96">
            <v>3947.39</v>
          </cell>
          <cell r="G96" t="str">
            <v>Enerji Açığı</v>
          </cell>
        </row>
        <row r="97">
          <cell r="A97">
            <v>46207.958333333336</v>
          </cell>
          <cell r="B97" t="str">
            <v>23:00</v>
          </cell>
          <cell r="C97">
            <v>2099.9899999999998</v>
          </cell>
          <cell r="D97">
            <v>45.06</v>
          </cell>
          <cell r="E97">
            <v>4048</v>
          </cell>
          <cell r="F97">
            <v>2719.6</v>
          </cell>
          <cell r="G97" t="str">
            <v>Enerji Açığı</v>
          </cell>
        </row>
        <row r="98">
          <cell r="A98">
            <v>46208</v>
          </cell>
          <cell r="B98" t="str">
            <v>00:00</v>
          </cell>
          <cell r="C98">
            <v>3400.01</v>
          </cell>
          <cell r="D98">
            <v>72.91</v>
          </cell>
          <cell r="E98">
            <v>3400</v>
          </cell>
          <cell r="F98">
            <v>3247.82</v>
          </cell>
          <cell r="G98" t="str">
            <v>Enerji Fazlası</v>
          </cell>
        </row>
        <row r="99">
          <cell r="A99">
            <v>46208.041666666664</v>
          </cell>
          <cell r="B99" t="str">
            <v>01:00</v>
          </cell>
          <cell r="C99">
            <v>2874.99</v>
          </cell>
          <cell r="D99">
            <v>61.65</v>
          </cell>
          <cell r="E99">
            <v>800</v>
          </cell>
          <cell r="F99">
            <v>2784.13</v>
          </cell>
          <cell r="G99" t="str">
            <v>Enerji Fazlası</v>
          </cell>
        </row>
        <row r="100">
          <cell r="A100">
            <v>46208.083333333336</v>
          </cell>
          <cell r="B100" t="str">
            <v>02:00</v>
          </cell>
          <cell r="C100">
            <v>1900</v>
          </cell>
          <cell r="D100">
            <v>40.74</v>
          </cell>
          <cell r="E100">
            <v>600</v>
          </cell>
          <cell r="F100">
            <v>1721.41</v>
          </cell>
          <cell r="G100" t="str">
            <v>Enerji Fazlası</v>
          </cell>
        </row>
        <row r="101">
          <cell r="A101">
            <v>46208.125</v>
          </cell>
          <cell r="B101" t="str">
            <v>03:00</v>
          </cell>
          <cell r="C101">
            <v>2425.09</v>
          </cell>
          <cell r="D101">
            <v>52</v>
          </cell>
          <cell r="E101">
            <v>500</v>
          </cell>
          <cell r="F101">
            <v>2203.7600000000002</v>
          </cell>
          <cell r="G101" t="str">
            <v>Enerji Fazlası</v>
          </cell>
        </row>
        <row r="102">
          <cell r="A102">
            <v>46208.166666666664</v>
          </cell>
          <cell r="B102" t="str">
            <v>04:00</v>
          </cell>
          <cell r="C102">
            <v>1708.64</v>
          </cell>
          <cell r="D102">
            <v>36.64</v>
          </cell>
          <cell r="E102">
            <v>500</v>
          </cell>
          <cell r="F102">
            <v>1446.73</v>
          </cell>
          <cell r="G102" t="str">
            <v>Enerji Fazlası</v>
          </cell>
        </row>
        <row r="103">
          <cell r="A103">
            <v>46208.208333333336</v>
          </cell>
          <cell r="B103" t="str">
            <v>05:00</v>
          </cell>
          <cell r="C103">
            <v>1499.97</v>
          </cell>
          <cell r="D103">
            <v>32.159999999999997</v>
          </cell>
          <cell r="E103">
            <v>499.99</v>
          </cell>
          <cell r="F103">
            <v>1066.97</v>
          </cell>
          <cell r="G103" t="str">
            <v>Enerji Fazlası</v>
          </cell>
        </row>
        <row r="104">
          <cell r="A104">
            <v>46208.25</v>
          </cell>
          <cell r="B104" t="str">
            <v>06:00</v>
          </cell>
          <cell r="C104">
            <v>2000</v>
          </cell>
          <cell r="D104">
            <v>42.89</v>
          </cell>
          <cell r="E104">
            <v>1400</v>
          </cell>
          <cell r="F104">
            <v>1755.67</v>
          </cell>
          <cell r="G104" t="str">
            <v>Enerji Fazlası</v>
          </cell>
        </row>
        <row r="105">
          <cell r="A105">
            <v>46208.291666666664</v>
          </cell>
          <cell r="B105" t="str">
            <v>07:00</v>
          </cell>
          <cell r="C105">
            <v>303.99</v>
          </cell>
          <cell r="D105">
            <v>6.52</v>
          </cell>
          <cell r="E105">
            <v>928.99</v>
          </cell>
          <cell r="F105">
            <v>314.22000000000003</v>
          </cell>
          <cell r="G105" t="str">
            <v>Enerji Açığı</v>
          </cell>
        </row>
        <row r="106">
          <cell r="A106">
            <v>46208.333333333336</v>
          </cell>
          <cell r="B106" t="str">
            <v>08:00</v>
          </cell>
          <cell r="C106">
            <v>174.99</v>
          </cell>
          <cell r="D106">
            <v>3.75</v>
          </cell>
          <cell r="E106">
            <v>1</v>
          </cell>
          <cell r="F106">
            <v>186.2</v>
          </cell>
          <cell r="G106" t="str">
            <v>Enerji Fazlası</v>
          </cell>
        </row>
        <row r="107">
          <cell r="A107">
            <v>46208.375</v>
          </cell>
          <cell r="B107" t="str">
            <v>09:00</v>
          </cell>
          <cell r="C107">
            <v>170.01</v>
          </cell>
          <cell r="D107">
            <v>3.65</v>
          </cell>
          <cell r="E107">
            <v>0</v>
          </cell>
          <cell r="F107">
            <v>99.93</v>
          </cell>
          <cell r="G107" t="str">
            <v>Enerji Fazlası</v>
          </cell>
        </row>
        <row r="108">
          <cell r="A108">
            <v>46208.416666666664</v>
          </cell>
          <cell r="B108" t="str">
            <v>10:00</v>
          </cell>
          <cell r="C108">
            <v>169.98</v>
          </cell>
          <cell r="D108">
            <v>3.65</v>
          </cell>
          <cell r="E108">
            <v>0</v>
          </cell>
          <cell r="F108">
            <v>94.42</v>
          </cell>
          <cell r="G108" t="str">
            <v>Enerji Fazlası</v>
          </cell>
        </row>
        <row r="109">
          <cell r="A109">
            <v>46208.458333333336</v>
          </cell>
          <cell r="B109" t="str">
            <v>11:00</v>
          </cell>
          <cell r="C109">
            <v>169.99</v>
          </cell>
          <cell r="D109">
            <v>3.65</v>
          </cell>
          <cell r="E109">
            <v>0</v>
          </cell>
          <cell r="F109">
            <v>66.959999999999994</v>
          </cell>
          <cell r="G109" t="str">
            <v>Enerji Fazlası</v>
          </cell>
        </row>
        <row r="110">
          <cell r="A110">
            <v>46208.5</v>
          </cell>
          <cell r="B110" t="str">
            <v>12:00</v>
          </cell>
          <cell r="C110">
            <v>170</v>
          </cell>
          <cell r="D110">
            <v>3.65</v>
          </cell>
          <cell r="E110">
            <v>10</v>
          </cell>
          <cell r="F110">
            <v>79.19</v>
          </cell>
          <cell r="G110" t="str">
            <v>Enerji Fazlası</v>
          </cell>
        </row>
        <row r="111">
          <cell r="A111">
            <v>46208.541666666664</v>
          </cell>
          <cell r="B111" t="str">
            <v>13:00</v>
          </cell>
          <cell r="C111">
            <v>171.01</v>
          </cell>
          <cell r="D111">
            <v>3.67</v>
          </cell>
          <cell r="E111">
            <v>5</v>
          </cell>
          <cell r="F111">
            <v>80.48</v>
          </cell>
          <cell r="G111" t="str">
            <v>Enerji Fazlası</v>
          </cell>
        </row>
        <row r="112">
          <cell r="A112">
            <v>46208.583333333336</v>
          </cell>
          <cell r="B112" t="str">
            <v>14:00</v>
          </cell>
          <cell r="C112">
            <v>196.01</v>
          </cell>
          <cell r="D112">
            <v>4.2</v>
          </cell>
          <cell r="E112">
            <v>0</v>
          </cell>
          <cell r="F112">
            <v>92.46</v>
          </cell>
          <cell r="G112" t="str">
            <v>Enerji Fazlası</v>
          </cell>
        </row>
        <row r="113">
          <cell r="A113">
            <v>46208.625</v>
          </cell>
          <cell r="B113" t="str">
            <v>15:00</v>
          </cell>
          <cell r="C113">
            <v>200</v>
          </cell>
          <cell r="D113">
            <v>4.29</v>
          </cell>
          <cell r="E113">
            <v>0</v>
          </cell>
          <cell r="F113">
            <v>141.22</v>
          </cell>
          <cell r="G113" t="str">
            <v>Enerji Fazlası</v>
          </cell>
        </row>
        <row r="114">
          <cell r="A114">
            <v>46208.666666666664</v>
          </cell>
          <cell r="B114" t="str">
            <v>16:00</v>
          </cell>
          <cell r="C114">
            <v>449.99</v>
          </cell>
          <cell r="D114">
            <v>9.65</v>
          </cell>
          <cell r="E114">
            <v>0</v>
          </cell>
          <cell r="F114">
            <v>312.13</v>
          </cell>
          <cell r="G114" t="str">
            <v>Enerji Fazlası</v>
          </cell>
        </row>
        <row r="115">
          <cell r="A115">
            <v>46208.708333333336</v>
          </cell>
          <cell r="B115" t="str">
            <v>17:00</v>
          </cell>
          <cell r="C115">
            <v>920</v>
          </cell>
          <cell r="D115">
            <v>19.73</v>
          </cell>
          <cell r="E115">
            <v>920</v>
          </cell>
          <cell r="F115">
            <v>710.15</v>
          </cell>
          <cell r="G115" t="str">
            <v>Enerji Fazlası</v>
          </cell>
        </row>
        <row r="116">
          <cell r="A116">
            <v>46208.75</v>
          </cell>
          <cell r="B116" t="str">
            <v>18:00</v>
          </cell>
          <cell r="C116">
            <v>1587.23</v>
          </cell>
          <cell r="D116">
            <v>34.04</v>
          </cell>
          <cell r="E116">
            <v>600</v>
          </cell>
          <cell r="F116">
            <v>1794.57</v>
          </cell>
          <cell r="G116" t="str">
            <v>Enerji Fazlası</v>
          </cell>
        </row>
        <row r="117">
          <cell r="A117">
            <v>46208.791666666664</v>
          </cell>
          <cell r="B117" t="str">
            <v>19:00</v>
          </cell>
          <cell r="C117">
            <v>1899.99</v>
          </cell>
          <cell r="D117">
            <v>40.74</v>
          </cell>
          <cell r="E117">
            <v>1899.99</v>
          </cell>
          <cell r="F117">
            <v>2020.35</v>
          </cell>
          <cell r="G117" t="str">
            <v>Enerji Açığı</v>
          </cell>
        </row>
        <row r="118">
          <cell r="A118">
            <v>46208.833333333336</v>
          </cell>
          <cell r="B118" t="str">
            <v>20:00</v>
          </cell>
          <cell r="C118">
            <v>3023.6</v>
          </cell>
          <cell r="D118">
            <v>64.84</v>
          </cell>
          <cell r="E118">
            <v>3500</v>
          </cell>
          <cell r="F118">
            <v>3040.29</v>
          </cell>
          <cell r="G118" t="str">
            <v>Enerji Açığı</v>
          </cell>
        </row>
        <row r="119">
          <cell r="A119">
            <v>46208.875</v>
          </cell>
          <cell r="B119" t="str">
            <v>21:00</v>
          </cell>
          <cell r="C119">
            <v>3500.01</v>
          </cell>
          <cell r="D119">
            <v>75.05</v>
          </cell>
          <cell r="E119">
            <v>4049</v>
          </cell>
          <cell r="F119">
            <v>3597.78</v>
          </cell>
          <cell r="G119" t="str">
            <v>Enerji Açığı</v>
          </cell>
        </row>
        <row r="120">
          <cell r="A120">
            <v>46208.916666666664</v>
          </cell>
          <cell r="B120" t="str">
            <v>22:00</v>
          </cell>
          <cell r="C120">
            <v>3000</v>
          </cell>
          <cell r="D120">
            <v>64.33</v>
          </cell>
          <cell r="E120">
            <v>3644</v>
          </cell>
          <cell r="F120">
            <v>2903.53</v>
          </cell>
          <cell r="G120" t="str">
            <v>Enerji Açığı</v>
          </cell>
        </row>
        <row r="121">
          <cell r="A121">
            <v>46208.958333333336</v>
          </cell>
          <cell r="B121" t="str">
            <v>23:00</v>
          </cell>
          <cell r="C121">
            <v>2425.1</v>
          </cell>
          <cell r="D121">
            <v>52</v>
          </cell>
          <cell r="E121">
            <v>698</v>
          </cell>
          <cell r="F121">
            <v>2114.14</v>
          </cell>
          <cell r="G121" t="str">
            <v>Enerji Fazlası</v>
          </cell>
        </row>
        <row r="122">
          <cell r="A122">
            <v>46209</v>
          </cell>
          <cell r="B122" t="str">
            <v>00:00</v>
          </cell>
          <cell r="C122">
            <v>2560.29</v>
          </cell>
          <cell r="D122">
            <v>54.9</v>
          </cell>
          <cell r="E122">
            <v>500</v>
          </cell>
          <cell r="F122">
            <v>2727.15</v>
          </cell>
          <cell r="G122" t="str">
            <v>Enerji Fazlası</v>
          </cell>
        </row>
        <row r="123">
          <cell r="A123">
            <v>46209.041666666664</v>
          </cell>
          <cell r="B123" t="str">
            <v>01:00</v>
          </cell>
          <cell r="C123">
            <v>2050</v>
          </cell>
          <cell r="D123">
            <v>43.96</v>
          </cell>
          <cell r="E123">
            <v>500</v>
          </cell>
          <cell r="F123">
            <v>1821.59</v>
          </cell>
          <cell r="G123" t="str">
            <v>Enerji Fazlası</v>
          </cell>
        </row>
        <row r="124">
          <cell r="A124">
            <v>46209.083333333336</v>
          </cell>
          <cell r="B124" t="str">
            <v>02:00</v>
          </cell>
          <cell r="C124">
            <v>1899.99</v>
          </cell>
          <cell r="D124">
            <v>40.74</v>
          </cell>
          <cell r="E124">
            <v>500</v>
          </cell>
          <cell r="F124">
            <v>1555.38</v>
          </cell>
          <cell r="G124" t="str">
            <v>Enerji Fazlası</v>
          </cell>
        </row>
        <row r="125">
          <cell r="A125">
            <v>46209.125</v>
          </cell>
          <cell r="B125" t="str">
            <v>03:00</v>
          </cell>
          <cell r="C125">
            <v>1750</v>
          </cell>
          <cell r="D125">
            <v>37.53</v>
          </cell>
          <cell r="E125">
            <v>500</v>
          </cell>
          <cell r="F125">
            <v>1608.9</v>
          </cell>
          <cell r="G125" t="str">
            <v>Enerji Fazlası</v>
          </cell>
        </row>
        <row r="126">
          <cell r="A126">
            <v>46209.166666666664</v>
          </cell>
          <cell r="B126" t="str">
            <v>04:00</v>
          </cell>
          <cell r="C126">
            <v>2425.1</v>
          </cell>
          <cell r="D126">
            <v>52</v>
          </cell>
          <cell r="E126">
            <v>500</v>
          </cell>
          <cell r="F126">
            <v>2103.14</v>
          </cell>
          <cell r="G126" t="str">
            <v>Enerji Fazlası</v>
          </cell>
        </row>
        <row r="127">
          <cell r="A127">
            <v>46209.208333333336</v>
          </cell>
          <cell r="B127" t="str">
            <v>05:00</v>
          </cell>
          <cell r="C127">
            <v>1500</v>
          </cell>
          <cell r="D127">
            <v>32.17</v>
          </cell>
          <cell r="E127">
            <v>487</v>
          </cell>
          <cell r="F127">
            <v>1268.6400000000001</v>
          </cell>
          <cell r="G127" t="str">
            <v>Enerji Fazlası</v>
          </cell>
        </row>
        <row r="128">
          <cell r="A128">
            <v>46209.25</v>
          </cell>
          <cell r="B128" t="str">
            <v>06:00</v>
          </cell>
          <cell r="C128">
            <v>1500</v>
          </cell>
          <cell r="D128">
            <v>32.17</v>
          </cell>
          <cell r="E128">
            <v>200</v>
          </cell>
          <cell r="F128">
            <v>1319.74</v>
          </cell>
          <cell r="G128" t="str">
            <v>Enerji Fazlası</v>
          </cell>
        </row>
        <row r="129">
          <cell r="A129">
            <v>46209.291666666664</v>
          </cell>
          <cell r="B129" t="str">
            <v>07:00</v>
          </cell>
          <cell r="C129">
            <v>800</v>
          </cell>
          <cell r="D129">
            <v>17.149999999999999</v>
          </cell>
          <cell r="E129">
            <v>200</v>
          </cell>
          <cell r="F129">
            <v>545.35</v>
          </cell>
          <cell r="G129" t="str">
            <v>Enerji Fazlası</v>
          </cell>
        </row>
        <row r="130">
          <cell r="A130">
            <v>46209.333333333336</v>
          </cell>
          <cell r="B130" t="str">
            <v>08:00</v>
          </cell>
          <cell r="C130">
            <v>2999</v>
          </cell>
          <cell r="D130">
            <v>64.31</v>
          </cell>
          <cell r="E130">
            <v>1499</v>
          </cell>
          <cell r="F130">
            <v>2703.57</v>
          </cell>
          <cell r="G130" t="str">
            <v>Enerji Fazlası</v>
          </cell>
        </row>
        <row r="131">
          <cell r="A131">
            <v>46209.375</v>
          </cell>
          <cell r="B131" t="str">
            <v>09:00</v>
          </cell>
          <cell r="C131">
            <v>2425.1</v>
          </cell>
          <cell r="D131">
            <v>52</v>
          </cell>
          <cell r="E131">
            <v>500</v>
          </cell>
          <cell r="F131">
            <v>2164.7800000000002</v>
          </cell>
          <cell r="G131" t="str">
            <v>Enerji Fazlası</v>
          </cell>
        </row>
        <row r="132">
          <cell r="A132">
            <v>46209.416666666664</v>
          </cell>
          <cell r="B132" t="str">
            <v>10:00</v>
          </cell>
          <cell r="C132">
            <v>1499.99</v>
          </cell>
          <cell r="D132">
            <v>32.17</v>
          </cell>
          <cell r="E132">
            <v>390</v>
          </cell>
          <cell r="F132">
            <v>1880.99</v>
          </cell>
          <cell r="G132" t="str">
            <v>Enerji Fazlası</v>
          </cell>
        </row>
        <row r="133">
          <cell r="A133">
            <v>46209.458333333336</v>
          </cell>
          <cell r="B133" t="str">
            <v>11:00</v>
          </cell>
          <cell r="C133">
            <v>1499.99</v>
          </cell>
          <cell r="D133">
            <v>32.17</v>
          </cell>
          <cell r="E133">
            <v>400</v>
          </cell>
          <cell r="F133">
            <v>1674.11</v>
          </cell>
          <cell r="G133" t="str">
            <v>Enerji Fazlası</v>
          </cell>
        </row>
        <row r="134">
          <cell r="A134">
            <v>46209.5</v>
          </cell>
          <cell r="B134" t="str">
            <v>12:00</v>
          </cell>
          <cell r="C134">
            <v>600.01</v>
          </cell>
          <cell r="D134">
            <v>12.87</v>
          </cell>
          <cell r="E134">
            <v>180</v>
          </cell>
          <cell r="F134">
            <v>756.17</v>
          </cell>
          <cell r="G134" t="str">
            <v>Enerji Fazlası</v>
          </cell>
        </row>
        <row r="135">
          <cell r="A135">
            <v>46209.541666666664</v>
          </cell>
          <cell r="B135" t="str">
            <v>13:00</v>
          </cell>
          <cell r="C135">
            <v>1400.01</v>
          </cell>
          <cell r="D135">
            <v>30.02</v>
          </cell>
          <cell r="E135">
            <v>500</v>
          </cell>
          <cell r="F135">
            <v>1341.2</v>
          </cell>
          <cell r="G135" t="str">
            <v>Enerji Fazlası</v>
          </cell>
        </row>
        <row r="136">
          <cell r="A136">
            <v>46209.583333333336</v>
          </cell>
          <cell r="B136" t="str">
            <v>14:00</v>
          </cell>
          <cell r="C136">
            <v>2518.75</v>
          </cell>
          <cell r="D136">
            <v>54.01</v>
          </cell>
          <cell r="E136">
            <v>500</v>
          </cell>
          <cell r="F136">
            <v>2234.85</v>
          </cell>
          <cell r="G136" t="str">
            <v>Enerji Fazlası</v>
          </cell>
        </row>
        <row r="137">
          <cell r="A137">
            <v>46209.625</v>
          </cell>
          <cell r="B137" t="str">
            <v>15:00</v>
          </cell>
          <cell r="C137">
            <v>2397.1799999999998</v>
          </cell>
          <cell r="D137">
            <v>51.4</v>
          </cell>
          <cell r="E137">
            <v>3600</v>
          </cell>
          <cell r="F137">
            <v>2118.35</v>
          </cell>
          <cell r="G137" t="str">
            <v>Enerji Açığı</v>
          </cell>
        </row>
        <row r="138">
          <cell r="A138">
            <v>46209.666666666664</v>
          </cell>
          <cell r="B138" t="str">
            <v>16:00</v>
          </cell>
          <cell r="C138">
            <v>2099.9899999999998</v>
          </cell>
          <cell r="D138">
            <v>45.03</v>
          </cell>
          <cell r="E138">
            <v>500</v>
          </cell>
          <cell r="F138">
            <v>1877.54</v>
          </cell>
          <cell r="G138" t="str">
            <v>Enerji Fazlası</v>
          </cell>
        </row>
        <row r="139">
          <cell r="A139">
            <v>46209.708333333336</v>
          </cell>
          <cell r="B139" t="str">
            <v>17:00</v>
          </cell>
          <cell r="C139">
            <v>2799.01</v>
          </cell>
          <cell r="D139">
            <v>60.02</v>
          </cell>
          <cell r="E139">
            <v>500</v>
          </cell>
          <cell r="F139">
            <v>2780.13</v>
          </cell>
          <cell r="G139" t="str">
            <v>Enerji Fazlası</v>
          </cell>
        </row>
        <row r="140">
          <cell r="A140">
            <v>46209.75</v>
          </cell>
          <cell r="B140" t="str">
            <v>18:00</v>
          </cell>
          <cell r="C140">
            <v>2176.69</v>
          </cell>
          <cell r="D140">
            <v>46.68</v>
          </cell>
          <cell r="E140">
            <v>3784</v>
          </cell>
          <cell r="F140">
            <v>2198.2199999999998</v>
          </cell>
          <cell r="G140" t="str">
            <v>Enerji Açığı</v>
          </cell>
        </row>
        <row r="141">
          <cell r="A141">
            <v>46209.791666666664</v>
          </cell>
          <cell r="B141" t="str">
            <v>19:00</v>
          </cell>
          <cell r="C141">
            <v>3499.99</v>
          </cell>
          <cell r="D141">
            <v>75.05</v>
          </cell>
          <cell r="E141">
            <v>4100</v>
          </cell>
          <cell r="F141">
            <v>3082.64</v>
          </cell>
          <cell r="G141" t="str">
            <v>Enerji Açığı</v>
          </cell>
        </row>
        <row r="142">
          <cell r="A142">
            <v>46209.833333333336</v>
          </cell>
          <cell r="B142" t="str">
            <v>20:00</v>
          </cell>
          <cell r="C142">
            <v>4235</v>
          </cell>
          <cell r="D142">
            <v>90.81</v>
          </cell>
          <cell r="E142">
            <v>4235</v>
          </cell>
          <cell r="F142">
            <v>4110.49</v>
          </cell>
          <cell r="G142" t="str">
            <v>Enerji Açığı</v>
          </cell>
        </row>
        <row r="143">
          <cell r="A143">
            <v>46209.875</v>
          </cell>
          <cell r="B143" t="str">
            <v>21:00</v>
          </cell>
          <cell r="C143">
            <v>4400</v>
          </cell>
          <cell r="D143">
            <v>94.35</v>
          </cell>
          <cell r="E143">
            <v>4399.8999999999996</v>
          </cell>
          <cell r="F143">
            <v>4416.59</v>
          </cell>
          <cell r="G143" t="str">
            <v>Enerji Fazlası</v>
          </cell>
        </row>
        <row r="144">
          <cell r="A144">
            <v>46209.916666666664</v>
          </cell>
          <cell r="B144" t="str">
            <v>22:00</v>
          </cell>
          <cell r="C144">
            <v>3499</v>
          </cell>
          <cell r="D144">
            <v>75.03</v>
          </cell>
          <cell r="E144">
            <v>2501</v>
          </cell>
          <cell r="F144">
            <v>3763.01</v>
          </cell>
          <cell r="G144" t="str">
            <v>Enerji Fazlası</v>
          </cell>
        </row>
        <row r="145">
          <cell r="A145">
            <v>46209.958333333336</v>
          </cell>
          <cell r="B145" t="str">
            <v>23:00</v>
          </cell>
          <cell r="C145">
            <v>2537.9899999999998</v>
          </cell>
          <cell r="D145">
            <v>54.42</v>
          </cell>
          <cell r="E145">
            <v>500</v>
          </cell>
          <cell r="F145">
            <v>2647.51</v>
          </cell>
          <cell r="G145" t="str">
            <v>Enerji Fazlası</v>
          </cell>
        </row>
        <row r="146">
          <cell r="A146">
            <v>46210</v>
          </cell>
          <cell r="B146" t="str">
            <v>00:00</v>
          </cell>
          <cell r="C146">
            <v>3400.01</v>
          </cell>
          <cell r="D146">
            <v>72.91</v>
          </cell>
          <cell r="E146">
            <v>500</v>
          </cell>
          <cell r="F146">
            <v>3238.47</v>
          </cell>
          <cell r="G146" t="str">
            <v>Enerji Fazlası</v>
          </cell>
        </row>
        <row r="147">
          <cell r="A147">
            <v>46210.041666666664</v>
          </cell>
          <cell r="B147" t="str">
            <v>01:00</v>
          </cell>
          <cell r="C147">
            <v>3499.99</v>
          </cell>
          <cell r="D147">
            <v>75.05</v>
          </cell>
          <cell r="E147">
            <v>500</v>
          </cell>
          <cell r="F147">
            <v>3057.6</v>
          </cell>
          <cell r="G147" t="str">
            <v>Enerji Fazlası</v>
          </cell>
        </row>
        <row r="148">
          <cell r="A148">
            <v>46210.083333333336</v>
          </cell>
          <cell r="B148" t="str">
            <v>02:00</v>
          </cell>
          <cell r="C148">
            <v>3499</v>
          </cell>
          <cell r="D148">
            <v>75.03</v>
          </cell>
          <cell r="E148">
            <v>1000</v>
          </cell>
          <cell r="F148">
            <v>2836.72</v>
          </cell>
          <cell r="G148" t="str">
            <v>Enerji Fazlası</v>
          </cell>
        </row>
        <row r="149">
          <cell r="A149">
            <v>46210.125</v>
          </cell>
          <cell r="B149" t="str">
            <v>03:00</v>
          </cell>
          <cell r="C149">
            <v>3579.7</v>
          </cell>
          <cell r="D149">
            <v>76.760000000000005</v>
          </cell>
          <cell r="E149">
            <v>1000</v>
          </cell>
          <cell r="F149">
            <v>2506.59</v>
          </cell>
          <cell r="G149" t="str">
            <v>Enerji Fazlası</v>
          </cell>
        </row>
        <row r="150">
          <cell r="A150">
            <v>46210.166666666664</v>
          </cell>
          <cell r="B150" t="str">
            <v>04:00</v>
          </cell>
          <cell r="C150">
            <v>3400</v>
          </cell>
          <cell r="D150">
            <v>72.91</v>
          </cell>
          <cell r="E150">
            <v>1450</v>
          </cell>
          <cell r="F150">
            <v>2227.77</v>
          </cell>
          <cell r="G150" t="str">
            <v>Enerji Fazlası</v>
          </cell>
        </row>
        <row r="151">
          <cell r="A151">
            <v>46210.208333333336</v>
          </cell>
          <cell r="B151" t="str">
            <v>05:00</v>
          </cell>
          <cell r="C151">
            <v>2865.59</v>
          </cell>
          <cell r="D151">
            <v>61.45</v>
          </cell>
          <cell r="E151">
            <v>500</v>
          </cell>
          <cell r="F151">
            <v>1700.67</v>
          </cell>
          <cell r="G151" t="str">
            <v>Enerji Fazlası</v>
          </cell>
        </row>
        <row r="152">
          <cell r="A152">
            <v>46210.25</v>
          </cell>
          <cell r="B152" t="str">
            <v>06:00</v>
          </cell>
          <cell r="C152">
            <v>1999.99</v>
          </cell>
          <cell r="D152">
            <v>42.89</v>
          </cell>
          <cell r="E152">
            <v>500</v>
          </cell>
          <cell r="F152">
            <v>1277.72</v>
          </cell>
          <cell r="G152" t="str">
            <v>Enerji Fazlası</v>
          </cell>
        </row>
        <row r="153">
          <cell r="A153">
            <v>46210.291666666664</v>
          </cell>
          <cell r="B153" t="str">
            <v>07:00</v>
          </cell>
          <cell r="C153">
            <v>1275</v>
          </cell>
          <cell r="D153">
            <v>27.34</v>
          </cell>
          <cell r="E153">
            <v>200</v>
          </cell>
          <cell r="F153">
            <v>802.12</v>
          </cell>
          <cell r="G153" t="str">
            <v>Enerji Fazlası</v>
          </cell>
        </row>
        <row r="154">
          <cell r="A154">
            <v>46210.333333333336</v>
          </cell>
          <cell r="B154" t="str">
            <v>08:00</v>
          </cell>
          <cell r="C154">
            <v>2718.55</v>
          </cell>
          <cell r="D154">
            <v>58.3</v>
          </cell>
          <cell r="E154">
            <v>490</v>
          </cell>
          <cell r="F154">
            <v>1872.89</v>
          </cell>
          <cell r="G154" t="str">
            <v>Enerji Fazlası</v>
          </cell>
        </row>
        <row r="155">
          <cell r="A155">
            <v>46210.375</v>
          </cell>
          <cell r="B155" t="str">
            <v>09:00</v>
          </cell>
          <cell r="C155">
            <v>2200.0100000000002</v>
          </cell>
          <cell r="D155">
            <v>47.18</v>
          </cell>
          <cell r="E155">
            <v>390</v>
          </cell>
          <cell r="F155">
            <v>1659.94</v>
          </cell>
          <cell r="G155" t="str">
            <v>Enerji Fazlası</v>
          </cell>
        </row>
        <row r="156">
          <cell r="A156">
            <v>46210.416666666664</v>
          </cell>
          <cell r="B156" t="str">
            <v>10:00</v>
          </cell>
          <cell r="C156">
            <v>1500</v>
          </cell>
          <cell r="D156">
            <v>32.17</v>
          </cell>
          <cell r="E156">
            <v>750</v>
          </cell>
          <cell r="F156">
            <v>1555.05</v>
          </cell>
          <cell r="G156" t="str">
            <v>Enerji Fazlası</v>
          </cell>
        </row>
        <row r="157">
          <cell r="A157">
            <v>46210.458333333336</v>
          </cell>
          <cell r="B157" t="str">
            <v>11:00</v>
          </cell>
          <cell r="C157">
            <v>1807.04</v>
          </cell>
          <cell r="D157">
            <v>38.75</v>
          </cell>
          <cell r="E157">
            <v>900</v>
          </cell>
          <cell r="F157">
            <v>1633.66</v>
          </cell>
          <cell r="G157" t="str">
            <v>Enerji Fazlası</v>
          </cell>
        </row>
        <row r="158">
          <cell r="A158">
            <v>46210.5</v>
          </cell>
          <cell r="B158" t="str">
            <v>12:00</v>
          </cell>
          <cell r="C158">
            <v>1400</v>
          </cell>
          <cell r="D158">
            <v>30.02</v>
          </cell>
          <cell r="E158">
            <v>780</v>
          </cell>
          <cell r="F158">
            <v>914.59</v>
          </cell>
          <cell r="G158" t="str">
            <v>Enerji Fazlası</v>
          </cell>
        </row>
        <row r="159">
          <cell r="A159">
            <v>46210.541666666664</v>
          </cell>
          <cell r="B159" t="str">
            <v>13:00</v>
          </cell>
          <cell r="C159">
            <v>1999.98</v>
          </cell>
          <cell r="D159">
            <v>42.89</v>
          </cell>
          <cell r="E159">
            <v>1049.98</v>
          </cell>
          <cell r="F159">
            <v>1534.26</v>
          </cell>
          <cell r="G159" t="str">
            <v>Enerji Fazlası</v>
          </cell>
        </row>
        <row r="160">
          <cell r="A160">
            <v>46210.583333333336</v>
          </cell>
          <cell r="B160" t="str">
            <v>14:00</v>
          </cell>
          <cell r="C160">
            <v>1999.99</v>
          </cell>
          <cell r="D160">
            <v>42.89</v>
          </cell>
          <cell r="E160">
            <v>2500</v>
          </cell>
          <cell r="F160">
            <v>1508.11</v>
          </cell>
          <cell r="G160" t="str">
            <v>Enerji Açığı</v>
          </cell>
        </row>
        <row r="161">
          <cell r="A161">
            <v>46210.625</v>
          </cell>
          <cell r="B161" t="str">
            <v>15:00</v>
          </cell>
          <cell r="C161">
            <v>1987.57</v>
          </cell>
          <cell r="D161">
            <v>42.62</v>
          </cell>
          <cell r="E161">
            <v>800</v>
          </cell>
          <cell r="F161">
            <v>1455.26</v>
          </cell>
          <cell r="G161" t="str">
            <v>Enerji Fazlası</v>
          </cell>
        </row>
        <row r="162">
          <cell r="A162">
            <v>46210.666666666664</v>
          </cell>
          <cell r="B162" t="str">
            <v>16:00</v>
          </cell>
          <cell r="C162">
            <v>2395.31</v>
          </cell>
          <cell r="D162">
            <v>51.36</v>
          </cell>
          <cell r="E162">
            <v>3500</v>
          </cell>
          <cell r="F162">
            <v>2041.72</v>
          </cell>
          <cell r="G162" t="str">
            <v>Enerji Açığı</v>
          </cell>
        </row>
        <row r="163">
          <cell r="A163">
            <v>46210.708333333336</v>
          </cell>
          <cell r="B163" t="str">
            <v>17:00</v>
          </cell>
          <cell r="C163">
            <v>2865.59</v>
          </cell>
          <cell r="D163">
            <v>61.45</v>
          </cell>
          <cell r="E163">
            <v>4029</v>
          </cell>
          <cell r="F163">
            <v>2746.02</v>
          </cell>
          <cell r="G163" t="str">
            <v>Enerji Açığı</v>
          </cell>
        </row>
        <row r="164">
          <cell r="A164">
            <v>46210.75</v>
          </cell>
          <cell r="B164" t="str">
            <v>18:00</v>
          </cell>
          <cell r="C164">
            <v>2451</v>
          </cell>
          <cell r="D164">
            <v>52.56</v>
          </cell>
          <cell r="E164">
            <v>4100</v>
          </cell>
          <cell r="F164">
            <v>2687.07</v>
          </cell>
          <cell r="G164" t="str">
            <v>Enerji Açığı</v>
          </cell>
        </row>
        <row r="165">
          <cell r="A165">
            <v>46210.791666666664</v>
          </cell>
          <cell r="B165" t="str">
            <v>19:00</v>
          </cell>
          <cell r="C165">
            <v>2874.99</v>
          </cell>
          <cell r="D165">
            <v>61.65</v>
          </cell>
          <cell r="E165">
            <v>4100</v>
          </cell>
          <cell r="F165">
            <v>3250.98</v>
          </cell>
          <cell r="G165" t="str">
            <v>Enerji Açığı</v>
          </cell>
        </row>
        <row r="166">
          <cell r="A166">
            <v>46210.833333333336</v>
          </cell>
          <cell r="B166" t="str">
            <v>20:00</v>
          </cell>
          <cell r="C166">
            <v>4245</v>
          </cell>
          <cell r="D166">
            <v>91.03</v>
          </cell>
          <cell r="E166">
            <v>4245</v>
          </cell>
          <cell r="F166">
            <v>4303.33</v>
          </cell>
          <cell r="G166" t="str">
            <v>Enerji Açığı</v>
          </cell>
        </row>
        <row r="167">
          <cell r="A167">
            <v>46210.875</v>
          </cell>
          <cell r="B167" t="str">
            <v>21:00</v>
          </cell>
          <cell r="C167">
            <v>4435.01</v>
          </cell>
          <cell r="D167">
            <v>95.1</v>
          </cell>
          <cell r="E167">
            <v>4435.01</v>
          </cell>
          <cell r="F167">
            <v>4466.71</v>
          </cell>
          <cell r="G167" t="str">
            <v>Enerji Açığı</v>
          </cell>
        </row>
        <row r="168">
          <cell r="A168">
            <v>46210.916666666664</v>
          </cell>
          <cell r="B168" t="str">
            <v>22:00</v>
          </cell>
          <cell r="C168">
            <v>3692.66</v>
          </cell>
          <cell r="D168">
            <v>79.180000000000007</v>
          </cell>
          <cell r="E168">
            <v>4000</v>
          </cell>
          <cell r="F168">
            <v>4029.65</v>
          </cell>
          <cell r="G168" t="str">
            <v>Enerji Açığı</v>
          </cell>
        </row>
        <row r="169">
          <cell r="A169">
            <v>46210.958333333336</v>
          </cell>
          <cell r="B169" t="str">
            <v>23:00</v>
          </cell>
          <cell r="C169">
            <v>2999.99</v>
          </cell>
          <cell r="D169">
            <v>64.33</v>
          </cell>
          <cell r="E169">
            <v>3500</v>
          </cell>
          <cell r="F169">
            <v>3302.44</v>
          </cell>
          <cell r="G169" t="str">
            <v>Enerji Açığı</v>
          </cell>
        </row>
        <row r="170">
          <cell r="A170">
            <v>46211</v>
          </cell>
          <cell r="B170" t="str">
            <v>00:00</v>
          </cell>
          <cell r="C170">
            <v>3199.01</v>
          </cell>
          <cell r="D170">
            <v>68.45</v>
          </cell>
          <cell r="E170">
            <v>3740</v>
          </cell>
          <cell r="F170">
            <v>3586.43</v>
          </cell>
          <cell r="G170" t="str">
            <v>Enerji Açığı</v>
          </cell>
        </row>
        <row r="171">
          <cell r="A171">
            <v>46211.041666666664</v>
          </cell>
          <cell r="B171" t="str">
            <v>01:00</v>
          </cell>
          <cell r="C171">
            <v>3184.9</v>
          </cell>
          <cell r="D171">
            <v>68.150000000000006</v>
          </cell>
          <cell r="E171">
            <v>3740</v>
          </cell>
          <cell r="F171">
            <v>3602.81</v>
          </cell>
          <cell r="G171" t="str">
            <v>Enerji Açığı</v>
          </cell>
        </row>
        <row r="172">
          <cell r="A172">
            <v>46211.083333333336</v>
          </cell>
          <cell r="B172" t="str">
            <v>02:00</v>
          </cell>
          <cell r="C172">
            <v>3199.01</v>
          </cell>
          <cell r="D172">
            <v>68.45</v>
          </cell>
          <cell r="E172">
            <v>3740</v>
          </cell>
          <cell r="F172">
            <v>3799.02</v>
          </cell>
          <cell r="G172" t="str">
            <v>Enerji Açığı</v>
          </cell>
        </row>
        <row r="173">
          <cell r="A173">
            <v>46211.125</v>
          </cell>
          <cell r="B173" t="str">
            <v>03:00</v>
          </cell>
          <cell r="C173">
            <v>3379.01</v>
          </cell>
          <cell r="D173">
            <v>72.3</v>
          </cell>
          <cell r="E173">
            <v>3740</v>
          </cell>
          <cell r="F173">
            <v>3979.9</v>
          </cell>
          <cell r="G173" t="str">
            <v>Enerji Açığı</v>
          </cell>
        </row>
        <row r="174">
          <cell r="A174">
            <v>46211.166666666664</v>
          </cell>
          <cell r="B174" t="str">
            <v>04:00</v>
          </cell>
          <cell r="C174">
            <v>3188.89</v>
          </cell>
          <cell r="D174">
            <v>68.23</v>
          </cell>
          <cell r="E174">
            <v>3718</v>
          </cell>
          <cell r="F174">
            <v>4044.45</v>
          </cell>
          <cell r="G174" t="str">
            <v>Enerji Açığı</v>
          </cell>
        </row>
        <row r="175">
          <cell r="A175">
            <v>46211.208333333336</v>
          </cell>
          <cell r="B175" t="str">
            <v>05:00</v>
          </cell>
          <cell r="C175">
            <v>2600.0100000000002</v>
          </cell>
          <cell r="D175">
            <v>55.63</v>
          </cell>
          <cell r="E175">
            <v>3000.01</v>
          </cell>
          <cell r="F175">
            <v>3360.94</v>
          </cell>
          <cell r="G175" t="str">
            <v>Enerji Açığı</v>
          </cell>
        </row>
        <row r="176">
          <cell r="A176">
            <v>46211.25</v>
          </cell>
          <cell r="B176" t="str">
            <v>06:00</v>
          </cell>
          <cell r="C176">
            <v>2050</v>
          </cell>
          <cell r="D176">
            <v>43.86</v>
          </cell>
          <cell r="E176">
            <v>3000</v>
          </cell>
          <cell r="F176">
            <v>2807.53</v>
          </cell>
          <cell r="G176" t="str">
            <v>Enerji Açığı</v>
          </cell>
        </row>
        <row r="177">
          <cell r="A177">
            <v>46211.291666666664</v>
          </cell>
          <cell r="B177" t="str">
            <v>07:00</v>
          </cell>
          <cell r="C177">
            <v>1499.97</v>
          </cell>
          <cell r="D177">
            <v>32.090000000000003</v>
          </cell>
          <cell r="E177">
            <v>1000</v>
          </cell>
          <cell r="F177">
            <v>2127.2800000000002</v>
          </cell>
          <cell r="G177" t="str">
            <v>Enerji Fazlası</v>
          </cell>
        </row>
        <row r="178">
          <cell r="A178">
            <v>46211.333333333336</v>
          </cell>
          <cell r="B178" t="str">
            <v>08:00</v>
          </cell>
          <cell r="C178">
            <v>2797.99</v>
          </cell>
          <cell r="D178">
            <v>59.87</v>
          </cell>
          <cell r="E178">
            <v>4018</v>
          </cell>
          <cell r="F178">
            <v>3191.93</v>
          </cell>
          <cell r="G178" t="str">
            <v>Enerji Açığı</v>
          </cell>
        </row>
        <row r="179">
          <cell r="A179">
            <v>46211.375</v>
          </cell>
          <cell r="B179" t="str">
            <v>09:00</v>
          </cell>
          <cell r="C179">
            <v>2499.6799999999998</v>
          </cell>
          <cell r="D179">
            <v>53.48</v>
          </cell>
          <cell r="E179">
            <v>3972.58</v>
          </cell>
          <cell r="F179">
            <v>3222.04</v>
          </cell>
          <cell r="G179" t="str">
            <v>Enerji Açığı</v>
          </cell>
        </row>
        <row r="180">
          <cell r="A180">
            <v>46211.416666666664</v>
          </cell>
          <cell r="B180" t="str">
            <v>10:00</v>
          </cell>
          <cell r="C180">
            <v>1672</v>
          </cell>
          <cell r="D180">
            <v>35.78</v>
          </cell>
          <cell r="E180">
            <v>2500</v>
          </cell>
          <cell r="F180">
            <v>2382.94</v>
          </cell>
          <cell r="G180" t="str">
            <v>Enerji Açığı</v>
          </cell>
        </row>
        <row r="181">
          <cell r="A181">
            <v>46211.458333333336</v>
          </cell>
          <cell r="B181" t="str">
            <v>11:00</v>
          </cell>
          <cell r="C181">
            <v>1799.97</v>
          </cell>
          <cell r="D181">
            <v>38.51</v>
          </cell>
          <cell r="E181">
            <v>2500</v>
          </cell>
          <cell r="F181">
            <v>2532.37</v>
          </cell>
          <cell r="G181" t="str">
            <v>Enerji Açığı</v>
          </cell>
        </row>
        <row r="182">
          <cell r="A182">
            <v>46211.5</v>
          </cell>
          <cell r="B182" t="str">
            <v>12:00</v>
          </cell>
          <cell r="C182">
            <v>998</v>
          </cell>
          <cell r="D182">
            <v>21.35</v>
          </cell>
          <cell r="E182">
            <v>773</v>
          </cell>
          <cell r="F182">
            <v>1279.8399999999999</v>
          </cell>
          <cell r="G182" t="str">
            <v>Enerji Fazlası</v>
          </cell>
        </row>
        <row r="183">
          <cell r="A183">
            <v>46211.541666666664</v>
          </cell>
          <cell r="B183" t="str">
            <v>13:00</v>
          </cell>
          <cell r="C183">
            <v>1799.97</v>
          </cell>
          <cell r="D183">
            <v>38.51</v>
          </cell>
          <cell r="E183">
            <v>2500.0100000000002</v>
          </cell>
          <cell r="F183">
            <v>2170.6799999999998</v>
          </cell>
          <cell r="G183" t="str">
            <v>Enerji Açığı</v>
          </cell>
        </row>
        <row r="184">
          <cell r="A184">
            <v>46211.583333333336</v>
          </cell>
          <cell r="B184" t="str">
            <v>14:00</v>
          </cell>
          <cell r="C184">
            <v>2116.41</v>
          </cell>
          <cell r="D184">
            <v>45.28</v>
          </cell>
          <cell r="E184">
            <v>4000</v>
          </cell>
          <cell r="F184">
            <v>2370.69</v>
          </cell>
          <cell r="G184" t="str">
            <v>Enerji Açığı</v>
          </cell>
        </row>
        <row r="185">
          <cell r="A185">
            <v>46211.625</v>
          </cell>
          <cell r="B185" t="str">
            <v>15:00</v>
          </cell>
          <cell r="C185">
            <v>2500</v>
          </cell>
          <cell r="D185">
            <v>53.49</v>
          </cell>
          <cell r="E185">
            <v>3500</v>
          </cell>
          <cell r="F185">
            <v>2733.81</v>
          </cell>
          <cell r="G185" t="str">
            <v>Enerji Açığı</v>
          </cell>
        </row>
        <row r="186">
          <cell r="A186">
            <v>46211.666666666664</v>
          </cell>
          <cell r="B186" t="str">
            <v>16:00</v>
          </cell>
          <cell r="C186">
            <v>3400.01</v>
          </cell>
          <cell r="D186">
            <v>72.75</v>
          </cell>
          <cell r="E186">
            <v>3750</v>
          </cell>
          <cell r="F186">
            <v>3453.94</v>
          </cell>
          <cell r="G186" t="str">
            <v>Enerji Açığı</v>
          </cell>
        </row>
        <row r="187">
          <cell r="A187">
            <v>46211.708333333336</v>
          </cell>
          <cell r="B187" t="str">
            <v>17:00</v>
          </cell>
          <cell r="C187">
            <v>3449.99</v>
          </cell>
          <cell r="D187">
            <v>73.819999999999993</v>
          </cell>
          <cell r="E187">
            <v>4457</v>
          </cell>
          <cell r="F187">
            <v>3588.58</v>
          </cell>
          <cell r="G187" t="str">
            <v>Enerji Açığı</v>
          </cell>
        </row>
        <row r="188">
          <cell r="A188">
            <v>46211.75</v>
          </cell>
          <cell r="B188" t="str">
            <v>18:00</v>
          </cell>
          <cell r="C188">
            <v>3323.7</v>
          </cell>
          <cell r="D188">
            <v>71.12</v>
          </cell>
          <cell r="E188">
            <v>4457</v>
          </cell>
          <cell r="F188">
            <v>3358.73</v>
          </cell>
          <cell r="G188" t="str">
            <v>Enerji Açığı</v>
          </cell>
        </row>
        <row r="189">
          <cell r="A189">
            <v>46211.791666666664</v>
          </cell>
          <cell r="B189" t="str">
            <v>19:00</v>
          </cell>
          <cell r="C189">
            <v>4000</v>
          </cell>
          <cell r="D189">
            <v>85.59</v>
          </cell>
          <cell r="E189">
            <v>4497.2</v>
          </cell>
          <cell r="F189">
            <v>4170.21</v>
          </cell>
          <cell r="G189" t="str">
            <v>Enerji Açığı</v>
          </cell>
        </row>
        <row r="190">
          <cell r="A190">
            <v>46211.833333333336</v>
          </cell>
          <cell r="B190" t="str">
            <v>20:00</v>
          </cell>
          <cell r="C190">
            <v>4497.79</v>
          </cell>
          <cell r="D190">
            <v>96.24</v>
          </cell>
          <cell r="E190">
            <v>4499</v>
          </cell>
          <cell r="F190">
            <v>4574.57</v>
          </cell>
          <cell r="G190" t="str">
            <v>Enerji Açığı</v>
          </cell>
        </row>
        <row r="191">
          <cell r="A191">
            <v>46211.875</v>
          </cell>
          <cell r="B191" t="str">
            <v>21:00</v>
          </cell>
          <cell r="C191">
            <v>4300.01</v>
          </cell>
          <cell r="D191">
            <v>92.01</v>
          </cell>
          <cell r="E191">
            <v>4500</v>
          </cell>
          <cell r="F191">
            <v>4528.84</v>
          </cell>
          <cell r="G191" t="str">
            <v>Enerji Açığı</v>
          </cell>
        </row>
        <row r="192">
          <cell r="A192">
            <v>46211.916666666664</v>
          </cell>
          <cell r="B192" t="str">
            <v>22:00</v>
          </cell>
          <cell r="C192">
            <v>3686.23</v>
          </cell>
          <cell r="D192">
            <v>78.87</v>
          </cell>
          <cell r="E192">
            <v>4497</v>
          </cell>
          <cell r="F192">
            <v>4112.78</v>
          </cell>
          <cell r="G192" t="str">
            <v>Enerji Açığı</v>
          </cell>
        </row>
        <row r="193">
          <cell r="A193">
            <v>46211.958333333336</v>
          </cell>
          <cell r="B193" t="str">
            <v>23:00</v>
          </cell>
          <cell r="C193">
            <v>3323.7</v>
          </cell>
          <cell r="D193">
            <v>71.12</v>
          </cell>
          <cell r="E193">
            <v>4457</v>
          </cell>
          <cell r="F193">
            <v>3726.66</v>
          </cell>
          <cell r="G193" t="str">
            <v>Enerji Açığı</v>
          </cell>
        </row>
      </sheetData>
      <sheetData sheetId="1">
        <row r="4">
          <cell r="B4">
            <v>8.94</v>
          </cell>
          <cell r="C4">
            <v>9</v>
          </cell>
          <cell r="D4">
            <v>9</v>
          </cell>
          <cell r="E4">
            <v>8.15</v>
          </cell>
          <cell r="F4">
            <v>7</v>
          </cell>
          <cell r="G4">
            <v>8</v>
          </cell>
          <cell r="H4">
            <v>0</v>
          </cell>
          <cell r="I4">
            <v>0</v>
          </cell>
          <cell r="J4">
            <v>0</v>
          </cell>
        </row>
        <row r="5">
          <cell r="B5">
            <v>9.9700000000000006</v>
          </cell>
          <cell r="C5">
            <v>9</v>
          </cell>
          <cell r="D5">
            <v>10</v>
          </cell>
          <cell r="E5">
            <v>8.14</v>
          </cell>
          <cell r="F5">
            <v>7</v>
          </cell>
          <cell r="G5">
            <v>8</v>
          </cell>
          <cell r="H5">
            <v>0</v>
          </cell>
          <cell r="I5">
            <v>0</v>
          </cell>
          <cell r="J5">
            <v>0</v>
          </cell>
        </row>
        <row r="6">
          <cell r="B6">
            <v>10.050000000000001</v>
          </cell>
          <cell r="C6">
            <v>9</v>
          </cell>
          <cell r="D6">
            <v>9</v>
          </cell>
          <cell r="E6">
            <v>7.25</v>
          </cell>
          <cell r="F6">
            <v>7</v>
          </cell>
          <cell r="G6">
            <v>8</v>
          </cell>
          <cell r="H6">
            <v>0</v>
          </cell>
          <cell r="I6">
            <v>0</v>
          </cell>
          <cell r="J6">
            <v>0</v>
          </cell>
        </row>
        <row r="7">
          <cell r="B7">
            <v>8.9700000000000006</v>
          </cell>
          <cell r="C7">
            <v>9</v>
          </cell>
          <cell r="D7">
            <v>9</v>
          </cell>
          <cell r="E7">
            <v>7.15</v>
          </cell>
          <cell r="F7">
            <v>7</v>
          </cell>
          <cell r="G7">
            <v>7</v>
          </cell>
          <cell r="H7">
            <v>0</v>
          </cell>
          <cell r="I7">
            <v>0</v>
          </cell>
          <cell r="J7">
            <v>0</v>
          </cell>
        </row>
        <row r="8">
          <cell r="B8">
            <v>11.99</v>
          </cell>
          <cell r="C8">
            <v>10</v>
          </cell>
          <cell r="D8">
            <v>12</v>
          </cell>
          <cell r="E8">
            <v>8.2100000000000009</v>
          </cell>
          <cell r="F8">
            <v>7</v>
          </cell>
          <cell r="G8">
            <v>8</v>
          </cell>
          <cell r="H8">
            <v>0</v>
          </cell>
          <cell r="I8">
            <v>0</v>
          </cell>
          <cell r="J8">
            <v>0</v>
          </cell>
        </row>
        <row r="9">
          <cell r="B9">
            <v>12.06</v>
          </cell>
          <cell r="C9">
            <v>10</v>
          </cell>
          <cell r="D9">
            <v>12</v>
          </cell>
          <cell r="E9">
            <v>8.3000000000000007</v>
          </cell>
          <cell r="F9">
            <v>7</v>
          </cell>
          <cell r="G9">
            <v>8</v>
          </cell>
          <cell r="H9">
            <v>0</v>
          </cell>
          <cell r="I9">
            <v>0</v>
          </cell>
          <cell r="J9">
            <v>0</v>
          </cell>
        </row>
        <row r="10">
          <cell r="B10">
            <v>12.64</v>
          </cell>
          <cell r="C10">
            <v>13.2</v>
          </cell>
          <cell r="D10">
            <v>13.2</v>
          </cell>
          <cell r="E10">
            <v>10.96</v>
          </cell>
          <cell r="F10">
            <v>9</v>
          </cell>
          <cell r="G10">
            <v>10</v>
          </cell>
          <cell r="H10">
            <v>0</v>
          </cell>
          <cell r="I10">
            <v>0</v>
          </cell>
          <cell r="J10">
            <v>0</v>
          </cell>
        </row>
        <row r="11">
          <cell r="B11">
            <v>11.34</v>
          </cell>
          <cell r="C11">
            <v>13.5</v>
          </cell>
          <cell r="D11">
            <v>13.5</v>
          </cell>
          <cell r="E11">
            <v>11.38</v>
          </cell>
          <cell r="F11">
            <v>9</v>
          </cell>
          <cell r="G11">
            <v>9</v>
          </cell>
          <cell r="H11">
            <v>0</v>
          </cell>
          <cell r="I11">
            <v>0</v>
          </cell>
          <cell r="J11">
            <v>0</v>
          </cell>
        </row>
        <row r="12">
          <cell r="B12">
            <v>11.76</v>
          </cell>
          <cell r="C12">
            <v>15</v>
          </cell>
          <cell r="D12">
            <v>15</v>
          </cell>
          <cell r="E12">
            <v>12.38</v>
          </cell>
          <cell r="F12">
            <v>9</v>
          </cell>
          <cell r="G12">
            <v>10</v>
          </cell>
          <cell r="H12">
            <v>0</v>
          </cell>
          <cell r="I12">
            <v>0</v>
          </cell>
          <cell r="J12">
            <v>0</v>
          </cell>
        </row>
        <row r="13">
          <cell r="B13">
            <v>13.04</v>
          </cell>
          <cell r="C13">
            <v>15</v>
          </cell>
          <cell r="D13">
            <v>15</v>
          </cell>
          <cell r="E13">
            <v>12.4</v>
          </cell>
          <cell r="F13">
            <v>10</v>
          </cell>
          <cell r="G13">
            <v>10</v>
          </cell>
          <cell r="H13">
            <v>0</v>
          </cell>
          <cell r="I13">
            <v>0</v>
          </cell>
          <cell r="J13">
            <v>0</v>
          </cell>
        </row>
        <row r="14">
          <cell r="B14">
            <v>14.79</v>
          </cell>
          <cell r="C14">
            <v>15.3</v>
          </cell>
          <cell r="D14">
            <v>15.3</v>
          </cell>
          <cell r="E14">
            <v>11.31</v>
          </cell>
          <cell r="F14">
            <v>10</v>
          </cell>
          <cell r="G14">
            <v>10</v>
          </cell>
          <cell r="H14">
            <v>0</v>
          </cell>
          <cell r="I14">
            <v>0</v>
          </cell>
          <cell r="J14">
            <v>0</v>
          </cell>
        </row>
        <row r="15">
          <cell r="B15">
            <v>15.63</v>
          </cell>
          <cell r="C15">
            <v>15.3</v>
          </cell>
          <cell r="D15">
            <v>15.3</v>
          </cell>
          <cell r="E15">
            <v>10.35</v>
          </cell>
          <cell r="F15">
            <v>10</v>
          </cell>
          <cell r="G15">
            <v>10</v>
          </cell>
          <cell r="H15">
            <v>0</v>
          </cell>
          <cell r="I15">
            <v>0</v>
          </cell>
          <cell r="J15">
            <v>0</v>
          </cell>
        </row>
        <row r="16">
          <cell r="B16">
            <v>15.73</v>
          </cell>
          <cell r="C16">
            <v>15.5</v>
          </cell>
          <cell r="D16">
            <v>15.5</v>
          </cell>
          <cell r="E16">
            <v>10.41</v>
          </cell>
          <cell r="F16">
            <v>10</v>
          </cell>
          <cell r="G16">
            <v>10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15.76</v>
          </cell>
          <cell r="C17">
            <v>15.5</v>
          </cell>
          <cell r="D17">
            <v>15.5</v>
          </cell>
          <cell r="E17">
            <v>12.2</v>
          </cell>
          <cell r="F17">
            <v>10</v>
          </cell>
          <cell r="G17">
            <v>12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15.94</v>
          </cell>
          <cell r="C18">
            <v>15.5</v>
          </cell>
          <cell r="D18">
            <v>15.5</v>
          </cell>
          <cell r="E18">
            <v>13.22</v>
          </cell>
          <cell r="F18">
            <v>10</v>
          </cell>
          <cell r="G18">
            <v>13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15.72</v>
          </cell>
          <cell r="C19">
            <v>15.3</v>
          </cell>
          <cell r="D19">
            <v>15.3</v>
          </cell>
          <cell r="E19">
            <v>10.1</v>
          </cell>
          <cell r="F19">
            <v>10</v>
          </cell>
          <cell r="G19">
            <v>10</v>
          </cell>
          <cell r="H19">
            <v>0</v>
          </cell>
          <cell r="I19">
            <v>0</v>
          </cell>
          <cell r="J19">
            <v>0</v>
          </cell>
        </row>
        <row r="20">
          <cell r="B20">
            <v>16.170000000000002</v>
          </cell>
          <cell r="C20">
            <v>15</v>
          </cell>
          <cell r="D20">
            <v>15</v>
          </cell>
          <cell r="E20">
            <v>10.199999999999999</v>
          </cell>
          <cell r="F20">
            <v>10</v>
          </cell>
          <cell r="G20">
            <v>11</v>
          </cell>
          <cell r="H20">
            <v>0</v>
          </cell>
          <cell r="I20">
            <v>0</v>
          </cell>
          <cell r="J20">
            <v>0</v>
          </cell>
        </row>
        <row r="21">
          <cell r="B21">
            <v>15.01</v>
          </cell>
          <cell r="C21">
            <v>13.5</v>
          </cell>
          <cell r="D21">
            <v>13.5</v>
          </cell>
          <cell r="E21">
            <v>8.43</v>
          </cell>
          <cell r="F21">
            <v>9</v>
          </cell>
          <cell r="G21">
            <v>9</v>
          </cell>
          <cell r="H21">
            <v>0</v>
          </cell>
          <cell r="I21">
            <v>0</v>
          </cell>
          <cell r="J21">
            <v>0</v>
          </cell>
        </row>
        <row r="22">
          <cell r="B22">
            <v>14.64</v>
          </cell>
          <cell r="C22">
            <v>13.3</v>
          </cell>
          <cell r="D22">
            <v>14.5</v>
          </cell>
          <cell r="E22">
            <v>9.19</v>
          </cell>
          <cell r="F22">
            <v>9</v>
          </cell>
          <cell r="G22">
            <v>9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14.81</v>
          </cell>
          <cell r="C23">
            <v>13.2</v>
          </cell>
          <cell r="D23">
            <v>15.5</v>
          </cell>
          <cell r="E23">
            <v>12.1</v>
          </cell>
          <cell r="F23">
            <v>9</v>
          </cell>
          <cell r="G23">
            <v>11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14.22</v>
          </cell>
          <cell r="C24">
            <v>13</v>
          </cell>
          <cell r="D24">
            <v>15</v>
          </cell>
          <cell r="E24">
            <v>12.61</v>
          </cell>
          <cell r="F24">
            <v>9</v>
          </cell>
          <cell r="G24">
            <v>11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15.14</v>
          </cell>
          <cell r="C25">
            <v>12</v>
          </cell>
          <cell r="D25">
            <v>15</v>
          </cell>
          <cell r="E25">
            <v>13.28</v>
          </cell>
          <cell r="F25">
            <v>9</v>
          </cell>
          <cell r="G25">
            <v>13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15.13</v>
          </cell>
          <cell r="C26">
            <v>12</v>
          </cell>
          <cell r="D26">
            <v>15</v>
          </cell>
          <cell r="E26">
            <v>13.22</v>
          </cell>
          <cell r="F26">
            <v>9</v>
          </cell>
          <cell r="G26">
            <v>13</v>
          </cell>
          <cell r="H26">
            <v>0</v>
          </cell>
          <cell r="I26">
            <v>0</v>
          </cell>
          <cell r="J26">
            <v>0</v>
          </cell>
        </row>
        <row r="27">
          <cell r="B27">
            <v>15.08</v>
          </cell>
          <cell r="C27">
            <v>12</v>
          </cell>
          <cell r="D27">
            <v>15</v>
          </cell>
          <cell r="E27">
            <v>12.22</v>
          </cell>
          <cell r="F27">
            <v>9</v>
          </cell>
          <cell r="G27">
            <v>12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13.31</v>
          </cell>
          <cell r="C28">
            <v>9</v>
          </cell>
          <cell r="D28">
            <v>13</v>
          </cell>
          <cell r="E28">
            <v>9.43</v>
          </cell>
          <cell r="F28">
            <v>7</v>
          </cell>
          <cell r="G28">
            <v>9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13.02</v>
          </cell>
          <cell r="C29">
            <v>9</v>
          </cell>
          <cell r="D29">
            <v>13</v>
          </cell>
          <cell r="E29">
            <v>9.3000000000000007</v>
          </cell>
          <cell r="F29">
            <v>7</v>
          </cell>
          <cell r="G29">
            <v>9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13.06</v>
          </cell>
          <cell r="C30">
            <v>9</v>
          </cell>
          <cell r="D30">
            <v>13</v>
          </cell>
          <cell r="E30">
            <v>9.19</v>
          </cell>
          <cell r="F30">
            <v>7</v>
          </cell>
          <cell r="G30">
            <v>9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13.16</v>
          </cell>
          <cell r="C31">
            <v>9</v>
          </cell>
          <cell r="D31">
            <v>13</v>
          </cell>
          <cell r="E31">
            <v>10.45</v>
          </cell>
          <cell r="F31">
            <v>7</v>
          </cell>
          <cell r="G31">
            <v>10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13.13</v>
          </cell>
          <cell r="C32">
            <v>10</v>
          </cell>
          <cell r="D32">
            <v>13</v>
          </cell>
          <cell r="E32">
            <v>10.17</v>
          </cell>
          <cell r="F32">
            <v>8</v>
          </cell>
          <cell r="G32">
            <v>10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13.2</v>
          </cell>
          <cell r="C33">
            <v>10</v>
          </cell>
          <cell r="D33">
            <v>13</v>
          </cell>
          <cell r="E33">
            <v>10.26</v>
          </cell>
          <cell r="F33">
            <v>8</v>
          </cell>
          <cell r="G33">
            <v>10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14.22</v>
          </cell>
          <cell r="C34">
            <v>11.2</v>
          </cell>
          <cell r="D34">
            <v>14</v>
          </cell>
          <cell r="E34">
            <v>10.19</v>
          </cell>
          <cell r="F34">
            <v>8</v>
          </cell>
          <cell r="G34">
            <v>10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14.25</v>
          </cell>
          <cell r="C35">
            <v>11.5</v>
          </cell>
          <cell r="D35">
            <v>14</v>
          </cell>
          <cell r="E35">
            <v>10.35</v>
          </cell>
          <cell r="F35">
            <v>8</v>
          </cell>
          <cell r="G35">
            <v>10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14.19</v>
          </cell>
          <cell r="C36">
            <v>14</v>
          </cell>
          <cell r="D36">
            <v>14</v>
          </cell>
          <cell r="E36">
            <v>10.34</v>
          </cell>
          <cell r="F36">
            <v>9</v>
          </cell>
          <cell r="G36">
            <v>10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14.5</v>
          </cell>
          <cell r="C37">
            <v>14</v>
          </cell>
          <cell r="D37">
            <v>14</v>
          </cell>
          <cell r="E37">
            <v>10.08</v>
          </cell>
          <cell r="F37">
            <v>9</v>
          </cell>
          <cell r="G37">
            <v>10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14.78</v>
          </cell>
          <cell r="C38">
            <v>14.3</v>
          </cell>
          <cell r="D38">
            <v>14.3</v>
          </cell>
          <cell r="E38">
            <v>10.19</v>
          </cell>
          <cell r="F38">
            <v>9</v>
          </cell>
          <cell r="G38">
            <v>10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14.74</v>
          </cell>
          <cell r="C39">
            <v>14.3</v>
          </cell>
          <cell r="D39">
            <v>14.3</v>
          </cell>
          <cell r="E39">
            <v>10.18</v>
          </cell>
          <cell r="F39">
            <v>9</v>
          </cell>
          <cell r="G39">
            <v>10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14.83</v>
          </cell>
          <cell r="C40">
            <v>14.5</v>
          </cell>
          <cell r="D40">
            <v>14.5</v>
          </cell>
          <cell r="E40">
            <v>9.18</v>
          </cell>
          <cell r="F40">
            <v>9</v>
          </cell>
          <cell r="G40">
            <v>9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15.7</v>
          </cell>
          <cell r="C41">
            <v>14.5</v>
          </cell>
          <cell r="D41">
            <v>15.5</v>
          </cell>
          <cell r="E41">
            <v>10.23</v>
          </cell>
          <cell r="F41">
            <v>9</v>
          </cell>
          <cell r="G41">
            <v>10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15.57</v>
          </cell>
          <cell r="C42">
            <v>14.5</v>
          </cell>
          <cell r="D42">
            <v>15.5</v>
          </cell>
          <cell r="E42">
            <v>10.210000000000001</v>
          </cell>
          <cell r="F42">
            <v>9</v>
          </cell>
          <cell r="G42">
            <v>10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15.47</v>
          </cell>
          <cell r="C43">
            <v>14.3</v>
          </cell>
          <cell r="D43">
            <v>15.5</v>
          </cell>
          <cell r="E43">
            <v>9.4</v>
          </cell>
          <cell r="F43">
            <v>9</v>
          </cell>
          <cell r="G43">
            <v>9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13.96</v>
          </cell>
          <cell r="C44">
            <v>14</v>
          </cell>
          <cell r="D44">
            <v>14</v>
          </cell>
          <cell r="E44">
            <v>10.41</v>
          </cell>
          <cell r="F44">
            <v>9</v>
          </cell>
          <cell r="G44">
            <v>10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13.04</v>
          </cell>
          <cell r="C45">
            <v>12.5</v>
          </cell>
          <cell r="D45">
            <v>14</v>
          </cell>
          <cell r="E45">
            <v>11.13</v>
          </cell>
          <cell r="F45">
            <v>8</v>
          </cell>
          <cell r="G45">
            <v>10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14.1</v>
          </cell>
          <cell r="C46">
            <v>12.3</v>
          </cell>
          <cell r="D46">
            <v>14</v>
          </cell>
          <cell r="E46">
            <v>11.15</v>
          </cell>
          <cell r="F46">
            <v>8</v>
          </cell>
          <cell r="G46">
            <v>11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13.21</v>
          </cell>
          <cell r="C47">
            <v>12.2</v>
          </cell>
          <cell r="D47">
            <v>13</v>
          </cell>
          <cell r="E47">
            <v>10.32</v>
          </cell>
          <cell r="F47">
            <v>8</v>
          </cell>
          <cell r="G47">
            <v>10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12.14</v>
          </cell>
          <cell r="C48">
            <v>12</v>
          </cell>
          <cell r="D48">
            <v>12</v>
          </cell>
          <cell r="E48">
            <v>8.27</v>
          </cell>
          <cell r="F48">
            <v>8</v>
          </cell>
          <cell r="G48">
            <v>8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11.52</v>
          </cell>
          <cell r="C49">
            <v>9</v>
          </cell>
          <cell r="D49">
            <v>12</v>
          </cell>
          <cell r="E49">
            <v>9.67</v>
          </cell>
          <cell r="F49">
            <v>7</v>
          </cell>
          <cell r="G49">
            <v>9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12.02</v>
          </cell>
          <cell r="C50">
            <v>9</v>
          </cell>
          <cell r="D50">
            <v>12</v>
          </cell>
          <cell r="E50">
            <v>9.15</v>
          </cell>
          <cell r="F50">
            <v>7</v>
          </cell>
          <cell r="G50">
            <v>9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12.05</v>
          </cell>
          <cell r="C51">
            <v>9</v>
          </cell>
          <cell r="D51">
            <v>12</v>
          </cell>
          <cell r="E51">
            <v>10.16</v>
          </cell>
          <cell r="F51">
            <v>7</v>
          </cell>
          <cell r="G51">
            <v>10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12.1</v>
          </cell>
          <cell r="C52">
            <v>11</v>
          </cell>
          <cell r="D52">
            <v>12</v>
          </cell>
          <cell r="E52">
            <v>10.15</v>
          </cell>
          <cell r="F52">
            <v>8</v>
          </cell>
          <cell r="G52">
            <v>10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12.12</v>
          </cell>
          <cell r="C53">
            <v>11</v>
          </cell>
          <cell r="D53">
            <v>12</v>
          </cell>
          <cell r="E53">
            <v>8.16</v>
          </cell>
          <cell r="F53">
            <v>8</v>
          </cell>
          <cell r="G53">
            <v>8</v>
          </cell>
          <cell r="H53">
            <v>0</v>
          </cell>
          <cell r="I53">
            <v>0</v>
          </cell>
          <cell r="J53">
            <v>0</v>
          </cell>
        </row>
        <row r="54">
          <cell r="B54">
            <v>12.1</v>
          </cell>
          <cell r="C54">
            <v>11</v>
          </cell>
          <cell r="D54">
            <v>12</v>
          </cell>
          <cell r="E54">
            <v>9.18</v>
          </cell>
          <cell r="F54">
            <v>8</v>
          </cell>
          <cell r="G54">
            <v>9</v>
          </cell>
          <cell r="H54">
            <v>0</v>
          </cell>
          <cell r="I54">
            <v>0</v>
          </cell>
          <cell r="J54">
            <v>0</v>
          </cell>
        </row>
        <row r="55">
          <cell r="B55">
            <v>12.1</v>
          </cell>
          <cell r="C55">
            <v>11</v>
          </cell>
          <cell r="D55">
            <v>12</v>
          </cell>
          <cell r="E55">
            <v>8.23</v>
          </cell>
          <cell r="F55">
            <v>8</v>
          </cell>
          <cell r="G55">
            <v>8</v>
          </cell>
          <cell r="H55">
            <v>0</v>
          </cell>
          <cell r="I55">
            <v>0</v>
          </cell>
          <cell r="J55">
            <v>0</v>
          </cell>
        </row>
        <row r="56">
          <cell r="B56">
            <v>12.11</v>
          </cell>
          <cell r="C56">
            <v>11</v>
          </cell>
          <cell r="D56">
            <v>12</v>
          </cell>
          <cell r="E56">
            <v>9.0500000000000007</v>
          </cell>
          <cell r="F56">
            <v>8</v>
          </cell>
          <cell r="G56">
            <v>9</v>
          </cell>
          <cell r="H56">
            <v>0</v>
          </cell>
          <cell r="I56">
            <v>0</v>
          </cell>
          <cell r="J56">
            <v>0</v>
          </cell>
        </row>
        <row r="57">
          <cell r="B57">
            <v>12.13</v>
          </cell>
          <cell r="C57">
            <v>11</v>
          </cell>
          <cell r="D57">
            <v>12</v>
          </cell>
          <cell r="E57">
            <v>9.16</v>
          </cell>
          <cell r="F57">
            <v>8</v>
          </cell>
          <cell r="G57">
            <v>9</v>
          </cell>
          <cell r="H57">
            <v>0</v>
          </cell>
          <cell r="I57">
            <v>0</v>
          </cell>
          <cell r="J57">
            <v>0</v>
          </cell>
        </row>
        <row r="58">
          <cell r="B58">
            <v>13.26</v>
          </cell>
          <cell r="C58">
            <v>13.2</v>
          </cell>
          <cell r="D58">
            <v>13.2</v>
          </cell>
          <cell r="E58">
            <v>9.14</v>
          </cell>
          <cell r="F58">
            <v>9</v>
          </cell>
          <cell r="G58">
            <v>9</v>
          </cell>
          <cell r="H58">
            <v>0</v>
          </cell>
          <cell r="I58">
            <v>0</v>
          </cell>
          <cell r="J58">
            <v>0</v>
          </cell>
        </row>
        <row r="59">
          <cell r="B59">
            <v>13.33</v>
          </cell>
          <cell r="C59">
            <v>13.5</v>
          </cell>
          <cell r="D59">
            <v>13.5</v>
          </cell>
          <cell r="E59">
            <v>9.44</v>
          </cell>
          <cell r="F59">
            <v>9</v>
          </cell>
          <cell r="G59">
            <v>9</v>
          </cell>
          <cell r="H59">
            <v>0</v>
          </cell>
          <cell r="I59">
            <v>0</v>
          </cell>
          <cell r="J59">
            <v>0</v>
          </cell>
        </row>
        <row r="60">
          <cell r="B60">
            <v>13.96</v>
          </cell>
          <cell r="C60">
            <v>15</v>
          </cell>
          <cell r="D60">
            <v>15</v>
          </cell>
          <cell r="E60">
            <v>10.49</v>
          </cell>
          <cell r="F60">
            <v>9</v>
          </cell>
          <cell r="G60">
            <v>9</v>
          </cell>
          <cell r="H60">
            <v>0</v>
          </cell>
          <cell r="I60">
            <v>0</v>
          </cell>
          <cell r="J60">
            <v>0</v>
          </cell>
        </row>
        <row r="61">
          <cell r="B61">
            <v>14.01</v>
          </cell>
          <cell r="C61">
            <v>15</v>
          </cell>
          <cell r="D61">
            <v>15</v>
          </cell>
          <cell r="E61">
            <v>11.11</v>
          </cell>
          <cell r="F61">
            <v>9</v>
          </cell>
          <cell r="G61">
            <v>10</v>
          </cell>
          <cell r="H61">
            <v>0</v>
          </cell>
          <cell r="I61">
            <v>0</v>
          </cell>
          <cell r="J61">
            <v>0</v>
          </cell>
        </row>
        <row r="62">
          <cell r="B62">
            <v>14.6</v>
          </cell>
          <cell r="C62">
            <v>15.3</v>
          </cell>
          <cell r="D62">
            <v>15.3</v>
          </cell>
          <cell r="E62">
            <v>11.15</v>
          </cell>
          <cell r="F62">
            <v>10</v>
          </cell>
          <cell r="G62">
            <v>10</v>
          </cell>
          <cell r="H62">
            <v>0</v>
          </cell>
          <cell r="I62">
            <v>0</v>
          </cell>
          <cell r="J62">
            <v>0</v>
          </cell>
        </row>
        <row r="63">
          <cell r="B63">
            <v>15.3</v>
          </cell>
          <cell r="C63">
            <v>15.3</v>
          </cell>
          <cell r="D63">
            <v>15.3</v>
          </cell>
          <cell r="E63">
            <v>10.220000000000001</v>
          </cell>
          <cell r="F63">
            <v>10</v>
          </cell>
          <cell r="G63">
            <v>10</v>
          </cell>
          <cell r="H63">
            <v>0</v>
          </cell>
          <cell r="I63">
            <v>0</v>
          </cell>
          <cell r="J63">
            <v>0</v>
          </cell>
        </row>
        <row r="64">
          <cell r="B64">
            <v>12.61</v>
          </cell>
          <cell r="C64">
            <v>15.5</v>
          </cell>
          <cell r="D64">
            <v>12.5</v>
          </cell>
          <cell r="E64">
            <v>9.19</v>
          </cell>
          <cell r="F64">
            <v>10</v>
          </cell>
          <cell r="G64">
            <v>9</v>
          </cell>
          <cell r="H64">
            <v>0</v>
          </cell>
          <cell r="I64">
            <v>0</v>
          </cell>
          <cell r="J64">
            <v>0</v>
          </cell>
        </row>
        <row r="65">
          <cell r="B65">
            <v>14.64</v>
          </cell>
          <cell r="C65">
            <v>15.5</v>
          </cell>
          <cell r="D65">
            <v>15.5</v>
          </cell>
          <cell r="E65">
            <v>11.21</v>
          </cell>
          <cell r="F65">
            <v>10</v>
          </cell>
          <cell r="G65">
            <v>10</v>
          </cell>
          <cell r="H65">
            <v>0</v>
          </cell>
          <cell r="I65">
            <v>0</v>
          </cell>
          <cell r="J65">
            <v>0</v>
          </cell>
        </row>
        <row r="66">
          <cell r="B66">
            <v>14.99</v>
          </cell>
          <cell r="C66">
            <v>15.5</v>
          </cell>
          <cell r="D66">
            <v>15.5</v>
          </cell>
          <cell r="E66">
            <v>10.64</v>
          </cell>
          <cell r="F66">
            <v>10</v>
          </cell>
          <cell r="G66">
            <v>10</v>
          </cell>
          <cell r="H66">
            <v>0</v>
          </cell>
          <cell r="I66">
            <v>0</v>
          </cell>
          <cell r="J66">
            <v>0</v>
          </cell>
        </row>
        <row r="67">
          <cell r="B67">
            <v>15.62</v>
          </cell>
          <cell r="C67">
            <v>15.3</v>
          </cell>
          <cell r="D67">
            <v>15.3</v>
          </cell>
          <cell r="E67">
            <v>10.199999999999999</v>
          </cell>
          <cell r="F67">
            <v>10</v>
          </cell>
          <cell r="G67">
            <v>10</v>
          </cell>
          <cell r="H67">
            <v>0</v>
          </cell>
          <cell r="I67">
            <v>0</v>
          </cell>
          <cell r="J67">
            <v>0</v>
          </cell>
        </row>
        <row r="68">
          <cell r="B68">
            <v>15.04</v>
          </cell>
          <cell r="C68">
            <v>15</v>
          </cell>
          <cell r="D68">
            <v>15</v>
          </cell>
          <cell r="E68">
            <v>10.18</v>
          </cell>
          <cell r="F68">
            <v>10</v>
          </cell>
          <cell r="G68">
            <v>10</v>
          </cell>
          <cell r="H68">
            <v>0</v>
          </cell>
          <cell r="I68">
            <v>0</v>
          </cell>
          <cell r="J68">
            <v>0</v>
          </cell>
        </row>
        <row r="69">
          <cell r="B69">
            <v>14.67</v>
          </cell>
          <cell r="C69">
            <v>14.5</v>
          </cell>
          <cell r="D69">
            <v>14.5</v>
          </cell>
          <cell r="E69">
            <v>10.199999999999999</v>
          </cell>
          <cell r="F69">
            <v>10</v>
          </cell>
          <cell r="G69">
            <v>10</v>
          </cell>
          <cell r="H69">
            <v>0</v>
          </cell>
          <cell r="I69">
            <v>0</v>
          </cell>
          <cell r="J69">
            <v>0</v>
          </cell>
        </row>
        <row r="70">
          <cell r="B70">
            <v>13.78</v>
          </cell>
          <cell r="C70">
            <v>13.3</v>
          </cell>
          <cell r="D70">
            <v>13.3</v>
          </cell>
          <cell r="E70">
            <v>8.41</v>
          </cell>
          <cell r="F70">
            <v>10</v>
          </cell>
          <cell r="G70">
            <v>8</v>
          </cell>
          <cell r="H70">
            <v>0</v>
          </cell>
          <cell r="I70">
            <v>0</v>
          </cell>
          <cell r="J70">
            <v>0</v>
          </cell>
        </row>
        <row r="71">
          <cell r="B71">
            <v>13.35</v>
          </cell>
          <cell r="C71">
            <v>13.2</v>
          </cell>
          <cell r="D71">
            <v>13.2</v>
          </cell>
          <cell r="E71">
            <v>10.01</v>
          </cell>
          <cell r="F71">
            <v>10</v>
          </cell>
          <cell r="G71">
            <v>10</v>
          </cell>
          <cell r="H71">
            <v>0</v>
          </cell>
          <cell r="I71">
            <v>0</v>
          </cell>
          <cell r="J71">
            <v>0</v>
          </cell>
        </row>
        <row r="72">
          <cell r="B72">
            <v>13.17</v>
          </cell>
          <cell r="C72">
            <v>13</v>
          </cell>
          <cell r="D72">
            <v>13</v>
          </cell>
          <cell r="E72">
            <v>10.17</v>
          </cell>
          <cell r="F72">
            <v>10</v>
          </cell>
          <cell r="G72">
            <v>10</v>
          </cell>
          <cell r="H72">
            <v>0</v>
          </cell>
          <cell r="I72">
            <v>0</v>
          </cell>
          <cell r="J72">
            <v>0</v>
          </cell>
        </row>
        <row r="73">
          <cell r="B73">
            <v>11.57</v>
          </cell>
          <cell r="C73">
            <v>11</v>
          </cell>
          <cell r="D73">
            <v>11</v>
          </cell>
          <cell r="E73">
            <v>10.130000000000001</v>
          </cell>
          <cell r="F73">
            <v>10</v>
          </cell>
          <cell r="G73">
            <v>10</v>
          </cell>
          <cell r="H73">
            <v>0</v>
          </cell>
          <cell r="I73">
            <v>0</v>
          </cell>
          <cell r="J73">
            <v>0</v>
          </cell>
        </row>
        <row r="74">
          <cell r="B74">
            <v>11.08</v>
          </cell>
          <cell r="C74">
            <v>11</v>
          </cell>
          <cell r="D74">
            <v>11</v>
          </cell>
          <cell r="E74">
            <v>10.119999999999999</v>
          </cell>
          <cell r="F74">
            <v>10</v>
          </cell>
          <cell r="G74">
            <v>10</v>
          </cell>
          <cell r="H74">
            <v>0</v>
          </cell>
          <cell r="I74">
            <v>0</v>
          </cell>
          <cell r="J74">
            <v>0</v>
          </cell>
        </row>
        <row r="75">
          <cell r="B75">
            <v>12.07</v>
          </cell>
          <cell r="C75">
            <v>11</v>
          </cell>
          <cell r="D75">
            <v>12</v>
          </cell>
          <cell r="E75">
            <v>10.17</v>
          </cell>
          <cell r="F75">
            <v>10</v>
          </cell>
          <cell r="G75">
            <v>10</v>
          </cell>
          <cell r="H75">
            <v>0</v>
          </cell>
          <cell r="I75">
            <v>0</v>
          </cell>
          <cell r="J75">
            <v>0</v>
          </cell>
        </row>
        <row r="76">
          <cell r="B76">
            <v>12.17</v>
          </cell>
          <cell r="C76">
            <v>11</v>
          </cell>
          <cell r="D76">
            <v>12</v>
          </cell>
          <cell r="E76">
            <v>10.199999999999999</v>
          </cell>
          <cell r="F76">
            <v>8</v>
          </cell>
          <cell r="G76">
            <v>10</v>
          </cell>
          <cell r="H76">
            <v>0</v>
          </cell>
          <cell r="I76">
            <v>0</v>
          </cell>
          <cell r="J76">
            <v>0</v>
          </cell>
        </row>
        <row r="77">
          <cell r="B77">
            <v>13.13</v>
          </cell>
          <cell r="C77">
            <v>11</v>
          </cell>
          <cell r="D77">
            <v>13</v>
          </cell>
          <cell r="E77">
            <v>10.16</v>
          </cell>
          <cell r="F77">
            <v>8</v>
          </cell>
          <cell r="G77">
            <v>10</v>
          </cell>
          <cell r="H77">
            <v>0</v>
          </cell>
          <cell r="I77">
            <v>0</v>
          </cell>
          <cell r="J77">
            <v>0</v>
          </cell>
        </row>
        <row r="78">
          <cell r="B78">
            <v>13.14</v>
          </cell>
          <cell r="C78">
            <v>11</v>
          </cell>
          <cell r="D78">
            <v>13</v>
          </cell>
          <cell r="E78">
            <v>10.3</v>
          </cell>
          <cell r="F78">
            <v>8</v>
          </cell>
          <cell r="G78">
            <v>10</v>
          </cell>
          <cell r="H78">
            <v>0</v>
          </cell>
          <cell r="I78">
            <v>0</v>
          </cell>
          <cell r="J78">
            <v>0</v>
          </cell>
        </row>
        <row r="79">
          <cell r="B79">
            <v>14.17</v>
          </cell>
          <cell r="C79">
            <v>11</v>
          </cell>
          <cell r="D79">
            <v>14</v>
          </cell>
          <cell r="E79">
            <v>11.2</v>
          </cell>
          <cell r="F79">
            <v>8</v>
          </cell>
          <cell r="G79">
            <v>11</v>
          </cell>
          <cell r="H79">
            <v>0</v>
          </cell>
          <cell r="I79">
            <v>0</v>
          </cell>
          <cell r="J79">
            <v>0</v>
          </cell>
        </row>
        <row r="80">
          <cell r="B80">
            <v>14.14</v>
          </cell>
          <cell r="C80">
            <v>11</v>
          </cell>
          <cell r="D80">
            <v>14</v>
          </cell>
          <cell r="E80">
            <v>10.1</v>
          </cell>
          <cell r="F80">
            <v>8</v>
          </cell>
          <cell r="G80">
            <v>9</v>
          </cell>
          <cell r="H80">
            <v>0</v>
          </cell>
          <cell r="I80">
            <v>0</v>
          </cell>
          <cell r="J80">
            <v>0</v>
          </cell>
        </row>
        <row r="81">
          <cell r="B81">
            <v>10.51</v>
          </cell>
          <cell r="C81">
            <v>11</v>
          </cell>
          <cell r="D81">
            <v>14</v>
          </cell>
          <cell r="E81">
            <v>10.76</v>
          </cell>
          <cell r="F81">
            <v>8</v>
          </cell>
          <cell r="G81">
            <v>10</v>
          </cell>
          <cell r="H81">
            <v>0</v>
          </cell>
          <cell r="I81">
            <v>0</v>
          </cell>
          <cell r="J81">
            <v>0</v>
          </cell>
        </row>
        <row r="82">
          <cell r="B82">
            <v>15.18</v>
          </cell>
          <cell r="C82">
            <v>13.2</v>
          </cell>
          <cell r="D82">
            <v>14</v>
          </cell>
          <cell r="E82">
            <v>8.39</v>
          </cell>
          <cell r="F82">
            <v>9</v>
          </cell>
          <cell r="G82">
            <v>9</v>
          </cell>
          <cell r="H82">
            <v>0</v>
          </cell>
          <cell r="I82">
            <v>0</v>
          </cell>
          <cell r="J82">
            <v>0</v>
          </cell>
        </row>
        <row r="83">
          <cell r="B83">
            <v>13.59</v>
          </cell>
          <cell r="C83">
            <v>13.5</v>
          </cell>
          <cell r="D83">
            <v>13.5</v>
          </cell>
          <cell r="E83">
            <v>9.23</v>
          </cell>
          <cell r="F83">
            <v>9</v>
          </cell>
          <cell r="G83">
            <v>9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15.26</v>
          </cell>
          <cell r="C84">
            <v>15</v>
          </cell>
          <cell r="D84">
            <v>15</v>
          </cell>
          <cell r="E84">
            <v>10.09</v>
          </cell>
          <cell r="F84">
            <v>9</v>
          </cell>
          <cell r="G84">
            <v>9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15.16</v>
          </cell>
          <cell r="C85">
            <v>15</v>
          </cell>
          <cell r="D85">
            <v>15</v>
          </cell>
          <cell r="E85">
            <v>9.2899999999999991</v>
          </cell>
          <cell r="F85">
            <v>9</v>
          </cell>
          <cell r="G85">
            <v>9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15.37</v>
          </cell>
          <cell r="C86">
            <v>15.3</v>
          </cell>
          <cell r="D86">
            <v>15.3</v>
          </cell>
          <cell r="E86">
            <v>10.210000000000001</v>
          </cell>
          <cell r="F86">
            <v>10</v>
          </cell>
          <cell r="G86">
            <v>10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15.4</v>
          </cell>
          <cell r="C87">
            <v>15.3</v>
          </cell>
          <cell r="D87">
            <v>15.3</v>
          </cell>
          <cell r="E87">
            <v>10.25</v>
          </cell>
          <cell r="F87">
            <v>10</v>
          </cell>
          <cell r="G87">
            <v>10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15.56</v>
          </cell>
          <cell r="C88">
            <v>15.5</v>
          </cell>
          <cell r="D88">
            <v>15.5</v>
          </cell>
          <cell r="E88">
            <v>10.220000000000001</v>
          </cell>
          <cell r="F88">
            <v>10</v>
          </cell>
          <cell r="G88">
            <v>10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15.56</v>
          </cell>
          <cell r="C89">
            <v>15.5</v>
          </cell>
          <cell r="D89">
            <v>15.5</v>
          </cell>
          <cell r="E89">
            <v>11.1</v>
          </cell>
          <cell r="F89">
            <v>10</v>
          </cell>
          <cell r="G89">
            <v>11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15.57</v>
          </cell>
          <cell r="C90">
            <v>15.5</v>
          </cell>
          <cell r="D90">
            <v>15.5</v>
          </cell>
          <cell r="E90">
            <v>10.16</v>
          </cell>
          <cell r="F90">
            <v>10</v>
          </cell>
          <cell r="G90">
            <v>10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15.34</v>
          </cell>
          <cell r="C91">
            <v>15.3</v>
          </cell>
          <cell r="D91">
            <v>15.3</v>
          </cell>
          <cell r="E91">
            <v>10.23</v>
          </cell>
          <cell r="F91">
            <v>10</v>
          </cell>
          <cell r="G91">
            <v>10</v>
          </cell>
          <cell r="H91">
            <v>0</v>
          </cell>
          <cell r="I91">
            <v>0</v>
          </cell>
          <cell r="J91">
            <v>0</v>
          </cell>
        </row>
        <row r="92">
          <cell r="B92">
            <v>14.96</v>
          </cell>
          <cell r="C92">
            <v>15</v>
          </cell>
          <cell r="D92">
            <v>15</v>
          </cell>
          <cell r="E92">
            <v>10.14</v>
          </cell>
          <cell r="F92">
            <v>10</v>
          </cell>
          <cell r="G92">
            <v>10</v>
          </cell>
          <cell r="H92">
            <v>0</v>
          </cell>
          <cell r="I92">
            <v>0</v>
          </cell>
          <cell r="J92">
            <v>0</v>
          </cell>
        </row>
        <row r="93">
          <cell r="B93">
            <v>14.6</v>
          </cell>
          <cell r="C93">
            <v>14.5</v>
          </cell>
          <cell r="D93">
            <v>14.5</v>
          </cell>
          <cell r="E93">
            <v>10.1</v>
          </cell>
          <cell r="F93">
            <v>10</v>
          </cell>
          <cell r="G93">
            <v>10</v>
          </cell>
          <cell r="H93">
            <v>0</v>
          </cell>
          <cell r="I93">
            <v>0</v>
          </cell>
          <cell r="J93">
            <v>0</v>
          </cell>
        </row>
        <row r="94">
          <cell r="B94">
            <v>13.07</v>
          </cell>
          <cell r="C94">
            <v>13.3</v>
          </cell>
          <cell r="D94">
            <v>13.3</v>
          </cell>
          <cell r="E94">
            <v>10.09</v>
          </cell>
          <cell r="F94">
            <v>10</v>
          </cell>
          <cell r="G94">
            <v>10</v>
          </cell>
          <cell r="H94">
            <v>0</v>
          </cell>
          <cell r="I94">
            <v>0</v>
          </cell>
          <cell r="J94">
            <v>0</v>
          </cell>
        </row>
        <row r="95">
          <cell r="B95">
            <v>13.06</v>
          </cell>
          <cell r="C95">
            <v>13.2</v>
          </cell>
          <cell r="D95">
            <v>13.2</v>
          </cell>
          <cell r="E95">
            <v>8.27</v>
          </cell>
          <cell r="F95">
            <v>10</v>
          </cell>
          <cell r="G95">
            <v>10</v>
          </cell>
          <cell r="H95">
            <v>0</v>
          </cell>
          <cell r="I95">
            <v>0</v>
          </cell>
          <cell r="J95">
            <v>0</v>
          </cell>
        </row>
        <row r="96">
          <cell r="B96">
            <v>13.08</v>
          </cell>
          <cell r="C96">
            <v>13</v>
          </cell>
          <cell r="D96">
            <v>13</v>
          </cell>
          <cell r="E96">
            <v>10</v>
          </cell>
          <cell r="F96">
            <v>10</v>
          </cell>
          <cell r="G96">
            <v>10</v>
          </cell>
          <cell r="H96">
            <v>0</v>
          </cell>
          <cell r="I96">
            <v>0</v>
          </cell>
          <cell r="J96">
            <v>0</v>
          </cell>
        </row>
        <row r="97">
          <cell r="B97">
            <v>11.09</v>
          </cell>
          <cell r="C97">
            <v>11</v>
          </cell>
          <cell r="D97">
            <v>11</v>
          </cell>
          <cell r="E97">
            <v>10.119999999999999</v>
          </cell>
          <cell r="F97">
            <v>10</v>
          </cell>
          <cell r="G97">
            <v>10</v>
          </cell>
          <cell r="H97">
            <v>0</v>
          </cell>
          <cell r="I97">
            <v>0</v>
          </cell>
          <cell r="J97">
            <v>0</v>
          </cell>
        </row>
        <row r="98">
          <cell r="B98">
            <v>11.08</v>
          </cell>
          <cell r="C98">
            <v>11</v>
          </cell>
          <cell r="D98">
            <v>11</v>
          </cell>
          <cell r="E98">
            <v>8.19</v>
          </cell>
          <cell r="F98">
            <v>9</v>
          </cell>
          <cell r="G98">
            <v>8</v>
          </cell>
          <cell r="H98">
            <v>0</v>
          </cell>
          <cell r="I98">
            <v>0</v>
          </cell>
          <cell r="J98">
            <v>0</v>
          </cell>
        </row>
        <row r="99">
          <cell r="B99">
            <v>11.09</v>
          </cell>
          <cell r="C99">
            <v>11</v>
          </cell>
          <cell r="D99">
            <v>11</v>
          </cell>
          <cell r="E99">
            <v>9</v>
          </cell>
          <cell r="F99">
            <v>9</v>
          </cell>
          <cell r="G99">
            <v>9</v>
          </cell>
          <cell r="H99">
            <v>0</v>
          </cell>
          <cell r="I99">
            <v>0</v>
          </cell>
          <cell r="J99">
            <v>0</v>
          </cell>
        </row>
        <row r="100">
          <cell r="B100">
            <v>12.1</v>
          </cell>
          <cell r="C100">
            <v>12</v>
          </cell>
          <cell r="D100">
            <v>12</v>
          </cell>
          <cell r="E100">
            <v>9.14</v>
          </cell>
          <cell r="F100">
            <v>9</v>
          </cell>
          <cell r="G100">
            <v>9</v>
          </cell>
          <cell r="H100">
            <v>0</v>
          </cell>
          <cell r="I100">
            <v>0</v>
          </cell>
          <cell r="J100">
            <v>0</v>
          </cell>
        </row>
        <row r="101">
          <cell r="B101">
            <v>12.11</v>
          </cell>
          <cell r="C101">
            <v>12</v>
          </cell>
          <cell r="D101">
            <v>12</v>
          </cell>
          <cell r="E101">
            <v>8.24</v>
          </cell>
          <cell r="F101">
            <v>9</v>
          </cell>
          <cell r="G101">
            <v>8</v>
          </cell>
          <cell r="H101">
            <v>0</v>
          </cell>
          <cell r="I101">
            <v>0</v>
          </cell>
          <cell r="J101">
            <v>0</v>
          </cell>
        </row>
        <row r="102">
          <cell r="B102">
            <v>12.05</v>
          </cell>
          <cell r="C102">
            <v>12</v>
          </cell>
          <cell r="D102">
            <v>12</v>
          </cell>
          <cell r="E102">
            <v>8.26</v>
          </cell>
          <cell r="F102">
            <v>9</v>
          </cell>
          <cell r="G102">
            <v>8</v>
          </cell>
          <cell r="H102">
            <v>0</v>
          </cell>
          <cell r="I102">
            <v>0</v>
          </cell>
          <cell r="J102">
            <v>0</v>
          </cell>
        </row>
        <row r="103">
          <cell r="B103">
            <v>12.09</v>
          </cell>
          <cell r="C103">
            <v>11</v>
          </cell>
          <cell r="D103">
            <v>12</v>
          </cell>
          <cell r="E103">
            <v>9.24</v>
          </cell>
          <cell r="F103">
            <v>9</v>
          </cell>
          <cell r="G103">
            <v>9</v>
          </cell>
          <cell r="H103">
            <v>0</v>
          </cell>
          <cell r="I103">
            <v>0</v>
          </cell>
          <cell r="J103">
            <v>0</v>
          </cell>
        </row>
        <row r="104">
          <cell r="B104">
            <v>14.19</v>
          </cell>
          <cell r="C104">
            <v>11</v>
          </cell>
          <cell r="D104">
            <v>14</v>
          </cell>
          <cell r="E104">
            <v>11.14</v>
          </cell>
          <cell r="F104">
            <v>9</v>
          </cell>
          <cell r="G104">
            <v>10</v>
          </cell>
          <cell r="H104">
            <v>0</v>
          </cell>
          <cell r="I104">
            <v>0</v>
          </cell>
          <cell r="J104">
            <v>0</v>
          </cell>
        </row>
        <row r="105">
          <cell r="B105">
            <v>15.17</v>
          </cell>
          <cell r="C105">
            <v>11</v>
          </cell>
          <cell r="D105">
            <v>15</v>
          </cell>
          <cell r="E105">
            <v>12.45</v>
          </cell>
          <cell r="F105">
            <v>9</v>
          </cell>
          <cell r="G105">
            <v>10</v>
          </cell>
          <cell r="H105">
            <v>0</v>
          </cell>
          <cell r="I105">
            <v>0</v>
          </cell>
          <cell r="J105">
            <v>0</v>
          </cell>
        </row>
        <row r="106">
          <cell r="B106">
            <v>16.07</v>
          </cell>
          <cell r="C106">
            <v>13.2</v>
          </cell>
          <cell r="D106">
            <v>16</v>
          </cell>
          <cell r="E106">
            <v>12.41</v>
          </cell>
          <cell r="F106">
            <v>9</v>
          </cell>
          <cell r="G106">
            <v>12</v>
          </cell>
          <cell r="H106">
            <v>0</v>
          </cell>
          <cell r="I106">
            <v>0</v>
          </cell>
          <cell r="J106">
            <v>0</v>
          </cell>
        </row>
        <row r="107">
          <cell r="B107">
            <v>13.26</v>
          </cell>
          <cell r="C107">
            <v>13.5</v>
          </cell>
          <cell r="D107">
            <v>13.5</v>
          </cell>
          <cell r="E107">
            <v>10.54</v>
          </cell>
          <cell r="F107">
            <v>9</v>
          </cell>
          <cell r="G107">
            <v>9</v>
          </cell>
          <cell r="H107">
            <v>0</v>
          </cell>
          <cell r="I107">
            <v>0</v>
          </cell>
          <cell r="J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B116">
            <v>14.95</v>
          </cell>
          <cell r="C116">
            <v>15</v>
          </cell>
          <cell r="D116">
            <v>15</v>
          </cell>
          <cell r="E116">
            <v>9.6</v>
          </cell>
          <cell r="F116">
            <v>10</v>
          </cell>
          <cell r="G116">
            <v>10</v>
          </cell>
          <cell r="H116">
            <v>0</v>
          </cell>
          <cell r="I116">
            <v>0</v>
          </cell>
          <cell r="J116">
            <v>0</v>
          </cell>
        </row>
        <row r="117">
          <cell r="B117">
            <v>12.87</v>
          </cell>
          <cell r="C117">
            <v>14.5</v>
          </cell>
          <cell r="D117">
            <v>14.5</v>
          </cell>
          <cell r="E117">
            <v>10.95</v>
          </cell>
          <cell r="F117">
            <v>9</v>
          </cell>
          <cell r="G117">
            <v>9</v>
          </cell>
          <cell r="H117">
            <v>0</v>
          </cell>
          <cell r="I117">
            <v>0</v>
          </cell>
          <cell r="J117">
            <v>0</v>
          </cell>
        </row>
        <row r="118">
          <cell r="B118">
            <v>10.75</v>
          </cell>
          <cell r="C118">
            <v>13.3</v>
          </cell>
          <cell r="D118">
            <v>13.3</v>
          </cell>
          <cell r="E118">
            <v>11.82</v>
          </cell>
          <cell r="F118">
            <v>9</v>
          </cell>
          <cell r="G118">
            <v>9</v>
          </cell>
          <cell r="H118">
            <v>0</v>
          </cell>
          <cell r="I118">
            <v>0</v>
          </cell>
          <cell r="J118">
            <v>0</v>
          </cell>
        </row>
        <row r="119">
          <cell r="B119">
            <v>11.47</v>
          </cell>
          <cell r="C119">
            <v>13.2</v>
          </cell>
          <cell r="D119">
            <v>13.2</v>
          </cell>
          <cell r="E119">
            <v>11.36</v>
          </cell>
          <cell r="F119">
            <v>10</v>
          </cell>
          <cell r="G119">
            <v>10</v>
          </cell>
          <cell r="H119">
            <v>0</v>
          </cell>
          <cell r="I119">
            <v>0</v>
          </cell>
          <cell r="J119">
            <v>0</v>
          </cell>
        </row>
        <row r="120">
          <cell r="B120">
            <v>11.51</v>
          </cell>
          <cell r="C120">
            <v>13</v>
          </cell>
          <cell r="D120">
            <v>13</v>
          </cell>
          <cell r="E120">
            <v>11.6</v>
          </cell>
          <cell r="F120">
            <v>10</v>
          </cell>
          <cell r="G120">
            <v>10</v>
          </cell>
          <cell r="H120">
            <v>0</v>
          </cell>
          <cell r="I120">
            <v>0</v>
          </cell>
          <cell r="J120">
            <v>0</v>
          </cell>
        </row>
        <row r="121">
          <cell r="B121">
            <v>11.16</v>
          </cell>
          <cell r="C121">
            <v>11</v>
          </cell>
          <cell r="D121">
            <v>11</v>
          </cell>
          <cell r="E121">
            <v>10.16</v>
          </cell>
          <cell r="F121">
            <v>10</v>
          </cell>
          <cell r="G121">
            <v>10</v>
          </cell>
          <cell r="H121">
            <v>0</v>
          </cell>
          <cell r="I121">
            <v>0</v>
          </cell>
          <cell r="J121">
            <v>0</v>
          </cell>
        </row>
        <row r="122">
          <cell r="B122">
            <v>11.95</v>
          </cell>
          <cell r="C122">
            <v>11</v>
          </cell>
          <cell r="D122">
            <v>12</v>
          </cell>
          <cell r="E122">
            <v>10.09</v>
          </cell>
          <cell r="F122">
            <v>10</v>
          </cell>
          <cell r="G122">
            <v>10</v>
          </cell>
          <cell r="H122">
            <v>0</v>
          </cell>
          <cell r="I122">
            <v>0</v>
          </cell>
          <cell r="J122">
            <v>0</v>
          </cell>
        </row>
        <row r="123">
          <cell r="B123">
            <v>11.11</v>
          </cell>
          <cell r="C123">
            <v>11</v>
          </cell>
          <cell r="D123">
            <v>11</v>
          </cell>
          <cell r="E123">
            <v>9.11</v>
          </cell>
          <cell r="F123">
            <v>9</v>
          </cell>
          <cell r="G123">
            <v>9</v>
          </cell>
          <cell r="H123">
            <v>0</v>
          </cell>
          <cell r="I123">
            <v>0</v>
          </cell>
          <cell r="J123">
            <v>0</v>
          </cell>
        </row>
        <row r="124">
          <cell r="B124">
            <v>12.14</v>
          </cell>
          <cell r="C124">
            <v>12</v>
          </cell>
          <cell r="D124">
            <v>12</v>
          </cell>
          <cell r="E124">
            <v>9.11</v>
          </cell>
          <cell r="F124">
            <v>9</v>
          </cell>
          <cell r="G124">
            <v>9</v>
          </cell>
          <cell r="H124">
            <v>0</v>
          </cell>
          <cell r="I124">
            <v>0</v>
          </cell>
          <cell r="J124">
            <v>0</v>
          </cell>
        </row>
        <row r="125">
          <cell r="B125">
            <v>12.19</v>
          </cell>
          <cell r="C125">
            <v>12</v>
          </cell>
          <cell r="D125">
            <v>12</v>
          </cell>
          <cell r="E125">
            <v>9.17</v>
          </cell>
          <cell r="F125">
            <v>9</v>
          </cell>
          <cell r="G125">
            <v>9</v>
          </cell>
          <cell r="H125">
            <v>0</v>
          </cell>
          <cell r="I125">
            <v>0</v>
          </cell>
          <cell r="J125">
            <v>0</v>
          </cell>
        </row>
        <row r="126">
          <cell r="B126">
            <v>12.16</v>
          </cell>
          <cell r="C126">
            <v>12</v>
          </cell>
          <cell r="D126">
            <v>12</v>
          </cell>
          <cell r="E126">
            <v>9.14</v>
          </cell>
          <cell r="F126">
            <v>9</v>
          </cell>
          <cell r="G126">
            <v>9</v>
          </cell>
          <cell r="H126">
            <v>0</v>
          </cell>
          <cell r="I126">
            <v>0</v>
          </cell>
          <cell r="J126">
            <v>0</v>
          </cell>
        </row>
        <row r="127">
          <cell r="B127">
            <v>12.15</v>
          </cell>
          <cell r="C127">
            <v>11</v>
          </cell>
          <cell r="D127">
            <v>11</v>
          </cell>
          <cell r="E127">
            <v>8.09</v>
          </cell>
          <cell r="F127">
            <v>9</v>
          </cell>
          <cell r="G127">
            <v>9</v>
          </cell>
          <cell r="H127">
            <v>0</v>
          </cell>
          <cell r="I127">
            <v>0</v>
          </cell>
          <cell r="J127">
            <v>0</v>
          </cell>
        </row>
        <row r="128">
          <cell r="B128">
            <v>11.18</v>
          </cell>
          <cell r="C128">
            <v>11</v>
          </cell>
          <cell r="D128">
            <v>11</v>
          </cell>
          <cell r="E128">
            <v>9.06</v>
          </cell>
          <cell r="F128">
            <v>9</v>
          </cell>
          <cell r="G128">
            <v>9</v>
          </cell>
          <cell r="H128">
            <v>0</v>
          </cell>
          <cell r="I128">
            <v>0</v>
          </cell>
          <cell r="J128">
            <v>0</v>
          </cell>
        </row>
        <row r="129">
          <cell r="B129">
            <v>11.1</v>
          </cell>
          <cell r="C129">
            <v>11</v>
          </cell>
          <cell r="D129">
            <v>11</v>
          </cell>
          <cell r="E129">
            <v>9.0399999999999991</v>
          </cell>
          <cell r="F129">
            <v>9</v>
          </cell>
          <cell r="G129">
            <v>9</v>
          </cell>
          <cell r="H129">
            <v>0</v>
          </cell>
          <cell r="I129">
            <v>0</v>
          </cell>
          <cell r="J129">
            <v>0</v>
          </cell>
        </row>
        <row r="130">
          <cell r="B130">
            <v>12.17</v>
          </cell>
          <cell r="C130">
            <v>13.2</v>
          </cell>
          <cell r="D130">
            <v>13.2</v>
          </cell>
          <cell r="E130">
            <v>10.31</v>
          </cell>
          <cell r="F130">
            <v>9</v>
          </cell>
          <cell r="G130">
            <v>9</v>
          </cell>
          <cell r="H130">
            <v>0</v>
          </cell>
          <cell r="I130">
            <v>0</v>
          </cell>
          <cell r="J130">
            <v>0</v>
          </cell>
        </row>
        <row r="131">
          <cell r="B131">
            <v>13.22</v>
          </cell>
          <cell r="C131">
            <v>13.5</v>
          </cell>
          <cell r="D131">
            <v>13.5</v>
          </cell>
          <cell r="E131">
            <v>9.68</v>
          </cell>
          <cell r="F131">
            <v>9</v>
          </cell>
          <cell r="G131">
            <v>9</v>
          </cell>
          <cell r="H131">
            <v>0</v>
          </cell>
          <cell r="I131">
            <v>0</v>
          </cell>
          <cell r="J131">
            <v>0</v>
          </cell>
        </row>
        <row r="132">
          <cell r="B132">
            <v>14.02</v>
          </cell>
          <cell r="C132">
            <v>15</v>
          </cell>
          <cell r="D132">
            <v>15</v>
          </cell>
          <cell r="E132">
            <v>10.11</v>
          </cell>
          <cell r="F132">
            <v>9</v>
          </cell>
          <cell r="G132">
            <v>9</v>
          </cell>
          <cell r="H132">
            <v>0</v>
          </cell>
          <cell r="I132">
            <v>0</v>
          </cell>
          <cell r="J132">
            <v>0</v>
          </cell>
        </row>
        <row r="133">
          <cell r="B133">
            <v>14.52</v>
          </cell>
          <cell r="C133">
            <v>15</v>
          </cell>
          <cell r="D133">
            <v>15</v>
          </cell>
          <cell r="E133">
            <v>10.61</v>
          </cell>
          <cell r="F133">
            <v>10</v>
          </cell>
          <cell r="G133">
            <v>10</v>
          </cell>
          <cell r="H133">
            <v>0</v>
          </cell>
          <cell r="I133">
            <v>0</v>
          </cell>
          <cell r="J133">
            <v>0</v>
          </cell>
        </row>
        <row r="134">
          <cell r="B134">
            <v>15.13</v>
          </cell>
          <cell r="C134">
            <v>15.3</v>
          </cell>
          <cell r="D134">
            <v>15.3</v>
          </cell>
          <cell r="E134">
            <v>10.210000000000001</v>
          </cell>
          <cell r="F134">
            <v>10</v>
          </cell>
          <cell r="G134">
            <v>10</v>
          </cell>
          <cell r="H134">
            <v>0</v>
          </cell>
          <cell r="I134">
            <v>0</v>
          </cell>
          <cell r="J134">
            <v>0</v>
          </cell>
        </row>
        <row r="135">
          <cell r="B135">
            <v>14.29</v>
          </cell>
          <cell r="C135">
            <v>15.3</v>
          </cell>
          <cell r="D135">
            <v>15.3</v>
          </cell>
          <cell r="E135">
            <v>10.63</v>
          </cell>
          <cell r="F135">
            <v>10</v>
          </cell>
          <cell r="G135">
            <v>10</v>
          </cell>
          <cell r="H135">
            <v>0</v>
          </cell>
          <cell r="I135">
            <v>0</v>
          </cell>
          <cell r="J135">
            <v>0</v>
          </cell>
        </row>
        <row r="136">
          <cell r="B136">
            <v>10.08</v>
          </cell>
          <cell r="C136">
            <v>15.5</v>
          </cell>
          <cell r="D136">
            <v>10</v>
          </cell>
          <cell r="E136">
            <v>6.86</v>
          </cell>
          <cell r="F136">
            <v>9</v>
          </cell>
          <cell r="G136">
            <v>6.5</v>
          </cell>
          <cell r="H136">
            <v>0</v>
          </cell>
          <cell r="I136">
            <v>0</v>
          </cell>
          <cell r="J136">
            <v>0</v>
          </cell>
        </row>
        <row r="137">
          <cell r="B137">
            <v>13.27</v>
          </cell>
          <cell r="C137">
            <v>15.5</v>
          </cell>
          <cell r="D137">
            <v>13.5</v>
          </cell>
          <cell r="E137">
            <v>8.48</v>
          </cell>
          <cell r="F137">
            <v>10</v>
          </cell>
          <cell r="G137">
            <v>8.5</v>
          </cell>
          <cell r="H137">
            <v>0</v>
          </cell>
          <cell r="I137">
            <v>0</v>
          </cell>
          <cell r="J137">
            <v>0</v>
          </cell>
        </row>
        <row r="138">
          <cell r="B138">
            <v>13.23</v>
          </cell>
          <cell r="C138">
            <v>15.5</v>
          </cell>
          <cell r="D138">
            <v>13.5</v>
          </cell>
          <cell r="E138">
            <v>8.14</v>
          </cell>
          <cell r="F138">
            <v>10</v>
          </cell>
          <cell r="G138">
            <v>8</v>
          </cell>
          <cell r="H138">
            <v>0</v>
          </cell>
          <cell r="I138">
            <v>0</v>
          </cell>
          <cell r="J138">
            <v>0</v>
          </cell>
        </row>
        <row r="139">
          <cell r="B139">
            <v>8.76</v>
          </cell>
          <cell r="C139">
            <v>15.3</v>
          </cell>
          <cell r="D139">
            <v>9</v>
          </cell>
          <cell r="E139">
            <v>7.37</v>
          </cell>
          <cell r="F139">
            <v>10</v>
          </cell>
          <cell r="G139">
            <v>7</v>
          </cell>
          <cell r="H139">
            <v>0</v>
          </cell>
          <cell r="I139">
            <v>0</v>
          </cell>
          <cell r="J139">
            <v>0</v>
          </cell>
        </row>
        <row r="140">
          <cell r="B140">
            <v>8.89</v>
          </cell>
          <cell r="C140">
            <v>14</v>
          </cell>
          <cell r="D140">
            <v>9</v>
          </cell>
          <cell r="E140">
            <v>5.23</v>
          </cell>
          <cell r="F140">
            <v>10</v>
          </cell>
          <cell r="G140">
            <v>5</v>
          </cell>
          <cell r="H140">
            <v>0</v>
          </cell>
          <cell r="I140">
            <v>0</v>
          </cell>
          <cell r="J140">
            <v>0</v>
          </cell>
        </row>
        <row r="141">
          <cell r="B141">
            <v>13.05</v>
          </cell>
          <cell r="C141">
            <v>13.5</v>
          </cell>
          <cell r="D141">
            <v>13.5</v>
          </cell>
          <cell r="E141">
            <v>8.98</v>
          </cell>
          <cell r="F141">
            <v>9</v>
          </cell>
          <cell r="G141">
            <v>9</v>
          </cell>
          <cell r="H141">
            <v>0</v>
          </cell>
          <cell r="I141">
            <v>0</v>
          </cell>
          <cell r="J141">
            <v>0</v>
          </cell>
        </row>
        <row r="142">
          <cell r="B142">
            <v>9.07</v>
          </cell>
          <cell r="C142">
            <v>13.3</v>
          </cell>
          <cell r="D142">
            <v>9</v>
          </cell>
          <cell r="E142">
            <v>9.01</v>
          </cell>
          <cell r="F142">
            <v>9</v>
          </cell>
          <cell r="G142">
            <v>7</v>
          </cell>
          <cell r="H142">
            <v>0</v>
          </cell>
          <cell r="I142">
            <v>0</v>
          </cell>
          <cell r="J142">
            <v>0</v>
          </cell>
        </row>
        <row r="143">
          <cell r="B143">
            <v>9.1</v>
          </cell>
          <cell r="C143">
            <v>13.2</v>
          </cell>
          <cell r="D143">
            <v>9</v>
          </cell>
          <cell r="E143">
            <v>6.14</v>
          </cell>
          <cell r="F143">
            <v>10</v>
          </cell>
          <cell r="G143">
            <v>6</v>
          </cell>
          <cell r="H143">
            <v>0</v>
          </cell>
          <cell r="I143">
            <v>0</v>
          </cell>
          <cell r="J143">
            <v>0</v>
          </cell>
        </row>
        <row r="144">
          <cell r="B144">
            <v>15.87</v>
          </cell>
          <cell r="C144">
            <v>13</v>
          </cell>
          <cell r="D144">
            <v>13</v>
          </cell>
          <cell r="E144">
            <v>6.04</v>
          </cell>
          <cell r="F144">
            <v>10</v>
          </cell>
          <cell r="G144">
            <v>9</v>
          </cell>
          <cell r="H144">
            <v>0</v>
          </cell>
          <cell r="I144">
            <v>0</v>
          </cell>
          <cell r="J144">
            <v>0</v>
          </cell>
        </row>
        <row r="145">
          <cell r="B145">
            <v>13.2</v>
          </cell>
          <cell r="C145">
            <v>11</v>
          </cell>
          <cell r="D145">
            <v>12</v>
          </cell>
          <cell r="E145">
            <v>8.0399999999999991</v>
          </cell>
          <cell r="F145">
            <v>9</v>
          </cell>
          <cell r="G145">
            <v>9</v>
          </cell>
          <cell r="H145">
            <v>0</v>
          </cell>
          <cell r="I145">
            <v>0</v>
          </cell>
          <cell r="J145">
            <v>0</v>
          </cell>
        </row>
        <row r="146">
          <cell r="B146">
            <v>11.18</v>
          </cell>
          <cell r="C146">
            <v>11</v>
          </cell>
          <cell r="D146">
            <v>11</v>
          </cell>
          <cell r="E146">
            <v>8.19</v>
          </cell>
          <cell r="F146">
            <v>9</v>
          </cell>
          <cell r="G146">
            <v>8</v>
          </cell>
          <cell r="H146">
            <v>0</v>
          </cell>
          <cell r="I146">
            <v>0</v>
          </cell>
          <cell r="J146">
            <v>0</v>
          </cell>
        </row>
        <row r="147">
          <cell r="B147">
            <v>11.22</v>
          </cell>
          <cell r="C147">
            <v>11</v>
          </cell>
          <cell r="D147">
            <v>11</v>
          </cell>
          <cell r="E147">
            <v>8.75</v>
          </cell>
          <cell r="F147">
            <v>9</v>
          </cell>
          <cell r="G147">
            <v>9</v>
          </cell>
          <cell r="H147">
            <v>0</v>
          </cell>
          <cell r="I147">
            <v>0</v>
          </cell>
          <cell r="J147">
            <v>0</v>
          </cell>
        </row>
        <row r="148">
          <cell r="B148">
            <v>11.26</v>
          </cell>
          <cell r="C148">
            <v>11</v>
          </cell>
          <cell r="D148">
            <v>11</v>
          </cell>
          <cell r="E148">
            <v>9.1199999999999992</v>
          </cell>
          <cell r="F148">
            <v>8</v>
          </cell>
          <cell r="G148">
            <v>9</v>
          </cell>
          <cell r="H148">
            <v>0</v>
          </cell>
          <cell r="I148">
            <v>0</v>
          </cell>
          <cell r="J148">
            <v>0</v>
          </cell>
        </row>
        <row r="149">
          <cell r="B149">
            <v>11.31</v>
          </cell>
          <cell r="C149">
            <v>11</v>
          </cell>
          <cell r="D149">
            <v>11</v>
          </cell>
          <cell r="E149">
            <v>8.1999999999999993</v>
          </cell>
          <cell r="F149">
            <v>8</v>
          </cell>
          <cell r="G149">
            <v>8</v>
          </cell>
          <cell r="H149">
            <v>0</v>
          </cell>
          <cell r="I149">
            <v>0</v>
          </cell>
          <cell r="J149">
            <v>0</v>
          </cell>
        </row>
        <row r="150">
          <cell r="B150">
            <v>11.38</v>
          </cell>
          <cell r="C150">
            <v>11</v>
          </cell>
          <cell r="D150">
            <v>11</v>
          </cell>
          <cell r="E150">
            <v>8.11</v>
          </cell>
          <cell r="F150">
            <v>8</v>
          </cell>
          <cell r="G150">
            <v>8</v>
          </cell>
          <cell r="H150">
            <v>0</v>
          </cell>
          <cell r="I150">
            <v>0</v>
          </cell>
          <cell r="J150">
            <v>0</v>
          </cell>
        </row>
        <row r="151">
          <cell r="B151">
            <v>12.21</v>
          </cell>
          <cell r="C151">
            <v>11</v>
          </cell>
          <cell r="D151">
            <v>12</v>
          </cell>
          <cell r="E151">
            <v>8.11</v>
          </cell>
          <cell r="F151">
            <v>8</v>
          </cell>
          <cell r="G151">
            <v>8</v>
          </cell>
          <cell r="H151">
            <v>0</v>
          </cell>
          <cell r="I151">
            <v>0</v>
          </cell>
          <cell r="J151">
            <v>0</v>
          </cell>
        </row>
        <row r="152">
          <cell r="B152">
            <v>11.42</v>
          </cell>
          <cell r="C152">
            <v>11</v>
          </cell>
          <cell r="D152">
            <v>11</v>
          </cell>
          <cell r="E152">
            <v>8.14</v>
          </cell>
          <cell r="F152">
            <v>8</v>
          </cell>
          <cell r="G152">
            <v>8</v>
          </cell>
          <cell r="H152">
            <v>0</v>
          </cell>
          <cell r="I152">
            <v>0</v>
          </cell>
          <cell r="J152">
            <v>0</v>
          </cell>
        </row>
        <row r="153">
          <cell r="B153">
            <v>12.27</v>
          </cell>
          <cell r="C153">
            <v>11</v>
          </cell>
          <cell r="D153">
            <v>12</v>
          </cell>
          <cell r="E153">
            <v>8.16</v>
          </cell>
          <cell r="F153">
            <v>8</v>
          </cell>
          <cell r="G153">
            <v>8</v>
          </cell>
          <cell r="H153">
            <v>0</v>
          </cell>
          <cell r="I153">
            <v>0</v>
          </cell>
          <cell r="J153">
            <v>0</v>
          </cell>
        </row>
        <row r="154">
          <cell r="B154">
            <v>12.4</v>
          </cell>
          <cell r="C154">
            <v>11.2</v>
          </cell>
          <cell r="D154">
            <v>12.2</v>
          </cell>
          <cell r="E154">
            <v>9.25</v>
          </cell>
          <cell r="F154">
            <v>8</v>
          </cell>
          <cell r="G154">
            <v>9</v>
          </cell>
          <cell r="H154">
            <v>0</v>
          </cell>
          <cell r="I154">
            <v>0</v>
          </cell>
          <cell r="J154">
            <v>0</v>
          </cell>
        </row>
        <row r="155">
          <cell r="B155">
            <v>12.55</v>
          </cell>
          <cell r="C155">
            <v>11.4</v>
          </cell>
          <cell r="D155">
            <v>12.4</v>
          </cell>
          <cell r="E155">
            <v>9.18</v>
          </cell>
          <cell r="F155">
            <v>8</v>
          </cell>
          <cell r="G155">
            <v>9</v>
          </cell>
          <cell r="H155">
            <v>0</v>
          </cell>
          <cell r="I155">
            <v>0</v>
          </cell>
          <cell r="J155">
            <v>0</v>
          </cell>
        </row>
        <row r="156">
          <cell r="B156">
            <v>13.84</v>
          </cell>
          <cell r="C156">
            <v>12.8</v>
          </cell>
          <cell r="D156">
            <v>12.8</v>
          </cell>
          <cell r="E156">
            <v>9.19</v>
          </cell>
          <cell r="F156">
            <v>8</v>
          </cell>
          <cell r="G156">
            <v>9</v>
          </cell>
          <cell r="H156">
            <v>0</v>
          </cell>
          <cell r="I156">
            <v>0</v>
          </cell>
          <cell r="J156">
            <v>0</v>
          </cell>
        </row>
        <row r="157">
          <cell r="B157">
            <v>14.72</v>
          </cell>
          <cell r="C157">
            <v>13</v>
          </cell>
          <cell r="D157">
            <v>14</v>
          </cell>
          <cell r="E157">
            <v>8.2899999999999991</v>
          </cell>
          <cell r="F157">
            <v>8</v>
          </cell>
          <cell r="G157">
            <v>9</v>
          </cell>
          <cell r="H157">
            <v>0</v>
          </cell>
          <cell r="I157">
            <v>0</v>
          </cell>
          <cell r="J157">
            <v>0</v>
          </cell>
        </row>
        <row r="158">
          <cell r="B158">
            <v>15.31</v>
          </cell>
          <cell r="C158">
            <v>13.3</v>
          </cell>
          <cell r="D158">
            <v>15.3</v>
          </cell>
          <cell r="E158">
            <v>10.25</v>
          </cell>
          <cell r="F158">
            <v>9</v>
          </cell>
          <cell r="G158">
            <v>10</v>
          </cell>
          <cell r="H158">
            <v>0</v>
          </cell>
          <cell r="I158">
            <v>0</v>
          </cell>
          <cell r="J158">
            <v>0</v>
          </cell>
        </row>
        <row r="159">
          <cell r="B159">
            <v>15.6</v>
          </cell>
          <cell r="C159">
            <v>13.5</v>
          </cell>
          <cell r="D159">
            <v>15.5</v>
          </cell>
          <cell r="E159">
            <v>9.14</v>
          </cell>
          <cell r="F159">
            <v>9</v>
          </cell>
          <cell r="G159">
            <v>9</v>
          </cell>
          <cell r="H159">
            <v>0</v>
          </cell>
          <cell r="I159">
            <v>0</v>
          </cell>
          <cell r="J159">
            <v>0</v>
          </cell>
        </row>
        <row r="160">
          <cell r="B160">
            <v>15.68</v>
          </cell>
          <cell r="C160">
            <v>12.6</v>
          </cell>
          <cell r="D160">
            <v>15.6</v>
          </cell>
          <cell r="E160">
            <v>11.08</v>
          </cell>
          <cell r="F160">
            <v>8</v>
          </cell>
          <cell r="G160">
            <v>11</v>
          </cell>
          <cell r="H160">
            <v>0</v>
          </cell>
          <cell r="I160">
            <v>0</v>
          </cell>
          <cell r="J160">
            <v>0</v>
          </cell>
        </row>
        <row r="161">
          <cell r="B161">
            <v>16.13</v>
          </cell>
          <cell r="C161">
            <v>13.6</v>
          </cell>
          <cell r="D161">
            <v>16</v>
          </cell>
          <cell r="E161">
            <v>10.130000000000001</v>
          </cell>
          <cell r="F161">
            <v>9</v>
          </cell>
          <cell r="G161">
            <v>10</v>
          </cell>
          <cell r="H161">
            <v>0</v>
          </cell>
          <cell r="I161">
            <v>0</v>
          </cell>
          <cell r="J161">
            <v>0</v>
          </cell>
        </row>
        <row r="162">
          <cell r="B162">
            <v>15.06</v>
          </cell>
          <cell r="C162">
            <v>13.6</v>
          </cell>
          <cell r="D162">
            <v>15</v>
          </cell>
          <cell r="E162">
            <v>10.99</v>
          </cell>
          <cell r="F162">
            <v>9</v>
          </cell>
          <cell r="G162">
            <v>10.5</v>
          </cell>
          <cell r="H162">
            <v>0</v>
          </cell>
          <cell r="I162">
            <v>0</v>
          </cell>
          <cell r="J162">
            <v>0</v>
          </cell>
        </row>
        <row r="163">
          <cell r="B163">
            <v>13.47</v>
          </cell>
          <cell r="C163">
            <v>13.3</v>
          </cell>
          <cell r="D163">
            <v>13.3</v>
          </cell>
          <cell r="E163">
            <v>10.74</v>
          </cell>
          <cell r="F163">
            <v>9</v>
          </cell>
          <cell r="G163">
            <v>10</v>
          </cell>
          <cell r="H163">
            <v>0</v>
          </cell>
          <cell r="I163">
            <v>0</v>
          </cell>
          <cell r="J163">
            <v>0</v>
          </cell>
        </row>
        <row r="164">
          <cell r="B164">
            <v>14.12</v>
          </cell>
          <cell r="C164">
            <v>12</v>
          </cell>
          <cell r="D164">
            <v>14</v>
          </cell>
          <cell r="E164">
            <v>11.2</v>
          </cell>
          <cell r="F164">
            <v>8</v>
          </cell>
          <cell r="G164">
            <v>11</v>
          </cell>
          <cell r="H164">
            <v>0</v>
          </cell>
          <cell r="I164">
            <v>0</v>
          </cell>
          <cell r="J164">
            <v>0</v>
          </cell>
        </row>
        <row r="165">
          <cell r="B165">
            <v>13.48</v>
          </cell>
          <cell r="C165">
            <v>11.5</v>
          </cell>
          <cell r="D165">
            <v>13.5</v>
          </cell>
          <cell r="E165">
            <v>11.18</v>
          </cell>
          <cell r="F165">
            <v>8</v>
          </cell>
          <cell r="G165">
            <v>11</v>
          </cell>
          <cell r="H165">
            <v>0</v>
          </cell>
          <cell r="I165">
            <v>0</v>
          </cell>
          <cell r="J165">
            <v>0</v>
          </cell>
        </row>
        <row r="166">
          <cell r="B166">
            <v>13.57</v>
          </cell>
          <cell r="C166">
            <v>11.3</v>
          </cell>
          <cell r="D166">
            <v>13.5</v>
          </cell>
          <cell r="E166">
            <v>10.119999999999999</v>
          </cell>
          <cell r="F166">
            <v>9</v>
          </cell>
          <cell r="G166">
            <v>10</v>
          </cell>
          <cell r="H166">
            <v>0</v>
          </cell>
          <cell r="I166">
            <v>0</v>
          </cell>
          <cell r="J166">
            <v>0</v>
          </cell>
        </row>
        <row r="167">
          <cell r="B167">
            <v>13.11</v>
          </cell>
          <cell r="C167">
            <v>11.2</v>
          </cell>
          <cell r="D167">
            <v>13</v>
          </cell>
          <cell r="E167">
            <v>10.16</v>
          </cell>
          <cell r="F167">
            <v>9</v>
          </cell>
          <cell r="G167">
            <v>10</v>
          </cell>
          <cell r="H167">
            <v>0</v>
          </cell>
          <cell r="I167">
            <v>0</v>
          </cell>
          <cell r="J167">
            <v>0</v>
          </cell>
        </row>
        <row r="168">
          <cell r="B168">
            <v>13.08</v>
          </cell>
          <cell r="C168">
            <v>11</v>
          </cell>
          <cell r="D168">
            <v>13</v>
          </cell>
          <cell r="E168">
            <v>9.09</v>
          </cell>
          <cell r="F168">
            <v>9</v>
          </cell>
          <cell r="G168">
            <v>9</v>
          </cell>
          <cell r="H168">
            <v>0</v>
          </cell>
          <cell r="I168">
            <v>0</v>
          </cell>
          <cell r="J168">
            <v>0</v>
          </cell>
        </row>
        <row r="169">
          <cell r="B169">
            <v>13.09</v>
          </cell>
          <cell r="C169">
            <v>11</v>
          </cell>
          <cell r="D169">
            <v>13</v>
          </cell>
          <cell r="E169">
            <v>9.19</v>
          </cell>
          <cell r="F169">
            <v>9</v>
          </cell>
          <cell r="G169">
            <v>9</v>
          </cell>
          <cell r="H169">
            <v>0</v>
          </cell>
          <cell r="I169">
            <v>0</v>
          </cell>
          <cell r="J169">
            <v>0</v>
          </cell>
        </row>
        <row r="170">
          <cell r="B170">
            <v>13.09</v>
          </cell>
          <cell r="C170">
            <v>11</v>
          </cell>
          <cell r="D170">
            <v>13</v>
          </cell>
          <cell r="E170">
            <v>9.19</v>
          </cell>
          <cell r="F170">
            <v>8</v>
          </cell>
          <cell r="G170">
            <v>9</v>
          </cell>
          <cell r="H170">
            <v>0</v>
          </cell>
          <cell r="I170">
            <v>0</v>
          </cell>
          <cell r="J170">
            <v>0</v>
          </cell>
        </row>
        <row r="171">
          <cell r="B171">
            <v>13.08</v>
          </cell>
          <cell r="C171">
            <v>11</v>
          </cell>
          <cell r="D171">
            <v>13</v>
          </cell>
          <cell r="E171">
            <v>9.23</v>
          </cell>
          <cell r="F171">
            <v>8</v>
          </cell>
          <cell r="G171">
            <v>9</v>
          </cell>
          <cell r="H171">
            <v>0</v>
          </cell>
          <cell r="I171">
            <v>0</v>
          </cell>
          <cell r="J171">
            <v>0</v>
          </cell>
        </row>
        <row r="172">
          <cell r="B172">
            <v>13.07</v>
          </cell>
          <cell r="C172">
            <v>12</v>
          </cell>
          <cell r="D172">
            <v>13</v>
          </cell>
          <cell r="E172">
            <v>9.1199999999999992</v>
          </cell>
          <cell r="F172">
            <v>9</v>
          </cell>
          <cell r="G172">
            <v>9</v>
          </cell>
          <cell r="H172">
            <v>0</v>
          </cell>
          <cell r="I172">
            <v>0</v>
          </cell>
          <cell r="J172">
            <v>0</v>
          </cell>
        </row>
        <row r="173">
          <cell r="B173">
            <v>12.07</v>
          </cell>
          <cell r="C173">
            <v>12</v>
          </cell>
          <cell r="D173">
            <v>12</v>
          </cell>
          <cell r="E173">
            <v>9.06</v>
          </cell>
          <cell r="F173">
            <v>9</v>
          </cell>
          <cell r="G173">
            <v>9</v>
          </cell>
          <cell r="H173">
            <v>0</v>
          </cell>
          <cell r="I173">
            <v>0</v>
          </cell>
          <cell r="J173">
            <v>0</v>
          </cell>
        </row>
        <row r="174">
          <cell r="B174">
            <v>13.17</v>
          </cell>
          <cell r="C174">
            <v>12</v>
          </cell>
          <cell r="D174">
            <v>13</v>
          </cell>
          <cell r="E174">
            <v>10.130000000000001</v>
          </cell>
          <cell r="F174">
            <v>9</v>
          </cell>
          <cell r="G174">
            <v>10</v>
          </cell>
          <cell r="H174">
            <v>0</v>
          </cell>
          <cell r="I174">
            <v>0</v>
          </cell>
          <cell r="J174">
            <v>0</v>
          </cell>
        </row>
        <row r="175">
          <cell r="B175">
            <v>13.22</v>
          </cell>
          <cell r="C175">
            <v>12</v>
          </cell>
          <cell r="D175">
            <v>13</v>
          </cell>
          <cell r="E175">
            <v>10.16</v>
          </cell>
          <cell r="F175">
            <v>9</v>
          </cell>
          <cell r="G175">
            <v>10</v>
          </cell>
          <cell r="H175">
            <v>0</v>
          </cell>
          <cell r="I175">
            <v>0</v>
          </cell>
          <cell r="J175">
            <v>0</v>
          </cell>
        </row>
        <row r="176">
          <cell r="B176">
            <v>13.23</v>
          </cell>
          <cell r="C176">
            <v>12</v>
          </cell>
          <cell r="D176">
            <v>13</v>
          </cell>
          <cell r="E176">
            <v>10.15</v>
          </cell>
          <cell r="F176">
            <v>9</v>
          </cell>
          <cell r="G176">
            <v>10</v>
          </cell>
          <cell r="H176">
            <v>0</v>
          </cell>
          <cell r="I176">
            <v>0</v>
          </cell>
          <cell r="J176">
            <v>0</v>
          </cell>
        </row>
        <row r="177">
          <cell r="B177">
            <v>13.26</v>
          </cell>
          <cell r="C177">
            <v>12</v>
          </cell>
          <cell r="D177">
            <v>13</v>
          </cell>
          <cell r="E177">
            <v>10.14</v>
          </cell>
          <cell r="F177">
            <v>9</v>
          </cell>
          <cell r="G177">
            <v>10</v>
          </cell>
          <cell r="H177">
            <v>0</v>
          </cell>
          <cell r="I177">
            <v>0</v>
          </cell>
          <cell r="J177">
            <v>0</v>
          </cell>
        </row>
        <row r="178">
          <cell r="B178">
            <v>13.32</v>
          </cell>
          <cell r="C178">
            <v>13.2</v>
          </cell>
          <cell r="D178">
            <v>13.2</v>
          </cell>
          <cell r="E178">
            <v>10.119999999999999</v>
          </cell>
          <cell r="F178">
            <v>10</v>
          </cell>
          <cell r="G178">
            <v>10</v>
          </cell>
          <cell r="H178">
            <v>0</v>
          </cell>
          <cell r="I178">
            <v>0</v>
          </cell>
          <cell r="J178">
            <v>0</v>
          </cell>
        </row>
        <row r="179">
          <cell r="B179">
            <v>13.73</v>
          </cell>
          <cell r="C179">
            <v>13.5</v>
          </cell>
          <cell r="D179">
            <v>13.5</v>
          </cell>
          <cell r="E179">
            <v>10.08</v>
          </cell>
          <cell r="F179">
            <v>10</v>
          </cell>
          <cell r="G179">
            <v>10</v>
          </cell>
          <cell r="H179">
            <v>0</v>
          </cell>
          <cell r="I179">
            <v>0</v>
          </cell>
          <cell r="J179">
            <v>0</v>
          </cell>
        </row>
        <row r="180">
          <cell r="B180">
            <v>14.24</v>
          </cell>
          <cell r="C180">
            <v>14</v>
          </cell>
          <cell r="D180">
            <v>14</v>
          </cell>
          <cell r="E180">
            <v>10.08</v>
          </cell>
          <cell r="F180">
            <v>10</v>
          </cell>
          <cell r="G180">
            <v>10</v>
          </cell>
          <cell r="H180">
            <v>0</v>
          </cell>
          <cell r="I180">
            <v>0</v>
          </cell>
          <cell r="J180">
            <v>0</v>
          </cell>
        </row>
        <row r="181">
          <cell r="B181">
            <v>14.17</v>
          </cell>
          <cell r="C181">
            <v>14</v>
          </cell>
          <cell r="D181">
            <v>14</v>
          </cell>
          <cell r="E181">
            <v>10.07</v>
          </cell>
          <cell r="F181">
            <v>10</v>
          </cell>
          <cell r="G181">
            <v>10</v>
          </cell>
          <cell r="H181">
            <v>0</v>
          </cell>
          <cell r="I181">
            <v>0</v>
          </cell>
          <cell r="J181">
            <v>0</v>
          </cell>
        </row>
        <row r="182">
          <cell r="B182">
            <v>14.33</v>
          </cell>
          <cell r="C182">
            <v>14.3</v>
          </cell>
          <cell r="D182">
            <v>14.3</v>
          </cell>
          <cell r="E182">
            <v>10.119999999999999</v>
          </cell>
          <cell r="F182">
            <v>10</v>
          </cell>
          <cell r="G182">
            <v>10</v>
          </cell>
          <cell r="H182">
            <v>0</v>
          </cell>
          <cell r="I182">
            <v>0</v>
          </cell>
          <cell r="J182">
            <v>0</v>
          </cell>
        </row>
        <row r="183">
          <cell r="B183">
            <v>14.49</v>
          </cell>
          <cell r="C183">
            <v>14.3</v>
          </cell>
          <cell r="D183">
            <v>14.3</v>
          </cell>
          <cell r="E183">
            <v>10.119999999999999</v>
          </cell>
          <cell r="F183">
            <v>10</v>
          </cell>
          <cell r="G183">
            <v>10</v>
          </cell>
          <cell r="H183">
            <v>0</v>
          </cell>
          <cell r="I183">
            <v>0</v>
          </cell>
          <cell r="J183">
            <v>0</v>
          </cell>
        </row>
        <row r="184">
          <cell r="B184">
            <v>14.58</v>
          </cell>
          <cell r="C184">
            <v>14.5</v>
          </cell>
          <cell r="D184">
            <v>14.5</v>
          </cell>
          <cell r="E184">
            <v>10.119999999999999</v>
          </cell>
          <cell r="F184">
            <v>10</v>
          </cell>
          <cell r="G184">
            <v>10</v>
          </cell>
          <cell r="H184">
            <v>0</v>
          </cell>
          <cell r="I184">
            <v>0</v>
          </cell>
          <cell r="J184">
            <v>0</v>
          </cell>
        </row>
        <row r="185">
          <cell r="B185">
            <v>14.55</v>
          </cell>
          <cell r="C185">
            <v>14.5</v>
          </cell>
          <cell r="D185">
            <v>14.5</v>
          </cell>
          <cell r="E185">
            <v>10.07</v>
          </cell>
          <cell r="F185">
            <v>10</v>
          </cell>
          <cell r="G185">
            <v>10</v>
          </cell>
          <cell r="H185">
            <v>0</v>
          </cell>
          <cell r="I185">
            <v>0</v>
          </cell>
          <cell r="J185">
            <v>0</v>
          </cell>
        </row>
        <row r="186">
          <cell r="B186">
            <v>14.4</v>
          </cell>
          <cell r="C186">
            <v>14.5</v>
          </cell>
          <cell r="D186">
            <v>14.5</v>
          </cell>
          <cell r="E186">
            <v>10.01</v>
          </cell>
          <cell r="F186">
            <v>10</v>
          </cell>
          <cell r="G186">
            <v>10</v>
          </cell>
          <cell r="H186">
            <v>0</v>
          </cell>
          <cell r="I186">
            <v>0</v>
          </cell>
          <cell r="J186">
            <v>0</v>
          </cell>
        </row>
        <row r="187">
          <cell r="B187">
            <v>14.27</v>
          </cell>
          <cell r="C187">
            <v>14.3</v>
          </cell>
          <cell r="D187">
            <v>14.3</v>
          </cell>
          <cell r="E187">
            <v>9.9</v>
          </cell>
          <cell r="F187">
            <v>10</v>
          </cell>
          <cell r="G187">
            <v>10</v>
          </cell>
          <cell r="H187">
            <v>0</v>
          </cell>
          <cell r="I187">
            <v>0</v>
          </cell>
          <cell r="J187">
            <v>0</v>
          </cell>
        </row>
        <row r="188">
          <cell r="B188">
            <v>14.61</v>
          </cell>
          <cell r="C188">
            <v>14</v>
          </cell>
          <cell r="D188">
            <v>14</v>
          </cell>
          <cell r="E188">
            <v>8.4</v>
          </cell>
          <cell r="F188">
            <v>10</v>
          </cell>
          <cell r="G188">
            <v>10</v>
          </cell>
          <cell r="H188">
            <v>0</v>
          </cell>
          <cell r="I188">
            <v>0</v>
          </cell>
          <cell r="J188">
            <v>0</v>
          </cell>
        </row>
        <row r="189">
          <cell r="B189">
            <v>12.08</v>
          </cell>
          <cell r="C189">
            <v>13.5</v>
          </cell>
          <cell r="D189">
            <v>11.5</v>
          </cell>
          <cell r="E189">
            <v>7.98</v>
          </cell>
          <cell r="F189">
            <v>10</v>
          </cell>
          <cell r="G189">
            <v>8</v>
          </cell>
          <cell r="H189">
            <v>0</v>
          </cell>
          <cell r="I189">
            <v>0</v>
          </cell>
          <cell r="J189">
            <v>0</v>
          </cell>
        </row>
        <row r="190">
          <cell r="B190">
            <v>10.97</v>
          </cell>
          <cell r="C190">
            <v>13.3</v>
          </cell>
          <cell r="D190">
            <v>11</v>
          </cell>
          <cell r="E190">
            <v>7.91</v>
          </cell>
          <cell r="F190">
            <v>10</v>
          </cell>
          <cell r="G190">
            <v>8</v>
          </cell>
          <cell r="H190">
            <v>0</v>
          </cell>
          <cell r="I190">
            <v>0</v>
          </cell>
          <cell r="J190">
            <v>0</v>
          </cell>
        </row>
        <row r="191">
          <cell r="B191">
            <v>13.11</v>
          </cell>
          <cell r="C191">
            <v>13.2</v>
          </cell>
          <cell r="D191">
            <v>13.2</v>
          </cell>
          <cell r="E191">
            <v>7.3</v>
          </cell>
          <cell r="F191">
            <v>10</v>
          </cell>
          <cell r="G191">
            <v>7</v>
          </cell>
          <cell r="H191">
            <v>0</v>
          </cell>
          <cell r="I191">
            <v>0</v>
          </cell>
          <cell r="J191">
            <v>0</v>
          </cell>
        </row>
        <row r="192">
          <cell r="B192">
            <v>13.07</v>
          </cell>
          <cell r="C192">
            <v>13</v>
          </cell>
          <cell r="D192">
            <v>13</v>
          </cell>
          <cell r="E192">
            <v>8.98</v>
          </cell>
          <cell r="F192">
            <v>11</v>
          </cell>
          <cell r="G192">
            <v>11</v>
          </cell>
          <cell r="H192">
            <v>0</v>
          </cell>
          <cell r="I192">
            <v>0</v>
          </cell>
          <cell r="J192">
            <v>0</v>
          </cell>
        </row>
        <row r="193">
          <cell r="B193">
            <v>11.9</v>
          </cell>
          <cell r="C193">
            <v>12</v>
          </cell>
          <cell r="D193">
            <v>12</v>
          </cell>
          <cell r="E193">
            <v>8.3800000000000008</v>
          </cell>
          <cell r="F193">
            <v>11</v>
          </cell>
          <cell r="G193">
            <v>11</v>
          </cell>
          <cell r="H193">
            <v>0</v>
          </cell>
          <cell r="I193">
            <v>0</v>
          </cell>
          <cell r="J193">
            <v>0</v>
          </cell>
        </row>
        <row r="194">
          <cell r="B194">
            <v>11.42</v>
          </cell>
          <cell r="C194">
            <v>12</v>
          </cell>
          <cell r="D194">
            <v>12</v>
          </cell>
          <cell r="E194">
            <v>9.8800000000000008</v>
          </cell>
          <cell r="F194">
            <v>11</v>
          </cell>
          <cell r="G194">
            <v>9</v>
          </cell>
          <cell r="H194">
            <v>0</v>
          </cell>
          <cell r="I194">
            <v>0</v>
          </cell>
          <cell r="J194">
            <v>0</v>
          </cell>
        </row>
        <row r="195">
          <cell r="B195">
            <v>11.55</v>
          </cell>
          <cell r="C195">
            <v>12</v>
          </cell>
          <cell r="D195">
            <v>12</v>
          </cell>
          <cell r="E195">
            <v>9.6199999999999992</v>
          </cell>
          <cell r="F195">
            <v>9</v>
          </cell>
          <cell r="G195">
            <v>9</v>
          </cell>
          <cell r="H195">
            <v>0</v>
          </cell>
          <cell r="I195">
            <v>0</v>
          </cell>
          <cell r="J195">
            <v>0</v>
          </cell>
        </row>
      </sheetData>
      <sheetData sheetId="2">
        <row r="1">
          <cell r="B1" t="str">
            <v>Contract Time</v>
          </cell>
          <cell r="C1" t="str">
            <v>Quantity (MWh)</v>
          </cell>
          <cell r="G1" t="str">
            <v>Direction</v>
          </cell>
          <cell r="M1" t="str">
            <v>Company ETSO</v>
          </cell>
          <cell r="O1" t="str">
            <v>TUTAR</v>
          </cell>
        </row>
        <row r="2">
          <cell r="B2">
            <v>46211.916666666664</v>
          </cell>
          <cell r="C2">
            <v>2</v>
          </cell>
          <cell r="G2" t="str">
            <v>Buy</v>
          </cell>
          <cell r="M2" t="str">
            <v>40X000000104782K</v>
          </cell>
          <cell r="O2">
            <v>8275.6</v>
          </cell>
        </row>
        <row r="3">
          <cell r="B3">
            <v>46211.791666666664</v>
          </cell>
          <cell r="C3">
            <v>3</v>
          </cell>
          <cell r="G3" t="str">
            <v>Buy</v>
          </cell>
          <cell r="M3" t="str">
            <v>40X000000104782K</v>
          </cell>
          <cell r="O3">
            <v>12425.400000000001</v>
          </cell>
        </row>
        <row r="4">
          <cell r="B4">
            <v>46211.75</v>
          </cell>
          <cell r="C4">
            <v>0.5</v>
          </cell>
          <cell r="G4" t="str">
            <v>Buy</v>
          </cell>
          <cell r="M4" t="str">
            <v>40X000000104782K</v>
          </cell>
          <cell r="O4">
            <v>1722.6</v>
          </cell>
        </row>
        <row r="5">
          <cell r="B5">
            <v>46211.75</v>
          </cell>
          <cell r="C5">
            <v>3.8</v>
          </cell>
          <cell r="G5" t="str">
            <v>Buy</v>
          </cell>
          <cell r="M5" t="str">
            <v>40X000000104782K</v>
          </cell>
          <cell r="O5">
            <v>13241.328</v>
          </cell>
        </row>
        <row r="6">
          <cell r="B6">
            <v>46211.708333333336</v>
          </cell>
          <cell r="C6">
            <v>4</v>
          </cell>
          <cell r="G6" t="str">
            <v>Buy</v>
          </cell>
          <cell r="M6" t="str">
            <v>40X000000104782K</v>
          </cell>
          <cell r="O6">
            <v>15120.8</v>
          </cell>
        </row>
        <row r="7">
          <cell r="B7">
            <v>46211.208333333336</v>
          </cell>
          <cell r="C7">
            <v>2</v>
          </cell>
          <cell r="G7" t="str">
            <v>Sell</v>
          </cell>
          <cell r="M7" t="str">
            <v>40X000000104782K</v>
          </cell>
          <cell r="O7">
            <v>7537.8</v>
          </cell>
        </row>
        <row r="8">
          <cell r="B8">
            <v>46211.166666666664</v>
          </cell>
          <cell r="C8">
            <v>2</v>
          </cell>
          <cell r="G8" t="str">
            <v>Sell</v>
          </cell>
          <cell r="M8" t="str">
            <v>40X000000104782K</v>
          </cell>
          <cell r="O8">
            <v>8597.4</v>
          </cell>
        </row>
        <row r="9">
          <cell r="B9">
            <v>46211.125</v>
          </cell>
          <cell r="C9">
            <v>2</v>
          </cell>
          <cell r="G9" t="str">
            <v>Sell</v>
          </cell>
          <cell r="M9" t="str">
            <v>40X000000104782K</v>
          </cell>
          <cell r="O9">
            <v>8298.4</v>
          </cell>
        </row>
        <row r="10">
          <cell r="B10">
            <v>46211.083333333336</v>
          </cell>
          <cell r="C10">
            <v>2</v>
          </cell>
          <cell r="G10" t="str">
            <v>Sell</v>
          </cell>
          <cell r="M10" t="str">
            <v>40X000000104782K</v>
          </cell>
          <cell r="O10">
            <v>7793.6</v>
          </cell>
        </row>
        <row r="11">
          <cell r="B11">
            <v>46211</v>
          </cell>
          <cell r="C11">
            <v>1</v>
          </cell>
          <cell r="G11" t="str">
            <v>Sell</v>
          </cell>
          <cell r="M11" t="str">
            <v>40X000000104782K</v>
          </cell>
          <cell r="O11">
            <v>3567.8</v>
          </cell>
        </row>
        <row r="12">
          <cell r="B12">
            <v>46210.958333333336</v>
          </cell>
          <cell r="C12">
            <v>3</v>
          </cell>
          <cell r="G12" t="str">
            <v>Sell</v>
          </cell>
          <cell r="M12" t="str">
            <v>40X000000104782K</v>
          </cell>
          <cell r="O12">
            <v>10574.73</v>
          </cell>
        </row>
        <row r="13">
          <cell r="B13">
            <v>46210.916666666664</v>
          </cell>
          <cell r="C13">
            <v>3</v>
          </cell>
          <cell r="G13" t="str">
            <v>Sell</v>
          </cell>
          <cell r="M13" t="str">
            <v>40X000000104782K</v>
          </cell>
          <cell r="O13">
            <v>13498.349999999999</v>
          </cell>
        </row>
        <row r="14">
          <cell r="B14">
            <v>46210.875</v>
          </cell>
          <cell r="C14">
            <v>2</v>
          </cell>
          <cell r="G14" t="str">
            <v>Sell</v>
          </cell>
          <cell r="M14" t="str">
            <v>40X000000104782K</v>
          </cell>
          <cell r="O14">
            <v>9259.6</v>
          </cell>
        </row>
        <row r="15">
          <cell r="B15">
            <v>46210.833333333336</v>
          </cell>
          <cell r="C15">
            <v>2</v>
          </cell>
          <cell r="G15" t="str">
            <v>Sell</v>
          </cell>
          <cell r="M15" t="str">
            <v>40X000000104782K</v>
          </cell>
          <cell r="O15">
            <v>8984.6</v>
          </cell>
        </row>
        <row r="16">
          <cell r="B16">
            <v>46210.791666666664</v>
          </cell>
          <cell r="C16">
            <v>2.8</v>
          </cell>
          <cell r="G16" t="str">
            <v>Sell</v>
          </cell>
          <cell r="M16" t="str">
            <v>40X000000104782K</v>
          </cell>
          <cell r="O16">
            <v>10344.879999999999</v>
          </cell>
        </row>
        <row r="17">
          <cell r="B17">
            <v>46210.75</v>
          </cell>
          <cell r="C17">
            <v>1</v>
          </cell>
          <cell r="G17" t="str">
            <v>Sell</v>
          </cell>
          <cell r="M17" t="str">
            <v>40X000000104782K</v>
          </cell>
          <cell r="O17">
            <v>2966.8</v>
          </cell>
        </row>
        <row r="18">
          <cell r="B18">
            <v>46210.75</v>
          </cell>
          <cell r="C18">
            <v>2.2000000000000002</v>
          </cell>
          <cell r="G18" t="str">
            <v>Sell</v>
          </cell>
          <cell r="M18" t="str">
            <v>40X000000104782K</v>
          </cell>
          <cell r="O18">
            <v>5711.8600000000006</v>
          </cell>
        </row>
        <row r="19">
          <cell r="B19">
            <v>46210.708333333336</v>
          </cell>
          <cell r="C19">
            <v>3</v>
          </cell>
          <cell r="G19" t="str">
            <v>Sell</v>
          </cell>
          <cell r="M19" t="str">
            <v>40X000000104782K</v>
          </cell>
          <cell r="O19">
            <v>8967.2999999999993</v>
          </cell>
        </row>
        <row r="20">
          <cell r="B20">
            <v>46210.708333333336</v>
          </cell>
          <cell r="C20">
            <v>2</v>
          </cell>
          <cell r="G20" t="str">
            <v>Sell</v>
          </cell>
          <cell r="M20" t="str">
            <v>40X000000104782K</v>
          </cell>
          <cell r="O20">
            <v>5993</v>
          </cell>
        </row>
        <row r="21">
          <cell r="B21">
            <v>46210.666666666664</v>
          </cell>
          <cell r="C21">
            <v>3</v>
          </cell>
          <cell r="G21" t="str">
            <v>Sell</v>
          </cell>
          <cell r="M21" t="str">
            <v>40X000000104782K</v>
          </cell>
          <cell r="O21">
            <v>5999.1</v>
          </cell>
        </row>
        <row r="22">
          <cell r="B22">
            <v>46210.666666666664</v>
          </cell>
          <cell r="C22">
            <v>2</v>
          </cell>
          <cell r="G22" t="str">
            <v>Sell</v>
          </cell>
          <cell r="M22" t="str">
            <v>40X000000104782K</v>
          </cell>
          <cell r="O22">
            <v>3871.48</v>
          </cell>
        </row>
        <row r="23">
          <cell r="B23">
            <v>46210.625</v>
          </cell>
          <cell r="C23">
            <v>0.5</v>
          </cell>
          <cell r="G23" t="str">
            <v>Sell</v>
          </cell>
          <cell r="M23" t="str">
            <v>40X000000104782K</v>
          </cell>
          <cell r="O23">
            <v>684.45</v>
          </cell>
        </row>
        <row r="24">
          <cell r="B24">
            <v>46210.625</v>
          </cell>
          <cell r="C24">
            <v>1</v>
          </cell>
          <cell r="G24" t="str">
            <v>Sell</v>
          </cell>
          <cell r="M24" t="str">
            <v>40X000000104782K</v>
          </cell>
          <cell r="O24">
            <v>1453.4</v>
          </cell>
        </row>
        <row r="25">
          <cell r="B25">
            <v>46210.583333333336</v>
          </cell>
          <cell r="C25">
            <v>2.9</v>
          </cell>
          <cell r="G25" t="str">
            <v>Sell</v>
          </cell>
          <cell r="M25" t="str">
            <v>40X000000104782K</v>
          </cell>
          <cell r="O25">
            <v>3165.06</v>
          </cell>
        </row>
        <row r="26">
          <cell r="B26">
            <v>46210.541666666664</v>
          </cell>
          <cell r="C26">
            <v>3.4</v>
          </cell>
          <cell r="G26" t="str">
            <v>Sell</v>
          </cell>
          <cell r="M26" t="str">
            <v>40X000000104782K</v>
          </cell>
          <cell r="O26">
            <v>4996.6399999999994</v>
          </cell>
        </row>
        <row r="27">
          <cell r="B27">
            <v>46210.5</v>
          </cell>
          <cell r="C27">
            <v>3</v>
          </cell>
          <cell r="G27" t="str">
            <v>Sell</v>
          </cell>
          <cell r="M27" t="str">
            <v>40X000000104782K</v>
          </cell>
          <cell r="O27">
            <v>1546.3500000000001</v>
          </cell>
        </row>
        <row r="28">
          <cell r="B28">
            <v>46210.5</v>
          </cell>
          <cell r="C28">
            <v>3</v>
          </cell>
          <cell r="G28" t="str">
            <v>Sell</v>
          </cell>
          <cell r="M28" t="str">
            <v>40X000000104782K</v>
          </cell>
          <cell r="O28">
            <v>1349.6999999999998</v>
          </cell>
        </row>
        <row r="29">
          <cell r="B29">
            <v>46210.458333333336</v>
          </cell>
          <cell r="C29">
            <v>2</v>
          </cell>
          <cell r="G29" t="str">
            <v>Buy</v>
          </cell>
          <cell r="M29" t="str">
            <v>40X000000104782K</v>
          </cell>
          <cell r="O29">
            <v>2602.2399999999998</v>
          </cell>
        </row>
        <row r="30">
          <cell r="B30">
            <v>46210.458333333336</v>
          </cell>
          <cell r="C30">
            <v>4</v>
          </cell>
          <cell r="G30" t="str">
            <v>Sell</v>
          </cell>
          <cell r="M30" t="str">
            <v>40X000000104782K</v>
          </cell>
          <cell r="O30">
            <v>6600</v>
          </cell>
        </row>
        <row r="31">
          <cell r="B31">
            <v>46210.416666666664</v>
          </cell>
          <cell r="C31">
            <v>1</v>
          </cell>
          <cell r="G31" t="str">
            <v>Sell</v>
          </cell>
          <cell r="M31" t="str">
            <v>40X000000104782K</v>
          </cell>
          <cell r="O31">
            <v>1523.3</v>
          </cell>
        </row>
        <row r="32">
          <cell r="B32">
            <v>46210.416666666664</v>
          </cell>
          <cell r="C32">
            <v>2</v>
          </cell>
          <cell r="G32" t="str">
            <v>Sell</v>
          </cell>
          <cell r="M32" t="str">
            <v>40X000000104782K</v>
          </cell>
          <cell r="O32">
            <v>3174.64</v>
          </cell>
        </row>
        <row r="33">
          <cell r="B33">
            <v>46210.375</v>
          </cell>
          <cell r="C33">
            <v>1</v>
          </cell>
          <cell r="G33" t="str">
            <v>Sell</v>
          </cell>
          <cell r="M33" t="str">
            <v>40X000000104782K</v>
          </cell>
          <cell r="O33">
            <v>1680.5</v>
          </cell>
        </row>
        <row r="34">
          <cell r="B34">
            <v>46210.375</v>
          </cell>
          <cell r="C34">
            <v>1</v>
          </cell>
          <cell r="G34" t="str">
            <v>Sell</v>
          </cell>
          <cell r="M34" t="str">
            <v>40X000000104782K</v>
          </cell>
          <cell r="O34">
            <v>1900.3</v>
          </cell>
        </row>
        <row r="35">
          <cell r="B35">
            <v>46210.333333333336</v>
          </cell>
          <cell r="C35">
            <v>1</v>
          </cell>
          <cell r="G35" t="str">
            <v>Sell</v>
          </cell>
          <cell r="M35" t="str">
            <v>40X000000104782K</v>
          </cell>
          <cell r="O35">
            <v>1598.04</v>
          </cell>
        </row>
        <row r="36">
          <cell r="B36">
            <v>46210.291666666664</v>
          </cell>
          <cell r="C36">
            <v>2</v>
          </cell>
          <cell r="G36" t="str">
            <v>Sell</v>
          </cell>
          <cell r="M36" t="str">
            <v>40X000000104782K</v>
          </cell>
          <cell r="O36">
            <v>2095.1</v>
          </cell>
        </row>
        <row r="37">
          <cell r="B37">
            <v>46210.25</v>
          </cell>
          <cell r="C37">
            <v>2</v>
          </cell>
          <cell r="G37" t="str">
            <v>Sell</v>
          </cell>
          <cell r="M37" t="str">
            <v>40X000000104782K</v>
          </cell>
          <cell r="O37">
            <v>1578</v>
          </cell>
        </row>
        <row r="38">
          <cell r="B38">
            <v>46210.208333333336</v>
          </cell>
          <cell r="C38">
            <v>1</v>
          </cell>
          <cell r="G38" t="str">
            <v>Sell</v>
          </cell>
          <cell r="M38" t="str">
            <v>40X000000104782K</v>
          </cell>
          <cell r="O38">
            <v>1029.7</v>
          </cell>
        </row>
        <row r="39">
          <cell r="B39">
            <v>46210.166666666664</v>
          </cell>
          <cell r="C39">
            <v>0.1</v>
          </cell>
          <cell r="G39" t="str">
            <v>Sell</v>
          </cell>
          <cell r="M39" t="str">
            <v>40X000000104782K</v>
          </cell>
          <cell r="O39">
            <v>138.44000000000003</v>
          </cell>
        </row>
        <row r="40">
          <cell r="B40">
            <v>46210.166666666664</v>
          </cell>
          <cell r="C40">
            <v>0.1</v>
          </cell>
          <cell r="G40" t="str">
            <v>Sell</v>
          </cell>
          <cell r="M40" t="str">
            <v>40X000000104782K</v>
          </cell>
          <cell r="O40">
            <v>106.07000000000001</v>
          </cell>
        </row>
        <row r="41">
          <cell r="B41">
            <v>46210.166666666664</v>
          </cell>
          <cell r="C41">
            <v>0.1</v>
          </cell>
          <cell r="G41" t="str">
            <v>Buy</v>
          </cell>
          <cell r="M41" t="str">
            <v>40X000000104782K</v>
          </cell>
          <cell r="O41">
            <v>138.44000000000003</v>
          </cell>
        </row>
        <row r="42">
          <cell r="B42">
            <v>46210.125</v>
          </cell>
          <cell r="C42">
            <v>1</v>
          </cell>
          <cell r="G42" t="str">
            <v>Sell</v>
          </cell>
          <cell r="M42" t="str">
            <v>40X000000104782K</v>
          </cell>
          <cell r="O42">
            <v>1187.9000000000001</v>
          </cell>
        </row>
        <row r="43">
          <cell r="B43">
            <v>46210</v>
          </cell>
          <cell r="C43">
            <v>1</v>
          </cell>
          <cell r="G43" t="str">
            <v>Sell</v>
          </cell>
          <cell r="M43" t="str">
            <v>40X000000104782K</v>
          </cell>
          <cell r="O43">
            <v>3501.2</v>
          </cell>
        </row>
        <row r="44">
          <cell r="B44">
            <v>46209.916666666664</v>
          </cell>
          <cell r="C44">
            <v>1</v>
          </cell>
          <cell r="G44" t="str">
            <v>Buy</v>
          </cell>
          <cell r="M44" t="str">
            <v>40X000000104782K</v>
          </cell>
          <cell r="O44">
            <v>4214.2</v>
          </cell>
        </row>
        <row r="45">
          <cell r="B45">
            <v>46209.875</v>
          </cell>
          <cell r="C45">
            <v>1</v>
          </cell>
          <cell r="G45" t="str">
            <v>Sell</v>
          </cell>
          <cell r="M45" t="str">
            <v>40X000000104782K</v>
          </cell>
          <cell r="O45">
            <v>4444.6000000000004</v>
          </cell>
        </row>
        <row r="46">
          <cell r="B46">
            <v>46209.833333333336</v>
          </cell>
          <cell r="C46">
            <v>1</v>
          </cell>
          <cell r="G46" t="str">
            <v>Buy</v>
          </cell>
          <cell r="M46" t="str">
            <v>40X000000104782K</v>
          </cell>
          <cell r="O46">
            <v>4048</v>
          </cell>
        </row>
        <row r="47">
          <cell r="B47">
            <v>46209.791666666664</v>
          </cell>
          <cell r="C47">
            <v>1</v>
          </cell>
          <cell r="G47" t="str">
            <v>Buy</v>
          </cell>
          <cell r="M47" t="str">
            <v>40X000000104782K</v>
          </cell>
          <cell r="O47">
            <v>2673.6</v>
          </cell>
        </row>
        <row r="48">
          <cell r="B48">
            <v>46209.791666666664</v>
          </cell>
          <cell r="C48">
            <v>3</v>
          </cell>
          <cell r="G48" t="str">
            <v>Buy</v>
          </cell>
          <cell r="M48" t="str">
            <v>40X000000104782K</v>
          </cell>
          <cell r="O48">
            <v>8583.5999999999985</v>
          </cell>
        </row>
        <row r="49">
          <cell r="B49">
            <v>46209.791666666664</v>
          </cell>
          <cell r="C49">
            <v>4.2</v>
          </cell>
          <cell r="G49" t="str">
            <v>Buy</v>
          </cell>
          <cell r="M49" t="str">
            <v>40X000000104782K</v>
          </cell>
          <cell r="O49">
            <v>13461</v>
          </cell>
        </row>
        <row r="50">
          <cell r="B50">
            <v>46209.75</v>
          </cell>
          <cell r="C50">
            <v>6.3</v>
          </cell>
          <cell r="G50" t="str">
            <v>Buy</v>
          </cell>
          <cell r="M50" t="str">
            <v>40X000000104782K</v>
          </cell>
          <cell r="O50">
            <v>15401.798999999999</v>
          </cell>
        </row>
        <row r="51">
          <cell r="B51">
            <v>46209.666666666664</v>
          </cell>
          <cell r="C51">
            <v>5</v>
          </cell>
          <cell r="G51" t="str">
            <v>Buy</v>
          </cell>
          <cell r="M51" t="str">
            <v>40X000000104782K</v>
          </cell>
          <cell r="O51">
            <v>8000</v>
          </cell>
        </row>
        <row r="52">
          <cell r="B52">
            <v>46209.666666666664</v>
          </cell>
          <cell r="C52">
            <v>5</v>
          </cell>
          <cell r="G52" t="str">
            <v>Buy</v>
          </cell>
          <cell r="M52" t="str">
            <v>40X000000104782K</v>
          </cell>
          <cell r="O52">
            <v>8676.15</v>
          </cell>
        </row>
        <row r="53">
          <cell r="B53">
            <v>46209.625</v>
          </cell>
          <cell r="C53">
            <v>1</v>
          </cell>
          <cell r="G53" t="str">
            <v>Buy</v>
          </cell>
          <cell r="M53" t="str">
            <v>40X000000104782K</v>
          </cell>
          <cell r="O53">
            <v>1920.91</v>
          </cell>
        </row>
        <row r="54">
          <cell r="B54">
            <v>46209.625</v>
          </cell>
          <cell r="C54">
            <v>2</v>
          </cell>
          <cell r="G54" t="str">
            <v>Buy</v>
          </cell>
          <cell r="M54" t="str">
            <v>40X000000104782K</v>
          </cell>
          <cell r="O54">
            <v>3008.2</v>
          </cell>
        </row>
        <row r="55">
          <cell r="B55">
            <v>46209.625</v>
          </cell>
          <cell r="C55">
            <v>4.5</v>
          </cell>
          <cell r="G55" t="str">
            <v>Buy</v>
          </cell>
          <cell r="M55" t="str">
            <v>40X000000104782K</v>
          </cell>
          <cell r="O55">
            <v>8486.1450000000004</v>
          </cell>
        </row>
        <row r="56">
          <cell r="B56">
            <v>46209.625</v>
          </cell>
          <cell r="C56">
            <v>1.8</v>
          </cell>
          <cell r="G56" t="str">
            <v>Buy</v>
          </cell>
          <cell r="M56" t="str">
            <v>40X000000104782K</v>
          </cell>
          <cell r="O56">
            <v>3479.58</v>
          </cell>
        </row>
        <row r="57">
          <cell r="B57">
            <v>46209.583333333336</v>
          </cell>
          <cell r="C57">
            <v>1</v>
          </cell>
          <cell r="G57" t="str">
            <v>Buy</v>
          </cell>
          <cell r="M57" t="str">
            <v>40X000000104782K</v>
          </cell>
          <cell r="O57">
            <v>1768</v>
          </cell>
        </row>
        <row r="58">
          <cell r="B58">
            <v>46209.583333333336</v>
          </cell>
          <cell r="C58">
            <v>1</v>
          </cell>
          <cell r="G58" t="str">
            <v>Buy</v>
          </cell>
          <cell r="M58" t="str">
            <v>40X000000104782K</v>
          </cell>
          <cell r="O58">
            <v>1520.4</v>
          </cell>
        </row>
        <row r="59">
          <cell r="B59">
            <v>46209.583333333336</v>
          </cell>
          <cell r="C59">
            <v>2</v>
          </cell>
          <cell r="G59" t="str">
            <v>Buy</v>
          </cell>
          <cell r="M59" t="str">
            <v>40X000000104782K</v>
          </cell>
          <cell r="O59">
            <v>3597.6</v>
          </cell>
        </row>
        <row r="60">
          <cell r="B60">
            <v>46209.541666666664</v>
          </cell>
          <cell r="C60">
            <v>0.5</v>
          </cell>
          <cell r="G60" t="str">
            <v>Buy</v>
          </cell>
          <cell r="M60" t="str">
            <v>40X000000104782K</v>
          </cell>
          <cell r="O60">
            <v>252.55</v>
          </cell>
        </row>
        <row r="61">
          <cell r="B61">
            <v>46209.541666666664</v>
          </cell>
          <cell r="C61">
            <v>1</v>
          </cell>
          <cell r="G61" t="str">
            <v>Buy</v>
          </cell>
          <cell r="M61" t="str">
            <v>40X000000104782K</v>
          </cell>
          <cell r="O61">
            <v>1399.8</v>
          </cell>
        </row>
        <row r="62">
          <cell r="B62">
            <v>46209.541666666664</v>
          </cell>
          <cell r="C62">
            <v>2</v>
          </cell>
          <cell r="G62" t="str">
            <v>Buy</v>
          </cell>
          <cell r="M62" t="str">
            <v>40X000000104782K</v>
          </cell>
          <cell r="O62">
            <v>2677</v>
          </cell>
        </row>
        <row r="63">
          <cell r="B63">
            <v>46209.5</v>
          </cell>
          <cell r="C63">
            <v>0.5</v>
          </cell>
          <cell r="G63" t="str">
            <v>Buy</v>
          </cell>
          <cell r="M63" t="str">
            <v>40X000000104782K</v>
          </cell>
          <cell r="O63">
            <v>323.5</v>
          </cell>
        </row>
        <row r="64">
          <cell r="B64">
            <v>46209.5</v>
          </cell>
          <cell r="C64">
            <v>7.5</v>
          </cell>
          <cell r="G64" t="str">
            <v>Buy</v>
          </cell>
          <cell r="M64" t="str">
            <v>40X000000104782K</v>
          </cell>
          <cell r="O64">
            <v>5009.7750000000005</v>
          </cell>
        </row>
        <row r="65">
          <cell r="B65">
            <v>46208.916666666664</v>
          </cell>
          <cell r="C65">
            <v>1</v>
          </cell>
          <cell r="G65" t="str">
            <v>Sell</v>
          </cell>
          <cell r="M65" t="str">
            <v>40X000000104782K</v>
          </cell>
          <cell r="O65">
            <v>2697.7</v>
          </cell>
        </row>
        <row r="66">
          <cell r="B66">
            <v>46208.25</v>
          </cell>
          <cell r="C66">
            <v>1</v>
          </cell>
          <cell r="G66" t="str">
            <v>Sell</v>
          </cell>
          <cell r="M66" t="str">
            <v>40X000000104782K</v>
          </cell>
          <cell r="O66">
            <v>1865.36</v>
          </cell>
        </row>
        <row r="67">
          <cell r="B67">
            <v>46208.25</v>
          </cell>
          <cell r="C67">
            <v>1</v>
          </cell>
          <cell r="G67" t="str">
            <v>Sell</v>
          </cell>
          <cell r="M67" t="str">
            <v>40X000000104782K</v>
          </cell>
          <cell r="O67">
            <v>1688.2</v>
          </cell>
        </row>
        <row r="68">
          <cell r="B68">
            <v>46208.25</v>
          </cell>
          <cell r="C68">
            <v>3.8</v>
          </cell>
          <cell r="G68" t="str">
            <v>Sell</v>
          </cell>
          <cell r="M68" t="str">
            <v>40X000000104782K</v>
          </cell>
          <cell r="O68">
            <v>3518.7999999999997</v>
          </cell>
        </row>
        <row r="69">
          <cell r="B69">
            <v>46208.208333333336</v>
          </cell>
          <cell r="C69">
            <v>5</v>
          </cell>
          <cell r="G69" t="str">
            <v>Sell</v>
          </cell>
          <cell r="M69" t="str">
            <v>40X000000104782K</v>
          </cell>
          <cell r="O69">
            <v>2038.0500000000002</v>
          </cell>
        </row>
        <row r="70">
          <cell r="B70">
            <v>46208.208333333336</v>
          </cell>
          <cell r="C70">
            <v>0.1</v>
          </cell>
          <cell r="G70" t="str">
            <v>Sell</v>
          </cell>
          <cell r="M70" t="str">
            <v>40X000000104782K</v>
          </cell>
          <cell r="O70">
            <v>11.190000000000001</v>
          </cell>
        </row>
        <row r="71">
          <cell r="B71">
            <v>46208.208333333336</v>
          </cell>
          <cell r="C71">
            <v>0.1</v>
          </cell>
          <cell r="G71" t="str">
            <v>Buy</v>
          </cell>
          <cell r="M71" t="str">
            <v>40X000000104782K</v>
          </cell>
          <cell r="O71">
            <v>52.720000000000006</v>
          </cell>
        </row>
        <row r="72">
          <cell r="B72">
            <v>46208.166666666664</v>
          </cell>
          <cell r="C72">
            <v>1</v>
          </cell>
          <cell r="G72" t="str">
            <v>Sell</v>
          </cell>
          <cell r="M72" t="str">
            <v>40X000000104782K</v>
          </cell>
          <cell r="O72">
            <v>275.60000000000002</v>
          </cell>
        </row>
        <row r="73">
          <cell r="B73">
            <v>46208.166666666664</v>
          </cell>
          <cell r="C73">
            <v>3</v>
          </cell>
          <cell r="G73" t="str">
            <v>Sell</v>
          </cell>
          <cell r="M73" t="str">
            <v>40X000000104782K</v>
          </cell>
          <cell r="O73">
            <v>3929.7000000000003</v>
          </cell>
        </row>
        <row r="74">
          <cell r="B74">
            <v>46208.125</v>
          </cell>
          <cell r="C74">
            <v>1</v>
          </cell>
          <cell r="G74" t="str">
            <v>Sell</v>
          </cell>
          <cell r="M74" t="str">
            <v>40X000000104782K</v>
          </cell>
          <cell r="O74">
            <v>1912</v>
          </cell>
        </row>
        <row r="75">
          <cell r="B75">
            <v>46208.083333333336</v>
          </cell>
          <cell r="C75">
            <v>1</v>
          </cell>
          <cell r="G75" t="str">
            <v>Buy</v>
          </cell>
          <cell r="M75" t="str">
            <v>40X000000104782K</v>
          </cell>
          <cell r="O75">
            <v>1401.6</v>
          </cell>
        </row>
        <row r="76">
          <cell r="B76">
            <v>46208.041666666664</v>
          </cell>
          <cell r="C76">
            <v>1</v>
          </cell>
          <cell r="G76" t="str">
            <v>Buy</v>
          </cell>
          <cell r="M76" t="str">
            <v>40X000000104782K</v>
          </cell>
          <cell r="O76">
            <v>2778</v>
          </cell>
        </row>
        <row r="77">
          <cell r="B77">
            <v>46207.916666666664</v>
          </cell>
          <cell r="C77">
            <v>1</v>
          </cell>
          <cell r="G77" t="str">
            <v>Buy</v>
          </cell>
          <cell r="M77" t="str">
            <v>40X000000104782K</v>
          </cell>
          <cell r="O77">
            <v>4536.6000000000004</v>
          </cell>
        </row>
        <row r="78">
          <cell r="B78">
            <v>46207.541666666664</v>
          </cell>
          <cell r="C78">
            <v>1</v>
          </cell>
          <cell r="G78" t="str">
            <v>Sell</v>
          </cell>
          <cell r="M78" t="str">
            <v>40X000000104782K</v>
          </cell>
          <cell r="O78">
            <v>1999.4</v>
          </cell>
        </row>
        <row r="79">
          <cell r="B79">
            <v>46207.333333333336</v>
          </cell>
          <cell r="C79">
            <v>1</v>
          </cell>
          <cell r="G79" t="str">
            <v>Sell</v>
          </cell>
          <cell r="M79" t="str">
            <v>40X000000104782K</v>
          </cell>
          <cell r="O79">
            <v>1960</v>
          </cell>
        </row>
        <row r="80">
          <cell r="B80">
            <v>46207.25</v>
          </cell>
          <cell r="C80">
            <v>0.8</v>
          </cell>
          <cell r="G80" t="str">
            <v>Sell</v>
          </cell>
          <cell r="M80" t="str">
            <v>40X000000104782K</v>
          </cell>
          <cell r="O80">
            <v>1991.8400000000001</v>
          </cell>
        </row>
        <row r="81">
          <cell r="B81">
            <v>46207.208333333336</v>
          </cell>
          <cell r="C81">
            <v>5</v>
          </cell>
          <cell r="G81" t="str">
            <v>Sell</v>
          </cell>
          <cell r="M81" t="str">
            <v>40X000000104782K</v>
          </cell>
          <cell r="O81">
            <v>18597.5</v>
          </cell>
        </row>
        <row r="82">
          <cell r="B82">
            <v>46207.166666666664</v>
          </cell>
          <cell r="C82">
            <v>1</v>
          </cell>
          <cell r="G82" t="str">
            <v>Sell</v>
          </cell>
          <cell r="M82" t="str">
            <v>40X000000104782K</v>
          </cell>
          <cell r="O82">
            <v>3792.2</v>
          </cell>
        </row>
        <row r="83">
          <cell r="B83">
            <v>46207.166666666664</v>
          </cell>
          <cell r="C83">
            <v>3</v>
          </cell>
          <cell r="G83" t="str">
            <v>Sell</v>
          </cell>
          <cell r="M83" t="str">
            <v>40X000000104782K</v>
          </cell>
          <cell r="O83">
            <v>11548.8</v>
          </cell>
        </row>
        <row r="84">
          <cell r="B84">
            <v>46207.125</v>
          </cell>
          <cell r="C84">
            <v>3</v>
          </cell>
          <cell r="G84" t="str">
            <v>Sell</v>
          </cell>
          <cell r="M84" t="str">
            <v>40X000000104782K</v>
          </cell>
          <cell r="O84">
            <v>11680.26</v>
          </cell>
        </row>
        <row r="85">
          <cell r="B85">
            <v>46207.125</v>
          </cell>
          <cell r="C85">
            <v>3</v>
          </cell>
          <cell r="G85" t="str">
            <v>Sell</v>
          </cell>
          <cell r="M85" t="str">
            <v>40X000000104782K</v>
          </cell>
          <cell r="O85">
            <v>11695.8</v>
          </cell>
        </row>
        <row r="86">
          <cell r="B86">
            <v>46207.083333333336</v>
          </cell>
          <cell r="C86">
            <v>4</v>
          </cell>
          <cell r="G86" t="str">
            <v>Sell</v>
          </cell>
          <cell r="M86" t="str">
            <v>40X000000104782K</v>
          </cell>
          <cell r="O86">
            <v>15335.6</v>
          </cell>
        </row>
        <row r="87">
          <cell r="B87">
            <v>46207.041666666664</v>
          </cell>
          <cell r="C87">
            <v>4</v>
          </cell>
          <cell r="G87" t="str">
            <v>Sell</v>
          </cell>
          <cell r="M87" t="str">
            <v>40X000000104782K</v>
          </cell>
          <cell r="O87">
            <v>15320</v>
          </cell>
        </row>
        <row r="88">
          <cell r="B88">
            <v>46207</v>
          </cell>
          <cell r="C88">
            <v>1</v>
          </cell>
          <cell r="G88" t="str">
            <v>Sell</v>
          </cell>
          <cell r="M88" t="str">
            <v>40X000000104782K</v>
          </cell>
          <cell r="O88">
            <v>3735</v>
          </cell>
        </row>
        <row r="89">
          <cell r="B89">
            <v>46207</v>
          </cell>
          <cell r="C89">
            <v>2</v>
          </cell>
          <cell r="G89" t="str">
            <v>Sell</v>
          </cell>
          <cell r="M89" t="str">
            <v>40X000000104782K</v>
          </cell>
          <cell r="O89">
            <v>7526.86</v>
          </cell>
        </row>
        <row r="90">
          <cell r="B90">
            <v>46206.958333333336</v>
          </cell>
          <cell r="C90">
            <v>1</v>
          </cell>
          <cell r="G90" t="str">
            <v>Sell</v>
          </cell>
          <cell r="M90" t="str">
            <v>40X000000104782K</v>
          </cell>
          <cell r="O90">
            <v>3724.1</v>
          </cell>
        </row>
        <row r="91">
          <cell r="B91">
            <v>46206.75</v>
          </cell>
          <cell r="C91">
            <v>2</v>
          </cell>
          <cell r="G91" t="str">
            <v>Buy</v>
          </cell>
          <cell r="M91" t="str">
            <v>40X000000104782K</v>
          </cell>
          <cell r="O91">
            <v>7208.1</v>
          </cell>
        </row>
        <row r="92">
          <cell r="B92">
            <v>46206.5</v>
          </cell>
          <cell r="C92">
            <v>1</v>
          </cell>
          <cell r="G92" t="str">
            <v>Buy</v>
          </cell>
          <cell r="M92" t="str">
            <v>40X000000104782K</v>
          </cell>
          <cell r="O92">
            <v>1602.8</v>
          </cell>
        </row>
        <row r="93">
          <cell r="B93">
            <v>46206.5</v>
          </cell>
          <cell r="C93">
            <v>3</v>
          </cell>
          <cell r="G93" t="str">
            <v>Buy</v>
          </cell>
          <cell r="M93" t="str">
            <v>40X000000104782K</v>
          </cell>
          <cell r="O93">
            <v>4504.5</v>
          </cell>
        </row>
        <row r="94">
          <cell r="B94">
            <v>46206.375</v>
          </cell>
          <cell r="C94">
            <v>1</v>
          </cell>
          <cell r="G94" t="str">
            <v>Sell</v>
          </cell>
          <cell r="M94" t="str">
            <v>40X000000104782K</v>
          </cell>
          <cell r="O94">
            <v>2862.5</v>
          </cell>
        </row>
        <row r="95">
          <cell r="B95">
            <v>46206.208333333336</v>
          </cell>
          <cell r="C95">
            <v>1</v>
          </cell>
          <cell r="G95" t="str">
            <v>Sell</v>
          </cell>
          <cell r="M95" t="str">
            <v>40X000000104782K</v>
          </cell>
          <cell r="O95">
            <v>3730.22</v>
          </cell>
        </row>
        <row r="96">
          <cell r="B96">
            <v>46206.208333333336</v>
          </cell>
          <cell r="C96">
            <v>1</v>
          </cell>
          <cell r="G96" t="str">
            <v>Sell</v>
          </cell>
          <cell r="M96" t="str">
            <v>40X000000104782K</v>
          </cell>
          <cell r="O96">
            <v>3644.3</v>
          </cell>
        </row>
        <row r="97">
          <cell r="B97">
            <v>46206.166666666664</v>
          </cell>
          <cell r="C97">
            <v>1</v>
          </cell>
          <cell r="G97" t="str">
            <v>Sell</v>
          </cell>
          <cell r="M97" t="str">
            <v>40X000000104782K</v>
          </cell>
          <cell r="O97">
            <v>3554</v>
          </cell>
        </row>
        <row r="98">
          <cell r="B98">
            <v>46206.166666666664</v>
          </cell>
          <cell r="C98">
            <v>1</v>
          </cell>
          <cell r="G98" t="str">
            <v>Sell</v>
          </cell>
          <cell r="M98" t="str">
            <v>40X000000104782K</v>
          </cell>
          <cell r="O98">
            <v>3559.8</v>
          </cell>
        </row>
        <row r="99">
          <cell r="B99">
            <v>46206.125</v>
          </cell>
          <cell r="C99">
            <v>1</v>
          </cell>
          <cell r="G99" t="str">
            <v>Sell</v>
          </cell>
          <cell r="M99" t="str">
            <v>40X000000104782K</v>
          </cell>
          <cell r="O99">
            <v>3394.68</v>
          </cell>
        </row>
        <row r="100">
          <cell r="B100">
            <v>46206.083333333336</v>
          </cell>
          <cell r="C100">
            <v>2</v>
          </cell>
          <cell r="G100" t="str">
            <v>Sell</v>
          </cell>
          <cell r="M100" t="str">
            <v>40X000000104782K</v>
          </cell>
          <cell r="O100">
            <v>7239.4</v>
          </cell>
        </row>
        <row r="101">
          <cell r="B101">
            <v>46206.041666666664</v>
          </cell>
          <cell r="C101">
            <v>1</v>
          </cell>
          <cell r="G101" t="str">
            <v>Sell</v>
          </cell>
          <cell r="M101" t="str">
            <v>40X000000104782K</v>
          </cell>
          <cell r="O101">
            <v>3184.85</v>
          </cell>
        </row>
        <row r="102">
          <cell r="B102">
            <v>46206</v>
          </cell>
          <cell r="C102">
            <v>3</v>
          </cell>
          <cell r="G102" t="str">
            <v>Sell</v>
          </cell>
          <cell r="M102" t="str">
            <v>40X000000104782K</v>
          </cell>
          <cell r="O102">
            <v>10423.200000000001</v>
          </cell>
        </row>
        <row r="103">
          <cell r="B103">
            <v>46205.958333333336</v>
          </cell>
          <cell r="C103">
            <v>4</v>
          </cell>
          <cell r="G103" t="str">
            <v>Sell</v>
          </cell>
          <cell r="M103" t="str">
            <v>40X000000104782K</v>
          </cell>
          <cell r="O103">
            <v>12787.6</v>
          </cell>
        </row>
        <row r="104">
          <cell r="B104">
            <v>46205.958333333336</v>
          </cell>
          <cell r="C104">
            <v>2</v>
          </cell>
          <cell r="G104" t="str">
            <v>Sell</v>
          </cell>
          <cell r="M104" t="str">
            <v>40X000000104782K</v>
          </cell>
          <cell r="O104">
            <v>6141.2</v>
          </cell>
        </row>
        <row r="105">
          <cell r="B105">
            <v>46205.916666666664</v>
          </cell>
          <cell r="C105">
            <v>5</v>
          </cell>
          <cell r="G105" t="str">
            <v>Sell</v>
          </cell>
          <cell r="M105" t="str">
            <v>40X000000104782K</v>
          </cell>
          <cell r="O105">
            <v>20027</v>
          </cell>
        </row>
        <row r="106">
          <cell r="B106">
            <v>46205.875</v>
          </cell>
          <cell r="C106">
            <v>3</v>
          </cell>
          <cell r="G106" t="str">
            <v>Sell</v>
          </cell>
          <cell r="M106" t="str">
            <v>40X000000104782K</v>
          </cell>
          <cell r="O106">
            <v>13382.400000000001</v>
          </cell>
        </row>
        <row r="107">
          <cell r="B107">
            <v>46205.875</v>
          </cell>
          <cell r="C107">
            <v>2</v>
          </cell>
          <cell r="G107" t="str">
            <v>Sell</v>
          </cell>
          <cell r="M107" t="str">
            <v>40X000000104782K</v>
          </cell>
          <cell r="O107">
            <v>8671.4</v>
          </cell>
        </row>
        <row r="108">
          <cell r="B108">
            <v>46205.791666666664</v>
          </cell>
          <cell r="C108">
            <v>2.8</v>
          </cell>
          <cell r="G108" t="str">
            <v>Sell</v>
          </cell>
          <cell r="M108" t="str">
            <v>40X000000104782K</v>
          </cell>
          <cell r="O108">
            <v>11860.575999999999</v>
          </cell>
        </row>
        <row r="109">
          <cell r="B109">
            <v>46205.75</v>
          </cell>
          <cell r="C109">
            <v>4.7</v>
          </cell>
          <cell r="G109" t="str">
            <v>Sell</v>
          </cell>
          <cell r="M109" t="str">
            <v>40X000000104782K</v>
          </cell>
          <cell r="O109">
            <v>14979.37</v>
          </cell>
        </row>
        <row r="110">
          <cell r="B110">
            <v>46205.708333333336</v>
          </cell>
          <cell r="C110">
            <v>3.5</v>
          </cell>
          <cell r="G110" t="str">
            <v>Sell</v>
          </cell>
          <cell r="M110" t="str">
            <v>40X000000104782K</v>
          </cell>
          <cell r="O110">
            <v>13376.125</v>
          </cell>
        </row>
        <row r="111">
          <cell r="B111">
            <v>46205.666666666664</v>
          </cell>
          <cell r="C111">
            <v>1</v>
          </cell>
          <cell r="G111" t="str">
            <v>Sell</v>
          </cell>
          <cell r="M111" t="str">
            <v>40X000000104782K</v>
          </cell>
          <cell r="O111">
            <v>2840.8</v>
          </cell>
        </row>
        <row r="112">
          <cell r="B112">
            <v>46205.625</v>
          </cell>
          <cell r="C112">
            <v>1.2</v>
          </cell>
          <cell r="G112" t="str">
            <v>Sell</v>
          </cell>
          <cell r="M112" t="str">
            <v>40X000000104782K</v>
          </cell>
          <cell r="O112">
            <v>3207.8399999999997</v>
          </cell>
        </row>
        <row r="113">
          <cell r="B113">
            <v>46205.583333333336</v>
          </cell>
          <cell r="C113">
            <v>2</v>
          </cell>
          <cell r="G113" t="str">
            <v>Sell</v>
          </cell>
          <cell r="M113" t="str">
            <v>40X000000104782K</v>
          </cell>
          <cell r="O113">
            <v>7681.4</v>
          </cell>
        </row>
        <row r="114">
          <cell r="B114">
            <v>46205.541666666664</v>
          </cell>
          <cell r="C114">
            <v>2</v>
          </cell>
          <cell r="G114" t="str">
            <v>Sell</v>
          </cell>
          <cell r="M114" t="str">
            <v>40X000000104782K</v>
          </cell>
          <cell r="O114">
            <v>7399.06</v>
          </cell>
        </row>
        <row r="115">
          <cell r="B115">
            <v>46205.458333333336</v>
          </cell>
          <cell r="C115">
            <v>1</v>
          </cell>
          <cell r="G115" t="str">
            <v>Sell</v>
          </cell>
          <cell r="M115" t="str">
            <v>40X000000104782K</v>
          </cell>
          <cell r="O115">
            <v>3321.51</v>
          </cell>
        </row>
        <row r="116">
          <cell r="B116">
            <v>46205.416666666664</v>
          </cell>
          <cell r="C116">
            <v>1</v>
          </cell>
          <cell r="G116" t="str">
            <v>Sell</v>
          </cell>
          <cell r="M116" t="str">
            <v>40X000000104782K</v>
          </cell>
          <cell r="O116">
            <v>2742.6</v>
          </cell>
        </row>
        <row r="117">
          <cell r="B117">
            <v>46205.375</v>
          </cell>
          <cell r="C117">
            <v>1</v>
          </cell>
          <cell r="G117" t="str">
            <v>Sell</v>
          </cell>
          <cell r="M117" t="str">
            <v>40X000000104782K</v>
          </cell>
          <cell r="O117">
            <v>3714</v>
          </cell>
        </row>
        <row r="118">
          <cell r="B118">
            <v>46205.333333333336</v>
          </cell>
          <cell r="C118">
            <v>1</v>
          </cell>
          <cell r="G118" t="str">
            <v>Sell</v>
          </cell>
          <cell r="M118" t="str">
            <v>40X000000104782K</v>
          </cell>
          <cell r="O118">
            <v>3802.7</v>
          </cell>
        </row>
        <row r="119">
          <cell r="B119">
            <v>46205.291666666664</v>
          </cell>
          <cell r="C119">
            <v>4.5</v>
          </cell>
          <cell r="G119" t="str">
            <v>Sell</v>
          </cell>
          <cell r="M119" t="str">
            <v>40X000000104782K</v>
          </cell>
          <cell r="O119">
            <v>7694.01</v>
          </cell>
        </row>
        <row r="120">
          <cell r="B120">
            <v>46205.25</v>
          </cell>
          <cell r="C120">
            <v>4.8</v>
          </cell>
          <cell r="G120" t="str">
            <v>Sell</v>
          </cell>
          <cell r="M120" t="str">
            <v>40X000000104782K</v>
          </cell>
          <cell r="O120">
            <v>16956.288</v>
          </cell>
        </row>
        <row r="121">
          <cell r="B121">
            <v>46205.208333333336</v>
          </cell>
          <cell r="C121">
            <v>5</v>
          </cell>
          <cell r="G121" t="str">
            <v>Sell</v>
          </cell>
          <cell r="M121" t="str">
            <v>40X000000104782K</v>
          </cell>
          <cell r="O121">
            <v>23140.5</v>
          </cell>
        </row>
        <row r="122">
          <cell r="B122">
            <v>46205.166666666664</v>
          </cell>
          <cell r="C122">
            <v>5</v>
          </cell>
          <cell r="G122" t="str">
            <v>Sell</v>
          </cell>
          <cell r="M122" t="str">
            <v>40X000000104782K</v>
          </cell>
          <cell r="O122">
            <v>22238</v>
          </cell>
        </row>
        <row r="123">
          <cell r="B123">
            <v>46205.125</v>
          </cell>
          <cell r="C123">
            <v>7</v>
          </cell>
          <cell r="G123" t="str">
            <v>Sell</v>
          </cell>
          <cell r="M123" t="str">
            <v>40X000000104782K</v>
          </cell>
          <cell r="O123">
            <v>22859.97</v>
          </cell>
        </row>
        <row r="124">
          <cell r="B124">
            <v>46205.083333333336</v>
          </cell>
          <cell r="C124">
            <v>1</v>
          </cell>
          <cell r="G124" t="str">
            <v>Sell</v>
          </cell>
          <cell r="M124" t="str">
            <v>40X000000104782K</v>
          </cell>
          <cell r="O124">
            <v>3299.9</v>
          </cell>
        </row>
        <row r="125">
          <cell r="B125">
            <v>46205.083333333336</v>
          </cell>
          <cell r="C125">
            <v>5</v>
          </cell>
          <cell r="G125" t="str">
            <v>Sell</v>
          </cell>
          <cell r="M125" t="str">
            <v>40X000000104782K</v>
          </cell>
          <cell r="O125">
            <v>16982</v>
          </cell>
        </row>
        <row r="126">
          <cell r="B126">
            <v>46205.041666666664</v>
          </cell>
          <cell r="C126">
            <v>6</v>
          </cell>
          <cell r="G126" t="str">
            <v>Sell</v>
          </cell>
          <cell r="M126" t="str">
            <v>40X000000104782K</v>
          </cell>
          <cell r="O126">
            <v>20490.599999999999</v>
          </cell>
        </row>
        <row r="127">
          <cell r="B127">
            <v>46205</v>
          </cell>
          <cell r="C127">
            <v>6</v>
          </cell>
          <cell r="G127" t="str">
            <v>Sell</v>
          </cell>
          <cell r="M127" t="str">
            <v>40X000000104782K</v>
          </cell>
          <cell r="O127">
            <v>23885.1</v>
          </cell>
        </row>
        <row r="128">
          <cell r="B128">
            <v>46204.958333333336</v>
          </cell>
          <cell r="C128">
            <v>6</v>
          </cell>
          <cell r="G128" t="str">
            <v>Sell</v>
          </cell>
          <cell r="M128" t="str">
            <v>40X000000104782K</v>
          </cell>
          <cell r="O128">
            <v>20141.28</v>
          </cell>
        </row>
        <row r="129">
          <cell r="B129">
            <v>46204.916666666664</v>
          </cell>
          <cell r="C129">
            <v>7</v>
          </cell>
          <cell r="G129" t="str">
            <v>Sell</v>
          </cell>
          <cell r="M129" t="str">
            <v>40X000000104782K</v>
          </cell>
          <cell r="O129">
            <v>24851.960000000003</v>
          </cell>
        </row>
        <row r="130">
          <cell r="B130">
            <v>46204.875</v>
          </cell>
          <cell r="C130">
            <v>7</v>
          </cell>
          <cell r="G130" t="str">
            <v>Sell</v>
          </cell>
          <cell r="M130" t="str">
            <v>40X000000104782K</v>
          </cell>
          <cell r="O130">
            <v>29468.53</v>
          </cell>
        </row>
        <row r="131">
          <cell r="B131">
            <v>46204.833333333336</v>
          </cell>
          <cell r="C131">
            <v>4</v>
          </cell>
          <cell r="G131" t="str">
            <v>Sell</v>
          </cell>
          <cell r="M131" t="str">
            <v>40X000000104782K</v>
          </cell>
          <cell r="O131">
            <v>17199.599999999999</v>
          </cell>
        </row>
        <row r="132">
          <cell r="B132">
            <v>46204.791666666664</v>
          </cell>
          <cell r="C132">
            <v>1</v>
          </cell>
          <cell r="G132" t="str">
            <v>Sell</v>
          </cell>
          <cell r="M132" t="str">
            <v>40X000000104782K</v>
          </cell>
          <cell r="O132">
            <v>4249.3999999999996</v>
          </cell>
        </row>
        <row r="133">
          <cell r="B133">
            <v>46204.791666666664</v>
          </cell>
          <cell r="C133">
            <v>3.3</v>
          </cell>
          <cell r="G133" t="str">
            <v>Sell</v>
          </cell>
          <cell r="M133" t="str">
            <v>40X000000104782K</v>
          </cell>
          <cell r="O133">
            <v>13927.65</v>
          </cell>
        </row>
        <row r="134">
          <cell r="B134">
            <v>46204.75</v>
          </cell>
          <cell r="C134">
            <v>1.2</v>
          </cell>
          <cell r="G134" t="str">
            <v>Sell</v>
          </cell>
          <cell r="M134" t="str">
            <v>40X000000104782K</v>
          </cell>
          <cell r="O134">
            <v>4740.7199999999993</v>
          </cell>
        </row>
        <row r="135">
          <cell r="B135">
            <v>46204.666666666664</v>
          </cell>
          <cell r="C135">
            <v>1</v>
          </cell>
          <cell r="G135" t="str">
            <v>Sell</v>
          </cell>
          <cell r="M135" t="str">
            <v>40X000000104782K</v>
          </cell>
          <cell r="O135">
            <v>3473</v>
          </cell>
        </row>
        <row r="136">
          <cell r="B136">
            <v>46204.583333333336</v>
          </cell>
          <cell r="C136">
            <v>3</v>
          </cell>
          <cell r="G136" t="str">
            <v>Sell</v>
          </cell>
          <cell r="M136" t="str">
            <v>40X000000104782K</v>
          </cell>
          <cell r="O136">
            <v>10378.5</v>
          </cell>
        </row>
        <row r="137">
          <cell r="B137">
            <v>46204.541666666664</v>
          </cell>
          <cell r="C137">
            <v>2</v>
          </cell>
          <cell r="G137" t="str">
            <v>Sell</v>
          </cell>
          <cell r="M137" t="str">
            <v>40X000000104782K</v>
          </cell>
          <cell r="O137">
            <v>4049.8</v>
          </cell>
        </row>
        <row r="138">
          <cell r="B138">
            <v>46204.333333333336</v>
          </cell>
          <cell r="C138">
            <v>1</v>
          </cell>
          <cell r="G138" t="str">
            <v>Sell</v>
          </cell>
          <cell r="M138" t="str">
            <v>40X000000104782K</v>
          </cell>
          <cell r="O138">
            <v>2874.7</v>
          </cell>
        </row>
        <row r="139">
          <cell r="B139">
            <v>46204.25</v>
          </cell>
          <cell r="C139">
            <v>1</v>
          </cell>
          <cell r="G139" t="str">
            <v>Sell</v>
          </cell>
          <cell r="M139" t="str">
            <v>40X000000104782K</v>
          </cell>
          <cell r="O139">
            <v>2522.6</v>
          </cell>
        </row>
        <row r="140">
          <cell r="B140">
            <v>46204.208333333336</v>
          </cell>
          <cell r="C140">
            <v>3</v>
          </cell>
          <cell r="G140" t="str">
            <v>Sell</v>
          </cell>
          <cell r="M140" t="str">
            <v>40X000000104782K</v>
          </cell>
          <cell r="O140">
            <v>10589.7</v>
          </cell>
        </row>
        <row r="141">
          <cell r="B141">
            <v>46204.166666666664</v>
          </cell>
          <cell r="C141">
            <v>1</v>
          </cell>
          <cell r="G141" t="str">
            <v>Sell</v>
          </cell>
          <cell r="M141" t="str">
            <v>40X000000104782K</v>
          </cell>
          <cell r="O141">
            <v>4058.88</v>
          </cell>
        </row>
        <row r="142">
          <cell r="B142">
            <v>46204.166666666664</v>
          </cell>
          <cell r="C142">
            <v>2</v>
          </cell>
          <cell r="G142" t="str">
            <v>Sell</v>
          </cell>
          <cell r="M142" t="str">
            <v>40X000000104782K</v>
          </cell>
          <cell r="O142">
            <v>7624.6</v>
          </cell>
        </row>
        <row r="143">
          <cell r="B143">
            <v>46204.083333333336</v>
          </cell>
          <cell r="C143">
            <v>1</v>
          </cell>
          <cell r="G143" t="str">
            <v>Sell</v>
          </cell>
          <cell r="M143" t="str">
            <v>40X000000104782K</v>
          </cell>
          <cell r="O143">
            <v>3339.5</v>
          </cell>
        </row>
        <row r="144">
          <cell r="B144">
            <v>46204.041666666664</v>
          </cell>
          <cell r="C144">
            <v>2</v>
          </cell>
          <cell r="G144" t="str">
            <v>Sell</v>
          </cell>
          <cell r="M144" t="str">
            <v>40X000000104782K</v>
          </cell>
          <cell r="O144">
            <v>8400</v>
          </cell>
        </row>
        <row r="145">
          <cell r="B145">
            <v>46204</v>
          </cell>
          <cell r="C145">
            <v>1</v>
          </cell>
          <cell r="G145" t="str">
            <v>Sell</v>
          </cell>
          <cell r="M145" t="str">
            <v>40X000000104782K</v>
          </cell>
          <cell r="O145">
            <v>3934.5</v>
          </cell>
        </row>
        <row r="146">
          <cell r="O146">
            <v>0</v>
          </cell>
        </row>
        <row r="147">
          <cell r="O147">
            <v>0</v>
          </cell>
        </row>
        <row r="148">
          <cell r="O148">
            <v>0</v>
          </cell>
        </row>
        <row r="149">
          <cell r="O149">
            <v>0</v>
          </cell>
        </row>
        <row r="150">
          <cell r="O150">
            <v>0</v>
          </cell>
        </row>
        <row r="151">
          <cell r="O151">
            <v>0</v>
          </cell>
        </row>
        <row r="152">
          <cell r="O152">
            <v>0</v>
          </cell>
        </row>
        <row r="153">
          <cell r="O153">
            <v>0</v>
          </cell>
        </row>
        <row r="154">
          <cell r="O154">
            <v>0</v>
          </cell>
        </row>
        <row r="155">
          <cell r="O155">
            <v>0</v>
          </cell>
        </row>
        <row r="156">
          <cell r="O156">
            <v>0</v>
          </cell>
        </row>
        <row r="157">
          <cell r="O157">
            <v>0</v>
          </cell>
        </row>
        <row r="158">
          <cell r="O158">
            <v>0</v>
          </cell>
        </row>
        <row r="159">
          <cell r="O159">
            <v>0</v>
          </cell>
        </row>
        <row r="160">
          <cell r="O160">
            <v>0</v>
          </cell>
        </row>
        <row r="161">
          <cell r="O161">
            <v>0</v>
          </cell>
        </row>
        <row r="162">
          <cell r="O162">
            <v>0</v>
          </cell>
        </row>
        <row r="163">
          <cell r="O163">
            <v>0</v>
          </cell>
        </row>
        <row r="164">
          <cell r="O164">
            <v>0</v>
          </cell>
        </row>
        <row r="165">
          <cell r="O165">
            <v>0</v>
          </cell>
        </row>
        <row r="166">
          <cell r="O166">
            <v>0</v>
          </cell>
        </row>
        <row r="167">
          <cell r="O167">
            <v>0</v>
          </cell>
        </row>
        <row r="168">
          <cell r="O168">
            <v>0</v>
          </cell>
        </row>
        <row r="169">
          <cell r="O169">
            <v>0</v>
          </cell>
        </row>
        <row r="170">
          <cell r="O170">
            <v>0</v>
          </cell>
        </row>
        <row r="171">
          <cell r="O171">
            <v>0</v>
          </cell>
        </row>
        <row r="172">
          <cell r="O172">
            <v>0</v>
          </cell>
        </row>
        <row r="173">
          <cell r="O173">
            <v>0</v>
          </cell>
        </row>
        <row r="174">
          <cell r="O174">
            <v>0</v>
          </cell>
        </row>
        <row r="175">
          <cell r="O175">
            <v>0</v>
          </cell>
        </row>
        <row r="176">
          <cell r="O176">
            <v>0</v>
          </cell>
        </row>
        <row r="177">
          <cell r="O177">
            <v>0</v>
          </cell>
        </row>
        <row r="178">
          <cell r="O178">
            <v>0</v>
          </cell>
        </row>
        <row r="179">
          <cell r="O179">
            <v>0</v>
          </cell>
        </row>
        <row r="180">
          <cell r="O180">
            <v>0</v>
          </cell>
        </row>
        <row r="181">
          <cell r="O181">
            <v>0</v>
          </cell>
        </row>
        <row r="182">
          <cell r="O182">
            <v>0</v>
          </cell>
        </row>
        <row r="183">
          <cell r="O183">
            <v>0</v>
          </cell>
        </row>
        <row r="184">
          <cell r="O184">
            <v>0</v>
          </cell>
        </row>
        <row r="185">
          <cell r="O185">
            <v>0</v>
          </cell>
        </row>
        <row r="186">
          <cell r="O186">
            <v>0</v>
          </cell>
        </row>
        <row r="187">
          <cell r="O187">
            <v>0</v>
          </cell>
        </row>
        <row r="188">
          <cell r="O188">
            <v>0</v>
          </cell>
        </row>
        <row r="189">
          <cell r="O189">
            <v>0</v>
          </cell>
        </row>
        <row r="190">
          <cell r="O190">
            <v>0</v>
          </cell>
        </row>
        <row r="191">
          <cell r="O191">
            <v>0</v>
          </cell>
        </row>
        <row r="192">
          <cell r="O192">
            <v>0</v>
          </cell>
        </row>
        <row r="193">
          <cell r="O193">
            <v>0</v>
          </cell>
        </row>
        <row r="194">
          <cell r="O194">
            <v>0</v>
          </cell>
        </row>
        <row r="195">
          <cell r="O195">
            <v>0</v>
          </cell>
        </row>
        <row r="196">
          <cell r="O196">
            <v>0</v>
          </cell>
        </row>
        <row r="197">
          <cell r="O197">
            <v>0</v>
          </cell>
        </row>
        <row r="198">
          <cell r="O198">
            <v>0</v>
          </cell>
        </row>
        <row r="199">
          <cell r="O199">
            <v>0</v>
          </cell>
        </row>
        <row r="200">
          <cell r="O200">
            <v>0</v>
          </cell>
        </row>
        <row r="201">
          <cell r="O201">
            <v>0</v>
          </cell>
        </row>
        <row r="202">
          <cell r="O202">
            <v>0</v>
          </cell>
        </row>
        <row r="203">
          <cell r="O203">
            <v>0</v>
          </cell>
        </row>
        <row r="204">
          <cell r="O204">
            <v>0</v>
          </cell>
        </row>
        <row r="205">
          <cell r="O205">
            <v>0</v>
          </cell>
        </row>
        <row r="206">
          <cell r="O206">
            <v>0</v>
          </cell>
        </row>
        <row r="207">
          <cell r="O207">
            <v>0</v>
          </cell>
        </row>
        <row r="208">
          <cell r="O208">
            <v>0</v>
          </cell>
        </row>
        <row r="209">
          <cell r="O209">
            <v>0</v>
          </cell>
        </row>
        <row r="210">
          <cell r="O210">
            <v>0</v>
          </cell>
        </row>
        <row r="211">
          <cell r="O211">
            <v>0</v>
          </cell>
        </row>
        <row r="212">
          <cell r="O212">
            <v>0</v>
          </cell>
        </row>
        <row r="213">
          <cell r="O213">
            <v>0</v>
          </cell>
        </row>
        <row r="214">
          <cell r="O214">
            <v>0</v>
          </cell>
        </row>
        <row r="215">
          <cell r="O215">
            <v>0</v>
          </cell>
        </row>
        <row r="216">
          <cell r="O216">
            <v>0</v>
          </cell>
        </row>
        <row r="217">
          <cell r="O217">
            <v>0</v>
          </cell>
        </row>
        <row r="218">
          <cell r="O218">
            <v>0</v>
          </cell>
        </row>
        <row r="219">
          <cell r="O219">
            <v>0</v>
          </cell>
        </row>
        <row r="220">
          <cell r="O220">
            <v>0</v>
          </cell>
        </row>
        <row r="221">
          <cell r="O221">
            <v>0</v>
          </cell>
        </row>
        <row r="222">
          <cell r="O222">
            <v>0</v>
          </cell>
        </row>
        <row r="223">
          <cell r="O223">
            <v>0</v>
          </cell>
        </row>
        <row r="224">
          <cell r="O224">
            <v>0</v>
          </cell>
        </row>
        <row r="225">
          <cell r="O225">
            <v>0</v>
          </cell>
        </row>
        <row r="226">
          <cell r="O226">
            <v>0</v>
          </cell>
        </row>
        <row r="227">
          <cell r="O227">
            <v>0</v>
          </cell>
        </row>
        <row r="228">
          <cell r="O228">
            <v>0</v>
          </cell>
        </row>
        <row r="229">
          <cell r="O229">
            <v>0</v>
          </cell>
        </row>
        <row r="230">
          <cell r="O230">
            <v>0</v>
          </cell>
        </row>
        <row r="231">
          <cell r="O231">
            <v>0</v>
          </cell>
        </row>
        <row r="232">
          <cell r="O232">
            <v>0</v>
          </cell>
        </row>
        <row r="233">
          <cell r="O233">
            <v>0</v>
          </cell>
        </row>
        <row r="234">
          <cell r="O234">
            <v>0</v>
          </cell>
        </row>
        <row r="235">
          <cell r="O235">
            <v>0</v>
          </cell>
        </row>
        <row r="236">
          <cell r="O236">
            <v>0</v>
          </cell>
        </row>
        <row r="237">
          <cell r="O237">
            <v>0</v>
          </cell>
        </row>
        <row r="238">
          <cell r="O238">
            <v>0</v>
          </cell>
        </row>
        <row r="239">
          <cell r="O239">
            <v>0</v>
          </cell>
        </row>
        <row r="240">
          <cell r="O240">
            <v>0</v>
          </cell>
        </row>
        <row r="241">
          <cell r="O241">
            <v>0</v>
          </cell>
        </row>
        <row r="242">
          <cell r="O242">
            <v>0</v>
          </cell>
        </row>
        <row r="243">
          <cell r="O243">
            <v>0</v>
          </cell>
        </row>
        <row r="244">
          <cell r="O244">
            <v>0</v>
          </cell>
        </row>
        <row r="245">
          <cell r="O245">
            <v>0</v>
          </cell>
        </row>
        <row r="246">
          <cell r="O246">
            <v>0</v>
          </cell>
        </row>
        <row r="247">
          <cell r="O247">
            <v>0</v>
          </cell>
        </row>
        <row r="248">
          <cell r="O248">
            <v>0</v>
          </cell>
        </row>
        <row r="249">
          <cell r="O249">
            <v>0</v>
          </cell>
        </row>
        <row r="250">
          <cell r="O250">
            <v>0</v>
          </cell>
        </row>
        <row r="251">
          <cell r="O251">
            <v>0</v>
          </cell>
        </row>
        <row r="252">
          <cell r="O252">
            <v>0</v>
          </cell>
        </row>
        <row r="253">
          <cell r="O253">
            <v>0</v>
          </cell>
        </row>
        <row r="254">
          <cell r="O254">
            <v>0</v>
          </cell>
        </row>
        <row r="255">
          <cell r="O255">
            <v>0</v>
          </cell>
        </row>
        <row r="256">
          <cell r="O256">
            <v>0</v>
          </cell>
        </row>
        <row r="257">
          <cell r="O257">
            <v>0</v>
          </cell>
        </row>
        <row r="258">
          <cell r="O258">
            <v>0</v>
          </cell>
        </row>
        <row r="259">
          <cell r="O259">
            <v>0</v>
          </cell>
        </row>
        <row r="260">
          <cell r="O260">
            <v>0</v>
          </cell>
        </row>
        <row r="261">
          <cell r="O261">
            <v>0</v>
          </cell>
        </row>
        <row r="262">
          <cell r="O262">
            <v>0</v>
          </cell>
        </row>
        <row r="263">
          <cell r="O263">
            <v>0</v>
          </cell>
        </row>
        <row r="264">
          <cell r="O264">
            <v>0</v>
          </cell>
        </row>
        <row r="265">
          <cell r="O265">
            <v>0</v>
          </cell>
        </row>
        <row r="266">
          <cell r="O266">
            <v>0</v>
          </cell>
        </row>
        <row r="267">
          <cell r="O267">
            <v>0</v>
          </cell>
        </row>
        <row r="268">
          <cell r="O268">
            <v>0</v>
          </cell>
        </row>
        <row r="269">
          <cell r="O269">
            <v>0</v>
          </cell>
        </row>
        <row r="270">
          <cell r="O270">
            <v>0</v>
          </cell>
        </row>
        <row r="271">
          <cell r="O271">
            <v>0</v>
          </cell>
        </row>
        <row r="272">
          <cell r="O272">
            <v>0</v>
          </cell>
        </row>
        <row r="273">
          <cell r="O273">
            <v>0</v>
          </cell>
        </row>
        <row r="274">
          <cell r="O274">
            <v>0</v>
          </cell>
        </row>
        <row r="275">
          <cell r="O275">
            <v>0</v>
          </cell>
        </row>
        <row r="276">
          <cell r="O276">
            <v>0</v>
          </cell>
        </row>
        <row r="277">
          <cell r="O277">
            <v>0</v>
          </cell>
        </row>
        <row r="278">
          <cell r="O278">
            <v>0</v>
          </cell>
        </row>
        <row r="279">
          <cell r="O279">
            <v>0</v>
          </cell>
        </row>
        <row r="280">
          <cell r="O280">
            <v>0</v>
          </cell>
        </row>
        <row r="281">
          <cell r="O281">
            <v>0</v>
          </cell>
        </row>
        <row r="282">
          <cell r="O282">
            <v>0</v>
          </cell>
        </row>
        <row r="283">
          <cell r="O283">
            <v>0</v>
          </cell>
        </row>
        <row r="284">
          <cell r="O284">
            <v>0</v>
          </cell>
        </row>
        <row r="285">
          <cell r="O285">
            <v>0</v>
          </cell>
        </row>
        <row r="286">
          <cell r="O286">
            <v>0</v>
          </cell>
        </row>
        <row r="287">
          <cell r="O287">
            <v>0</v>
          </cell>
        </row>
        <row r="288">
          <cell r="O288">
            <v>0</v>
          </cell>
        </row>
        <row r="289">
          <cell r="O289">
            <v>0</v>
          </cell>
        </row>
        <row r="290">
          <cell r="O290">
            <v>0</v>
          </cell>
        </row>
        <row r="291">
          <cell r="O291">
            <v>0</v>
          </cell>
        </row>
        <row r="292">
          <cell r="O292">
            <v>0</v>
          </cell>
        </row>
        <row r="293">
          <cell r="O293">
            <v>0</v>
          </cell>
        </row>
        <row r="294">
          <cell r="O294">
            <v>0</v>
          </cell>
        </row>
        <row r="295">
          <cell r="O295">
            <v>0</v>
          </cell>
        </row>
        <row r="296">
          <cell r="O296">
            <v>0</v>
          </cell>
        </row>
        <row r="297">
          <cell r="O297">
            <v>0</v>
          </cell>
        </row>
        <row r="298">
          <cell r="O298">
            <v>0</v>
          </cell>
        </row>
        <row r="299">
          <cell r="O299">
            <v>0</v>
          </cell>
        </row>
        <row r="300">
          <cell r="O300">
            <v>0</v>
          </cell>
        </row>
        <row r="301">
          <cell r="O301">
            <v>0</v>
          </cell>
        </row>
        <row r="302">
          <cell r="O302">
            <v>0</v>
          </cell>
        </row>
        <row r="303">
          <cell r="O303">
            <v>0</v>
          </cell>
        </row>
        <row r="304">
          <cell r="O304">
            <v>0</v>
          </cell>
        </row>
        <row r="305">
          <cell r="O305">
            <v>0</v>
          </cell>
        </row>
        <row r="306">
          <cell r="O306">
            <v>0</v>
          </cell>
        </row>
        <row r="307">
          <cell r="O307">
            <v>0</v>
          </cell>
        </row>
        <row r="308">
          <cell r="O308">
            <v>0</v>
          </cell>
        </row>
        <row r="309">
          <cell r="O309">
            <v>0</v>
          </cell>
        </row>
        <row r="310">
          <cell r="O310">
            <v>0</v>
          </cell>
        </row>
        <row r="311">
          <cell r="O311">
            <v>0</v>
          </cell>
        </row>
        <row r="312">
          <cell r="O312">
            <v>0</v>
          </cell>
        </row>
        <row r="313">
          <cell r="O313">
            <v>0</v>
          </cell>
        </row>
        <row r="314">
          <cell r="O314">
            <v>0</v>
          </cell>
        </row>
        <row r="315">
          <cell r="O315">
            <v>0</v>
          </cell>
        </row>
        <row r="316">
          <cell r="O316">
            <v>0</v>
          </cell>
        </row>
        <row r="317">
          <cell r="O317">
            <v>0</v>
          </cell>
        </row>
        <row r="318">
          <cell r="O318">
            <v>0</v>
          </cell>
        </row>
        <row r="319">
          <cell r="O319">
            <v>0</v>
          </cell>
        </row>
        <row r="320">
          <cell r="O320">
            <v>0</v>
          </cell>
        </row>
        <row r="321">
          <cell r="O321">
            <v>0</v>
          </cell>
        </row>
        <row r="322">
          <cell r="O322">
            <v>0</v>
          </cell>
        </row>
        <row r="323">
          <cell r="O323">
            <v>0</v>
          </cell>
        </row>
        <row r="324">
          <cell r="O324">
            <v>0</v>
          </cell>
        </row>
        <row r="325">
          <cell r="O325">
            <v>0</v>
          </cell>
        </row>
        <row r="326">
          <cell r="O326">
            <v>0</v>
          </cell>
        </row>
        <row r="327">
          <cell r="O327">
            <v>0</v>
          </cell>
        </row>
        <row r="328">
          <cell r="O328">
            <v>0</v>
          </cell>
        </row>
        <row r="329">
          <cell r="O329">
            <v>0</v>
          </cell>
        </row>
        <row r="330">
          <cell r="O330">
            <v>0</v>
          </cell>
        </row>
        <row r="331">
          <cell r="O331">
            <v>0</v>
          </cell>
        </row>
        <row r="332">
          <cell r="O332">
            <v>0</v>
          </cell>
        </row>
        <row r="333">
          <cell r="O333">
            <v>0</v>
          </cell>
        </row>
        <row r="334">
          <cell r="O334">
            <v>0</v>
          </cell>
        </row>
        <row r="335">
          <cell r="O335">
            <v>0</v>
          </cell>
        </row>
        <row r="336">
          <cell r="O336">
            <v>0</v>
          </cell>
        </row>
        <row r="337">
          <cell r="O337">
            <v>0</v>
          </cell>
        </row>
        <row r="338">
          <cell r="O338">
            <v>0</v>
          </cell>
        </row>
        <row r="339">
          <cell r="O339">
            <v>0</v>
          </cell>
        </row>
        <row r="340">
          <cell r="O340">
            <v>0</v>
          </cell>
        </row>
        <row r="341">
          <cell r="O341">
            <v>0</v>
          </cell>
        </row>
        <row r="342">
          <cell r="O342">
            <v>0</v>
          </cell>
        </row>
        <row r="343">
          <cell r="O343">
            <v>0</v>
          </cell>
        </row>
        <row r="344">
          <cell r="O344">
            <v>0</v>
          </cell>
        </row>
        <row r="345">
          <cell r="O345">
            <v>0</v>
          </cell>
        </row>
        <row r="346">
          <cell r="O346">
            <v>0</v>
          </cell>
        </row>
        <row r="347">
          <cell r="O347">
            <v>0</v>
          </cell>
        </row>
        <row r="348">
          <cell r="O348">
            <v>0</v>
          </cell>
        </row>
        <row r="349">
          <cell r="O349">
            <v>0</v>
          </cell>
        </row>
        <row r="350">
          <cell r="O350">
            <v>0</v>
          </cell>
        </row>
        <row r="351">
          <cell r="O351">
            <v>0</v>
          </cell>
        </row>
        <row r="352">
          <cell r="O352">
            <v>0</v>
          </cell>
        </row>
        <row r="353">
          <cell r="O353">
            <v>0</v>
          </cell>
        </row>
        <row r="354">
          <cell r="O354">
            <v>0</v>
          </cell>
        </row>
        <row r="355">
          <cell r="O355">
            <v>0</v>
          </cell>
        </row>
        <row r="356">
          <cell r="O356">
            <v>0</v>
          </cell>
        </row>
        <row r="357">
          <cell r="O357">
            <v>0</v>
          </cell>
        </row>
        <row r="358">
          <cell r="O358">
            <v>0</v>
          </cell>
        </row>
        <row r="359">
          <cell r="O359">
            <v>0</v>
          </cell>
        </row>
        <row r="360">
          <cell r="O360">
            <v>0</v>
          </cell>
        </row>
        <row r="361">
          <cell r="O361">
            <v>0</v>
          </cell>
        </row>
        <row r="362">
          <cell r="O362">
            <v>0</v>
          </cell>
        </row>
        <row r="363">
          <cell r="O363">
            <v>0</v>
          </cell>
        </row>
        <row r="364">
          <cell r="O364">
            <v>0</v>
          </cell>
        </row>
        <row r="365">
          <cell r="O365">
            <v>0</v>
          </cell>
        </row>
        <row r="366">
          <cell r="O366">
            <v>0</v>
          </cell>
        </row>
        <row r="367">
          <cell r="O367">
            <v>0</v>
          </cell>
        </row>
        <row r="368">
          <cell r="O368">
            <v>0</v>
          </cell>
        </row>
        <row r="369">
          <cell r="O369">
            <v>0</v>
          </cell>
        </row>
        <row r="370">
          <cell r="O370">
            <v>0</v>
          </cell>
        </row>
        <row r="371">
          <cell r="O371">
            <v>0</v>
          </cell>
        </row>
        <row r="372">
          <cell r="O372">
            <v>0</v>
          </cell>
        </row>
        <row r="373">
          <cell r="O373">
            <v>0</v>
          </cell>
        </row>
        <row r="374">
          <cell r="O374">
            <v>0</v>
          </cell>
        </row>
        <row r="375">
          <cell r="O375">
            <v>0</v>
          </cell>
        </row>
        <row r="376">
          <cell r="O376">
            <v>0</v>
          </cell>
        </row>
        <row r="377">
          <cell r="O377">
            <v>0</v>
          </cell>
        </row>
        <row r="378">
          <cell r="O378">
            <v>0</v>
          </cell>
        </row>
        <row r="379">
          <cell r="O379">
            <v>0</v>
          </cell>
        </row>
        <row r="380">
          <cell r="O380">
            <v>0</v>
          </cell>
        </row>
        <row r="381">
          <cell r="O381">
            <v>0</v>
          </cell>
        </row>
        <row r="382">
          <cell r="O382">
            <v>0</v>
          </cell>
        </row>
        <row r="383">
          <cell r="O383">
            <v>0</v>
          </cell>
        </row>
        <row r="384">
          <cell r="O384">
            <v>0</v>
          </cell>
        </row>
        <row r="385">
          <cell r="O385">
            <v>0</v>
          </cell>
        </row>
        <row r="386">
          <cell r="O386">
            <v>0</v>
          </cell>
        </row>
        <row r="387">
          <cell r="O387">
            <v>0</v>
          </cell>
        </row>
        <row r="388">
          <cell r="O388">
            <v>0</v>
          </cell>
        </row>
        <row r="389">
          <cell r="O389">
            <v>0</v>
          </cell>
        </row>
        <row r="390">
          <cell r="O390">
            <v>0</v>
          </cell>
        </row>
        <row r="391">
          <cell r="O391">
            <v>0</v>
          </cell>
        </row>
        <row r="392">
          <cell r="O392">
            <v>0</v>
          </cell>
        </row>
        <row r="393">
          <cell r="O393">
            <v>0</v>
          </cell>
        </row>
        <row r="394">
          <cell r="O394">
            <v>0</v>
          </cell>
        </row>
        <row r="395">
          <cell r="O395">
            <v>0</v>
          </cell>
        </row>
        <row r="396">
          <cell r="O396">
            <v>0</v>
          </cell>
        </row>
        <row r="397">
          <cell r="O397">
            <v>0</v>
          </cell>
        </row>
        <row r="398">
          <cell r="O398">
            <v>0</v>
          </cell>
        </row>
        <row r="399">
          <cell r="O399">
            <v>0</v>
          </cell>
        </row>
        <row r="400">
          <cell r="O400">
            <v>0</v>
          </cell>
        </row>
        <row r="401">
          <cell r="O401">
            <v>0</v>
          </cell>
        </row>
        <row r="402">
          <cell r="O402">
            <v>0</v>
          </cell>
        </row>
        <row r="403">
          <cell r="O403">
            <v>0</v>
          </cell>
        </row>
        <row r="404">
          <cell r="O404">
            <v>0</v>
          </cell>
        </row>
        <row r="405">
          <cell r="O405">
            <v>0</v>
          </cell>
        </row>
        <row r="406">
          <cell r="O406">
            <v>0</v>
          </cell>
        </row>
        <row r="407">
          <cell r="O407">
            <v>0</v>
          </cell>
        </row>
        <row r="408">
          <cell r="O408">
            <v>0</v>
          </cell>
        </row>
        <row r="409">
          <cell r="O409">
            <v>0</v>
          </cell>
        </row>
        <row r="410">
          <cell r="O410">
            <v>0</v>
          </cell>
        </row>
        <row r="411">
          <cell r="O411">
            <v>0</v>
          </cell>
        </row>
        <row r="412">
          <cell r="O412">
            <v>0</v>
          </cell>
        </row>
        <row r="413">
          <cell r="O413">
            <v>0</v>
          </cell>
        </row>
        <row r="414">
          <cell r="O414">
            <v>0</v>
          </cell>
        </row>
        <row r="415">
          <cell r="O415">
            <v>0</v>
          </cell>
        </row>
        <row r="416">
          <cell r="O416">
            <v>0</v>
          </cell>
        </row>
        <row r="417">
          <cell r="O417">
            <v>0</v>
          </cell>
        </row>
        <row r="418">
          <cell r="O418">
            <v>0</v>
          </cell>
        </row>
        <row r="419">
          <cell r="O419">
            <v>0</v>
          </cell>
        </row>
        <row r="420">
          <cell r="O420">
            <v>0</v>
          </cell>
        </row>
        <row r="421">
          <cell r="O421">
            <v>0</v>
          </cell>
        </row>
        <row r="422">
          <cell r="O422">
            <v>0</v>
          </cell>
        </row>
        <row r="423">
          <cell r="O423">
            <v>0</v>
          </cell>
        </row>
        <row r="424">
          <cell r="O424">
            <v>0</v>
          </cell>
        </row>
        <row r="425">
          <cell r="O425">
            <v>0</v>
          </cell>
        </row>
        <row r="426">
          <cell r="O426">
            <v>0</v>
          </cell>
        </row>
        <row r="427">
          <cell r="O427">
            <v>0</v>
          </cell>
        </row>
        <row r="428">
          <cell r="O428">
            <v>0</v>
          </cell>
        </row>
        <row r="429">
          <cell r="O429">
            <v>0</v>
          </cell>
        </row>
        <row r="430">
          <cell r="O430">
            <v>0</v>
          </cell>
        </row>
        <row r="431">
          <cell r="O431">
            <v>0</v>
          </cell>
        </row>
        <row r="432">
          <cell r="O432">
            <v>0</v>
          </cell>
        </row>
        <row r="433">
          <cell r="O433">
            <v>0</v>
          </cell>
        </row>
        <row r="434">
          <cell r="O434">
            <v>0</v>
          </cell>
        </row>
        <row r="435">
          <cell r="O435">
            <v>0</v>
          </cell>
        </row>
        <row r="436">
          <cell r="O436">
            <v>0</v>
          </cell>
        </row>
        <row r="437">
          <cell r="O437">
            <v>0</v>
          </cell>
        </row>
        <row r="438">
          <cell r="O438">
            <v>0</v>
          </cell>
        </row>
        <row r="439">
          <cell r="O439">
            <v>0</v>
          </cell>
        </row>
        <row r="440">
          <cell r="O440">
            <v>0</v>
          </cell>
        </row>
        <row r="441">
          <cell r="O441">
            <v>0</v>
          </cell>
        </row>
        <row r="442">
          <cell r="O442">
            <v>0</v>
          </cell>
        </row>
        <row r="443">
          <cell r="O443">
            <v>0</v>
          </cell>
        </row>
        <row r="444">
          <cell r="O444">
            <v>0</v>
          </cell>
        </row>
        <row r="445">
          <cell r="O445">
            <v>0</v>
          </cell>
        </row>
        <row r="446">
          <cell r="O446">
            <v>0</v>
          </cell>
        </row>
        <row r="447">
          <cell r="O447">
            <v>0</v>
          </cell>
        </row>
        <row r="448">
          <cell r="O448">
            <v>0</v>
          </cell>
        </row>
        <row r="449">
          <cell r="O449">
            <v>0</v>
          </cell>
        </row>
        <row r="450">
          <cell r="O450">
            <v>0</v>
          </cell>
        </row>
        <row r="451">
          <cell r="O451">
            <v>0</v>
          </cell>
        </row>
        <row r="452">
          <cell r="O452">
            <v>0</v>
          </cell>
        </row>
        <row r="453">
          <cell r="O453">
            <v>0</v>
          </cell>
        </row>
        <row r="454">
          <cell r="O454">
            <v>0</v>
          </cell>
        </row>
        <row r="455">
          <cell r="O455">
            <v>0</v>
          </cell>
        </row>
        <row r="456">
          <cell r="O456">
            <v>0</v>
          </cell>
        </row>
        <row r="457">
          <cell r="O457">
            <v>0</v>
          </cell>
        </row>
        <row r="458">
          <cell r="O458">
            <v>0</v>
          </cell>
        </row>
        <row r="459">
          <cell r="O459">
            <v>0</v>
          </cell>
        </row>
        <row r="460">
          <cell r="O460">
            <v>0</v>
          </cell>
        </row>
        <row r="461">
          <cell r="O461">
            <v>0</v>
          </cell>
        </row>
        <row r="462">
          <cell r="O462">
            <v>0</v>
          </cell>
        </row>
        <row r="463">
          <cell r="O463">
            <v>0</v>
          </cell>
        </row>
        <row r="464">
          <cell r="O464">
            <v>0</v>
          </cell>
        </row>
        <row r="465">
          <cell r="O465">
            <v>0</v>
          </cell>
        </row>
        <row r="466">
          <cell r="O466">
            <v>0</v>
          </cell>
        </row>
        <row r="467">
          <cell r="O467">
            <v>0</v>
          </cell>
        </row>
        <row r="468">
          <cell r="O468">
            <v>0</v>
          </cell>
        </row>
        <row r="469">
          <cell r="O469">
            <v>0</v>
          </cell>
        </row>
        <row r="470">
          <cell r="O470">
            <v>0</v>
          </cell>
        </row>
        <row r="471">
          <cell r="O471">
            <v>0</v>
          </cell>
        </row>
        <row r="472">
          <cell r="O472">
            <v>0</v>
          </cell>
        </row>
        <row r="473">
          <cell r="O473">
            <v>0</v>
          </cell>
        </row>
        <row r="474">
          <cell r="O474">
            <v>0</v>
          </cell>
        </row>
        <row r="475">
          <cell r="O475">
            <v>0</v>
          </cell>
        </row>
        <row r="476">
          <cell r="O476">
            <v>0</v>
          </cell>
        </row>
        <row r="477">
          <cell r="O477">
            <v>0</v>
          </cell>
        </row>
        <row r="478">
          <cell r="O478">
            <v>0</v>
          </cell>
        </row>
        <row r="479">
          <cell r="O479">
            <v>0</v>
          </cell>
        </row>
        <row r="480">
          <cell r="O480">
            <v>0</v>
          </cell>
        </row>
        <row r="481">
          <cell r="O481">
            <v>0</v>
          </cell>
        </row>
        <row r="482">
          <cell r="O482">
            <v>0</v>
          </cell>
        </row>
        <row r="483">
          <cell r="O483">
            <v>0</v>
          </cell>
        </row>
        <row r="484">
          <cell r="O484">
            <v>0</v>
          </cell>
        </row>
        <row r="485">
          <cell r="O485">
            <v>0</v>
          </cell>
        </row>
        <row r="486">
          <cell r="O486">
            <v>0</v>
          </cell>
        </row>
        <row r="487">
          <cell r="O487">
            <v>0</v>
          </cell>
        </row>
        <row r="488">
          <cell r="O488">
            <v>0</v>
          </cell>
        </row>
        <row r="489">
          <cell r="O489">
            <v>0</v>
          </cell>
        </row>
        <row r="490">
          <cell r="O490">
            <v>0</v>
          </cell>
        </row>
        <row r="491">
          <cell r="O491">
            <v>0</v>
          </cell>
        </row>
        <row r="492">
          <cell r="O492">
            <v>0</v>
          </cell>
        </row>
        <row r="493">
          <cell r="O493">
            <v>0</v>
          </cell>
        </row>
        <row r="494">
          <cell r="O494">
            <v>0</v>
          </cell>
        </row>
        <row r="495">
          <cell r="O495">
            <v>0</v>
          </cell>
        </row>
        <row r="496">
          <cell r="O496">
            <v>0</v>
          </cell>
        </row>
        <row r="497">
          <cell r="O497">
            <v>0</v>
          </cell>
        </row>
        <row r="498">
          <cell r="O498">
            <v>0</v>
          </cell>
        </row>
        <row r="499">
          <cell r="O499">
            <v>0</v>
          </cell>
        </row>
        <row r="500">
          <cell r="O500">
            <v>0</v>
          </cell>
        </row>
        <row r="501">
          <cell r="O501">
            <v>0</v>
          </cell>
        </row>
        <row r="502">
          <cell r="O502">
            <v>0</v>
          </cell>
        </row>
        <row r="503">
          <cell r="O503">
            <v>0</v>
          </cell>
        </row>
        <row r="504">
          <cell r="O504">
            <v>0</v>
          </cell>
        </row>
        <row r="505">
          <cell r="O505">
            <v>0</v>
          </cell>
        </row>
        <row r="506">
          <cell r="O506">
            <v>0</v>
          </cell>
        </row>
        <row r="507">
          <cell r="O507">
            <v>0</v>
          </cell>
        </row>
        <row r="508">
          <cell r="O508">
            <v>0</v>
          </cell>
        </row>
        <row r="509">
          <cell r="O509">
            <v>0</v>
          </cell>
        </row>
        <row r="510">
          <cell r="O510">
            <v>0</v>
          </cell>
        </row>
        <row r="511">
          <cell r="O511">
            <v>0</v>
          </cell>
        </row>
        <row r="512">
          <cell r="O512">
            <v>0</v>
          </cell>
        </row>
        <row r="513">
          <cell r="O513">
            <v>0</v>
          </cell>
        </row>
        <row r="514">
          <cell r="O514">
            <v>0</v>
          </cell>
        </row>
        <row r="515">
          <cell r="O515">
            <v>0</v>
          </cell>
        </row>
        <row r="516">
          <cell r="O516">
            <v>0</v>
          </cell>
        </row>
        <row r="517">
          <cell r="O517">
            <v>0</v>
          </cell>
        </row>
        <row r="518">
          <cell r="O518">
            <v>0</v>
          </cell>
        </row>
        <row r="519">
          <cell r="O519">
            <v>0</v>
          </cell>
        </row>
        <row r="520">
          <cell r="O520">
            <v>0</v>
          </cell>
        </row>
        <row r="521">
          <cell r="O521">
            <v>0</v>
          </cell>
        </row>
        <row r="522">
          <cell r="O522">
            <v>0</v>
          </cell>
        </row>
        <row r="523">
          <cell r="O523">
            <v>0</v>
          </cell>
        </row>
        <row r="524">
          <cell r="O524">
            <v>0</v>
          </cell>
        </row>
        <row r="525">
          <cell r="O525">
            <v>0</v>
          </cell>
        </row>
        <row r="526">
          <cell r="O526">
            <v>0</v>
          </cell>
        </row>
        <row r="527">
          <cell r="O527">
            <v>0</v>
          </cell>
        </row>
        <row r="528">
          <cell r="O528">
            <v>0</v>
          </cell>
        </row>
        <row r="529">
          <cell r="O529">
            <v>0</v>
          </cell>
        </row>
        <row r="530">
          <cell r="O530">
            <v>0</v>
          </cell>
        </row>
        <row r="531">
          <cell r="O531">
            <v>0</v>
          </cell>
        </row>
        <row r="532">
          <cell r="O532">
            <v>0</v>
          </cell>
        </row>
        <row r="533">
          <cell r="O533">
            <v>0</v>
          </cell>
        </row>
        <row r="534">
          <cell r="O534">
            <v>0</v>
          </cell>
        </row>
        <row r="535">
          <cell r="O535">
            <v>0</v>
          </cell>
        </row>
        <row r="536">
          <cell r="O536">
            <v>0</v>
          </cell>
        </row>
        <row r="537">
          <cell r="O537">
            <v>0</v>
          </cell>
        </row>
        <row r="538">
          <cell r="O538">
            <v>0</v>
          </cell>
        </row>
        <row r="539">
          <cell r="O539">
            <v>0</v>
          </cell>
        </row>
        <row r="540">
          <cell r="O540">
            <v>0</v>
          </cell>
        </row>
        <row r="541">
          <cell r="O541">
            <v>0</v>
          </cell>
        </row>
        <row r="542">
          <cell r="O542">
            <v>0</v>
          </cell>
        </row>
        <row r="543">
          <cell r="O543">
            <v>0</v>
          </cell>
        </row>
        <row r="544">
          <cell r="O544">
            <v>0</v>
          </cell>
        </row>
        <row r="545">
          <cell r="O545">
            <v>0</v>
          </cell>
        </row>
        <row r="546">
          <cell r="O546">
            <v>0</v>
          </cell>
        </row>
        <row r="547">
          <cell r="O547">
            <v>0</v>
          </cell>
        </row>
        <row r="548">
          <cell r="O548">
            <v>0</v>
          </cell>
        </row>
        <row r="549">
          <cell r="O549">
            <v>0</v>
          </cell>
        </row>
        <row r="550">
          <cell r="O550">
            <v>0</v>
          </cell>
        </row>
        <row r="551">
          <cell r="O551">
            <v>0</v>
          </cell>
        </row>
        <row r="552">
          <cell r="O552">
            <v>0</v>
          </cell>
        </row>
        <row r="553">
          <cell r="O553">
            <v>0</v>
          </cell>
        </row>
        <row r="554">
          <cell r="O554">
            <v>0</v>
          </cell>
        </row>
        <row r="555">
          <cell r="O555">
            <v>0</v>
          </cell>
        </row>
        <row r="556">
          <cell r="O556">
            <v>0</v>
          </cell>
        </row>
        <row r="557">
          <cell r="O557">
            <v>0</v>
          </cell>
        </row>
        <row r="558">
          <cell r="O558">
            <v>0</v>
          </cell>
        </row>
        <row r="559">
          <cell r="O559">
            <v>0</v>
          </cell>
        </row>
        <row r="560">
          <cell r="O560">
            <v>0</v>
          </cell>
        </row>
        <row r="561">
          <cell r="O561">
            <v>0</v>
          </cell>
        </row>
        <row r="562">
          <cell r="O562">
            <v>0</v>
          </cell>
        </row>
        <row r="563">
          <cell r="O563">
            <v>0</v>
          </cell>
        </row>
        <row r="564">
          <cell r="O564">
            <v>0</v>
          </cell>
        </row>
        <row r="565">
          <cell r="O565">
            <v>0</v>
          </cell>
        </row>
        <row r="566">
          <cell r="O566">
            <v>0</v>
          </cell>
        </row>
        <row r="567">
          <cell r="O567">
            <v>0</v>
          </cell>
        </row>
        <row r="568">
          <cell r="O568">
            <v>0</v>
          </cell>
        </row>
        <row r="569">
          <cell r="O569">
            <v>0</v>
          </cell>
        </row>
        <row r="570">
          <cell r="O570">
            <v>0</v>
          </cell>
        </row>
        <row r="571">
          <cell r="O571">
            <v>0</v>
          </cell>
        </row>
        <row r="572">
          <cell r="O572">
            <v>0</v>
          </cell>
        </row>
        <row r="573">
          <cell r="O573">
            <v>0</v>
          </cell>
        </row>
        <row r="574">
          <cell r="O574">
            <v>0</v>
          </cell>
        </row>
        <row r="575">
          <cell r="O575">
            <v>0</v>
          </cell>
        </row>
        <row r="576">
          <cell r="O576">
            <v>0</v>
          </cell>
        </row>
        <row r="577">
          <cell r="O577">
            <v>0</v>
          </cell>
        </row>
        <row r="578">
          <cell r="O578">
            <v>0</v>
          </cell>
        </row>
        <row r="579">
          <cell r="O579">
            <v>0</v>
          </cell>
        </row>
        <row r="580">
          <cell r="O580">
            <v>0</v>
          </cell>
        </row>
        <row r="581">
          <cell r="O581">
            <v>0</v>
          </cell>
        </row>
        <row r="582">
          <cell r="O582">
            <v>0</v>
          </cell>
        </row>
        <row r="583">
          <cell r="O583">
            <v>0</v>
          </cell>
        </row>
        <row r="584">
          <cell r="O584">
            <v>0</v>
          </cell>
        </row>
        <row r="585">
          <cell r="O585">
            <v>0</v>
          </cell>
        </row>
        <row r="586">
          <cell r="O586">
            <v>0</v>
          </cell>
        </row>
        <row r="587">
          <cell r="O587">
            <v>0</v>
          </cell>
        </row>
        <row r="588">
          <cell r="O588">
            <v>0</v>
          </cell>
        </row>
        <row r="589">
          <cell r="O589">
            <v>0</v>
          </cell>
        </row>
        <row r="590">
          <cell r="O590">
            <v>0</v>
          </cell>
        </row>
        <row r="591">
          <cell r="O591">
            <v>0</v>
          </cell>
        </row>
        <row r="592">
          <cell r="O592">
            <v>0</v>
          </cell>
        </row>
        <row r="593">
          <cell r="O593">
            <v>0</v>
          </cell>
        </row>
        <row r="594">
          <cell r="O594">
            <v>0</v>
          </cell>
        </row>
        <row r="595">
          <cell r="O595">
            <v>0</v>
          </cell>
        </row>
        <row r="596">
          <cell r="O596">
            <v>0</v>
          </cell>
        </row>
        <row r="597">
          <cell r="O597">
            <v>0</v>
          </cell>
        </row>
        <row r="598">
          <cell r="O598">
            <v>0</v>
          </cell>
        </row>
        <row r="599">
          <cell r="O599">
            <v>0</v>
          </cell>
        </row>
        <row r="600">
          <cell r="O600">
            <v>0</v>
          </cell>
        </row>
        <row r="601">
          <cell r="O601">
            <v>0</v>
          </cell>
        </row>
        <row r="602">
          <cell r="O602">
            <v>0</v>
          </cell>
        </row>
        <row r="603">
          <cell r="O603">
            <v>0</v>
          </cell>
        </row>
        <row r="604">
          <cell r="O604">
            <v>0</v>
          </cell>
        </row>
        <row r="605">
          <cell r="O605">
            <v>0</v>
          </cell>
        </row>
        <row r="606">
          <cell r="O606">
            <v>0</v>
          </cell>
        </row>
        <row r="607">
          <cell r="O607">
            <v>0</v>
          </cell>
        </row>
        <row r="608">
          <cell r="O608">
            <v>0</v>
          </cell>
        </row>
        <row r="609">
          <cell r="O609">
            <v>0</v>
          </cell>
        </row>
        <row r="610">
          <cell r="O610">
            <v>0</v>
          </cell>
        </row>
        <row r="611">
          <cell r="O611">
            <v>0</v>
          </cell>
        </row>
        <row r="612">
          <cell r="O612">
            <v>0</v>
          </cell>
        </row>
        <row r="613">
          <cell r="O613">
            <v>0</v>
          </cell>
        </row>
        <row r="614">
          <cell r="O614">
            <v>0</v>
          </cell>
        </row>
        <row r="615">
          <cell r="O615">
            <v>0</v>
          </cell>
        </row>
        <row r="616">
          <cell r="O616">
            <v>0</v>
          </cell>
        </row>
        <row r="617">
          <cell r="O617">
            <v>0</v>
          </cell>
        </row>
        <row r="618">
          <cell r="O618">
            <v>0</v>
          </cell>
        </row>
        <row r="619">
          <cell r="O619">
            <v>0</v>
          </cell>
        </row>
        <row r="620">
          <cell r="O620">
            <v>0</v>
          </cell>
        </row>
        <row r="621">
          <cell r="O621">
            <v>0</v>
          </cell>
        </row>
        <row r="622">
          <cell r="O622">
            <v>0</v>
          </cell>
        </row>
        <row r="623">
          <cell r="O623">
            <v>0</v>
          </cell>
        </row>
        <row r="624">
          <cell r="O624">
            <v>0</v>
          </cell>
        </row>
        <row r="625">
          <cell r="O625">
            <v>0</v>
          </cell>
        </row>
        <row r="626">
          <cell r="O626">
            <v>0</v>
          </cell>
        </row>
        <row r="627">
          <cell r="O627">
            <v>0</v>
          </cell>
        </row>
        <row r="628">
          <cell r="O628">
            <v>0</v>
          </cell>
        </row>
        <row r="629">
          <cell r="O629">
            <v>0</v>
          </cell>
        </row>
        <row r="630">
          <cell r="O630">
            <v>0</v>
          </cell>
        </row>
        <row r="631">
          <cell r="O631">
            <v>0</v>
          </cell>
        </row>
        <row r="632">
          <cell r="O632">
            <v>0</v>
          </cell>
        </row>
        <row r="633">
          <cell r="O633">
            <v>0</v>
          </cell>
        </row>
        <row r="634">
          <cell r="O634">
            <v>0</v>
          </cell>
        </row>
        <row r="635">
          <cell r="O635">
            <v>0</v>
          </cell>
        </row>
        <row r="636">
          <cell r="O636">
            <v>0</v>
          </cell>
        </row>
        <row r="637">
          <cell r="O637">
            <v>0</v>
          </cell>
        </row>
        <row r="638">
          <cell r="O638">
            <v>0</v>
          </cell>
        </row>
        <row r="639">
          <cell r="O639">
            <v>0</v>
          </cell>
        </row>
        <row r="640">
          <cell r="O640">
            <v>0</v>
          </cell>
        </row>
        <row r="641">
          <cell r="O641">
            <v>0</v>
          </cell>
        </row>
        <row r="642">
          <cell r="O642">
            <v>0</v>
          </cell>
        </row>
        <row r="643">
          <cell r="O643">
            <v>0</v>
          </cell>
        </row>
        <row r="644">
          <cell r="O644">
            <v>0</v>
          </cell>
        </row>
        <row r="645">
          <cell r="O645">
            <v>0</v>
          </cell>
        </row>
        <row r="646">
          <cell r="O646">
            <v>0</v>
          </cell>
        </row>
        <row r="647">
          <cell r="O647">
            <v>0</v>
          </cell>
        </row>
        <row r="648">
          <cell r="O648">
            <v>0</v>
          </cell>
        </row>
        <row r="649">
          <cell r="O649">
            <v>0</v>
          </cell>
        </row>
        <row r="650">
          <cell r="O650">
            <v>0</v>
          </cell>
        </row>
        <row r="651">
          <cell r="O651">
            <v>0</v>
          </cell>
        </row>
        <row r="652">
          <cell r="O652">
            <v>0</v>
          </cell>
        </row>
        <row r="653">
          <cell r="O653">
            <v>0</v>
          </cell>
        </row>
        <row r="654">
          <cell r="O654">
            <v>0</v>
          </cell>
        </row>
        <row r="655">
          <cell r="O655">
            <v>0</v>
          </cell>
        </row>
        <row r="656">
          <cell r="O656">
            <v>0</v>
          </cell>
        </row>
        <row r="657">
          <cell r="O657">
            <v>0</v>
          </cell>
        </row>
        <row r="658">
          <cell r="O658">
            <v>0</v>
          </cell>
        </row>
        <row r="659">
          <cell r="O659">
            <v>0</v>
          </cell>
        </row>
        <row r="660">
          <cell r="O660">
            <v>0</v>
          </cell>
        </row>
        <row r="661">
          <cell r="O661">
            <v>0</v>
          </cell>
        </row>
        <row r="662">
          <cell r="O662">
            <v>0</v>
          </cell>
        </row>
        <row r="663">
          <cell r="O663">
            <v>0</v>
          </cell>
        </row>
        <row r="664">
          <cell r="O664">
            <v>0</v>
          </cell>
        </row>
        <row r="665">
          <cell r="O665">
            <v>0</v>
          </cell>
        </row>
        <row r="666">
          <cell r="O666">
            <v>0</v>
          </cell>
        </row>
        <row r="667">
          <cell r="O667">
            <v>0</v>
          </cell>
        </row>
        <row r="668">
          <cell r="O668">
            <v>0</v>
          </cell>
        </row>
        <row r="669">
          <cell r="O669">
            <v>0</v>
          </cell>
        </row>
        <row r="670">
          <cell r="O670">
            <v>0</v>
          </cell>
        </row>
        <row r="671">
          <cell r="O671">
            <v>0</v>
          </cell>
        </row>
        <row r="672">
          <cell r="O672">
            <v>0</v>
          </cell>
        </row>
        <row r="673">
          <cell r="O673">
            <v>0</v>
          </cell>
        </row>
        <row r="674">
          <cell r="O674">
            <v>0</v>
          </cell>
        </row>
        <row r="675">
          <cell r="O675">
            <v>0</v>
          </cell>
        </row>
        <row r="676">
          <cell r="O676">
            <v>0</v>
          </cell>
        </row>
        <row r="677">
          <cell r="O677">
            <v>0</v>
          </cell>
        </row>
        <row r="678">
          <cell r="O678">
            <v>0</v>
          </cell>
        </row>
        <row r="679">
          <cell r="O679">
            <v>0</v>
          </cell>
        </row>
        <row r="680">
          <cell r="O680">
            <v>0</v>
          </cell>
        </row>
        <row r="681">
          <cell r="O681">
            <v>0</v>
          </cell>
        </row>
        <row r="682">
          <cell r="O682">
            <v>0</v>
          </cell>
        </row>
        <row r="683">
          <cell r="O683">
            <v>0</v>
          </cell>
        </row>
        <row r="684">
          <cell r="O684">
            <v>0</v>
          </cell>
        </row>
        <row r="685">
          <cell r="O685">
            <v>0</v>
          </cell>
        </row>
        <row r="686">
          <cell r="O686">
            <v>0</v>
          </cell>
        </row>
        <row r="687">
          <cell r="O687">
            <v>0</v>
          </cell>
        </row>
        <row r="688">
          <cell r="O688">
            <v>0</v>
          </cell>
        </row>
        <row r="689">
          <cell r="O689">
            <v>0</v>
          </cell>
        </row>
        <row r="690">
          <cell r="O690">
            <v>0</v>
          </cell>
        </row>
        <row r="691">
          <cell r="O691">
            <v>0</v>
          </cell>
        </row>
        <row r="692">
          <cell r="O692">
            <v>0</v>
          </cell>
        </row>
        <row r="693">
          <cell r="O693">
            <v>0</v>
          </cell>
        </row>
        <row r="694">
          <cell r="O694">
            <v>0</v>
          </cell>
        </row>
        <row r="695">
          <cell r="O695">
            <v>0</v>
          </cell>
        </row>
        <row r="696">
          <cell r="O696">
            <v>0</v>
          </cell>
        </row>
        <row r="697">
          <cell r="O697">
            <v>0</v>
          </cell>
        </row>
        <row r="698">
          <cell r="O698">
            <v>0</v>
          </cell>
        </row>
        <row r="699">
          <cell r="O699">
            <v>0</v>
          </cell>
        </row>
        <row r="700">
          <cell r="O700">
            <v>0</v>
          </cell>
        </row>
        <row r="701">
          <cell r="O701">
            <v>0</v>
          </cell>
        </row>
        <row r="702">
          <cell r="O702">
            <v>0</v>
          </cell>
        </row>
        <row r="703">
          <cell r="O703">
            <v>0</v>
          </cell>
        </row>
        <row r="704">
          <cell r="O704">
            <v>0</v>
          </cell>
        </row>
        <row r="705">
          <cell r="O705">
            <v>0</v>
          </cell>
        </row>
        <row r="706">
          <cell r="O706">
            <v>0</v>
          </cell>
        </row>
        <row r="707">
          <cell r="O707">
            <v>0</v>
          </cell>
        </row>
        <row r="708">
          <cell r="O708">
            <v>0</v>
          </cell>
        </row>
        <row r="709">
          <cell r="O709">
            <v>0</v>
          </cell>
        </row>
        <row r="710">
          <cell r="O710">
            <v>0</v>
          </cell>
        </row>
        <row r="711">
          <cell r="O711">
            <v>0</v>
          </cell>
        </row>
        <row r="712">
          <cell r="O712">
            <v>0</v>
          </cell>
        </row>
        <row r="713">
          <cell r="O713">
            <v>0</v>
          </cell>
        </row>
        <row r="714">
          <cell r="O714">
            <v>0</v>
          </cell>
        </row>
        <row r="715">
          <cell r="O715">
            <v>0</v>
          </cell>
        </row>
        <row r="716">
          <cell r="O716">
            <v>0</v>
          </cell>
        </row>
        <row r="717">
          <cell r="O717">
            <v>0</v>
          </cell>
        </row>
        <row r="718">
          <cell r="O718">
            <v>0</v>
          </cell>
        </row>
        <row r="719">
          <cell r="O719">
            <v>0</v>
          </cell>
        </row>
        <row r="720">
          <cell r="O720">
            <v>0</v>
          </cell>
        </row>
        <row r="721">
          <cell r="O721">
            <v>0</v>
          </cell>
        </row>
        <row r="722">
          <cell r="O722">
            <v>0</v>
          </cell>
        </row>
        <row r="723">
          <cell r="O723">
            <v>0</v>
          </cell>
        </row>
        <row r="724">
          <cell r="O724">
            <v>0</v>
          </cell>
        </row>
        <row r="725">
          <cell r="O725">
            <v>0</v>
          </cell>
        </row>
        <row r="726">
          <cell r="O726">
            <v>0</v>
          </cell>
        </row>
        <row r="727">
          <cell r="O727">
            <v>0</v>
          </cell>
        </row>
        <row r="728">
          <cell r="O728">
            <v>0</v>
          </cell>
        </row>
        <row r="729">
          <cell r="O729">
            <v>0</v>
          </cell>
        </row>
        <row r="730">
          <cell r="O730">
            <v>0</v>
          </cell>
        </row>
        <row r="731">
          <cell r="O731">
            <v>0</v>
          </cell>
        </row>
        <row r="732">
          <cell r="O732">
            <v>0</v>
          </cell>
        </row>
        <row r="733">
          <cell r="O733">
            <v>0</v>
          </cell>
        </row>
        <row r="734">
          <cell r="O734">
            <v>0</v>
          </cell>
        </row>
        <row r="735">
          <cell r="O735">
            <v>0</v>
          </cell>
        </row>
        <row r="736">
          <cell r="O736">
            <v>0</v>
          </cell>
        </row>
        <row r="737">
          <cell r="O737">
            <v>0</v>
          </cell>
        </row>
        <row r="738">
          <cell r="O738">
            <v>0</v>
          </cell>
        </row>
        <row r="739">
          <cell r="O739">
            <v>0</v>
          </cell>
        </row>
        <row r="740">
          <cell r="O740">
            <v>0</v>
          </cell>
        </row>
        <row r="741">
          <cell r="O741">
            <v>0</v>
          </cell>
        </row>
        <row r="742">
          <cell r="O742">
            <v>0</v>
          </cell>
        </row>
        <row r="743">
          <cell r="O743">
            <v>0</v>
          </cell>
        </row>
        <row r="744">
          <cell r="O744">
            <v>0</v>
          </cell>
        </row>
        <row r="745">
          <cell r="O745">
            <v>0</v>
          </cell>
        </row>
        <row r="746">
          <cell r="O746">
            <v>0</v>
          </cell>
        </row>
        <row r="747">
          <cell r="O747">
            <v>0</v>
          </cell>
        </row>
        <row r="748">
          <cell r="O748">
            <v>0</v>
          </cell>
        </row>
        <row r="749">
          <cell r="O749">
            <v>0</v>
          </cell>
        </row>
        <row r="750">
          <cell r="O750">
            <v>0</v>
          </cell>
        </row>
        <row r="751">
          <cell r="O751">
            <v>0</v>
          </cell>
        </row>
        <row r="752">
          <cell r="O752">
            <v>0</v>
          </cell>
        </row>
        <row r="753">
          <cell r="O753">
            <v>0</v>
          </cell>
        </row>
        <row r="754">
          <cell r="O754">
            <v>0</v>
          </cell>
        </row>
        <row r="755">
          <cell r="O755">
            <v>0</v>
          </cell>
        </row>
        <row r="756">
          <cell r="O756">
            <v>0</v>
          </cell>
        </row>
        <row r="757">
          <cell r="O757">
            <v>0</v>
          </cell>
        </row>
        <row r="758">
          <cell r="O758">
            <v>0</v>
          </cell>
        </row>
        <row r="759">
          <cell r="O759">
            <v>0</v>
          </cell>
        </row>
        <row r="760">
          <cell r="O760">
            <v>0</v>
          </cell>
        </row>
        <row r="761">
          <cell r="O761">
            <v>0</v>
          </cell>
        </row>
        <row r="762">
          <cell r="O762">
            <v>0</v>
          </cell>
        </row>
        <row r="763">
          <cell r="O763">
            <v>0</v>
          </cell>
        </row>
        <row r="764">
          <cell r="O764">
            <v>0</v>
          </cell>
        </row>
        <row r="765">
          <cell r="O765">
            <v>0</v>
          </cell>
        </row>
        <row r="766">
          <cell r="O766">
            <v>0</v>
          </cell>
        </row>
        <row r="767">
          <cell r="O767">
            <v>0</v>
          </cell>
        </row>
        <row r="768">
          <cell r="O768">
            <v>0</v>
          </cell>
        </row>
        <row r="769">
          <cell r="O769">
            <v>0</v>
          </cell>
        </row>
        <row r="770">
          <cell r="O770">
            <v>0</v>
          </cell>
        </row>
        <row r="771">
          <cell r="O771">
            <v>0</v>
          </cell>
        </row>
        <row r="772">
          <cell r="O772">
            <v>0</v>
          </cell>
        </row>
        <row r="773">
          <cell r="O773">
            <v>0</v>
          </cell>
        </row>
        <row r="774">
          <cell r="O774">
            <v>0</v>
          </cell>
        </row>
        <row r="775">
          <cell r="O775">
            <v>0</v>
          </cell>
        </row>
        <row r="776">
          <cell r="O776">
            <v>0</v>
          </cell>
        </row>
        <row r="777">
          <cell r="O777">
            <v>0</v>
          </cell>
        </row>
        <row r="778">
          <cell r="O778">
            <v>0</v>
          </cell>
        </row>
        <row r="779">
          <cell r="O779">
            <v>0</v>
          </cell>
        </row>
        <row r="780">
          <cell r="O780">
            <v>0</v>
          </cell>
        </row>
        <row r="781">
          <cell r="O781">
            <v>0</v>
          </cell>
        </row>
        <row r="782">
          <cell r="O782">
            <v>0</v>
          </cell>
        </row>
        <row r="783">
          <cell r="O783">
            <v>0</v>
          </cell>
        </row>
        <row r="784">
          <cell r="O784">
            <v>0</v>
          </cell>
        </row>
        <row r="785">
          <cell r="O785">
            <v>0</v>
          </cell>
        </row>
        <row r="786">
          <cell r="O786">
            <v>0</v>
          </cell>
        </row>
        <row r="787">
          <cell r="O787">
            <v>0</v>
          </cell>
        </row>
        <row r="788">
          <cell r="O788">
            <v>0</v>
          </cell>
        </row>
        <row r="789">
          <cell r="O789">
            <v>0</v>
          </cell>
        </row>
        <row r="790">
          <cell r="O790">
            <v>0</v>
          </cell>
        </row>
        <row r="791">
          <cell r="O791">
            <v>0</v>
          </cell>
        </row>
        <row r="792">
          <cell r="O792">
            <v>0</v>
          </cell>
        </row>
        <row r="793">
          <cell r="O793">
            <v>0</v>
          </cell>
        </row>
        <row r="794">
          <cell r="O794">
            <v>0</v>
          </cell>
        </row>
        <row r="795">
          <cell r="O795">
            <v>0</v>
          </cell>
        </row>
        <row r="796">
          <cell r="O796">
            <v>0</v>
          </cell>
        </row>
        <row r="797">
          <cell r="O797">
            <v>0</v>
          </cell>
        </row>
        <row r="798">
          <cell r="O798">
            <v>0</v>
          </cell>
        </row>
        <row r="799">
          <cell r="O799">
            <v>0</v>
          </cell>
        </row>
        <row r="800">
          <cell r="O800">
            <v>0</v>
          </cell>
        </row>
        <row r="801">
          <cell r="O801">
            <v>0</v>
          </cell>
        </row>
        <row r="802">
          <cell r="O802">
            <v>0</v>
          </cell>
        </row>
        <row r="803">
          <cell r="O803">
            <v>0</v>
          </cell>
        </row>
        <row r="804">
          <cell r="O804">
            <v>0</v>
          </cell>
        </row>
        <row r="805">
          <cell r="O805">
            <v>0</v>
          </cell>
        </row>
        <row r="806">
          <cell r="O806">
            <v>0</v>
          </cell>
        </row>
        <row r="807">
          <cell r="O807">
            <v>0</v>
          </cell>
        </row>
        <row r="808">
          <cell r="O808">
            <v>0</v>
          </cell>
        </row>
        <row r="809">
          <cell r="O809">
            <v>0</v>
          </cell>
        </row>
        <row r="810">
          <cell r="O810">
            <v>0</v>
          </cell>
        </row>
        <row r="811">
          <cell r="O811">
            <v>0</v>
          </cell>
        </row>
        <row r="812">
          <cell r="O812">
            <v>0</v>
          </cell>
        </row>
        <row r="813">
          <cell r="O813">
            <v>0</v>
          </cell>
        </row>
        <row r="814">
          <cell r="O814">
            <v>0</v>
          </cell>
        </row>
        <row r="815">
          <cell r="O815">
            <v>0</v>
          </cell>
        </row>
        <row r="816">
          <cell r="O816">
            <v>0</v>
          </cell>
        </row>
        <row r="817">
          <cell r="O817">
            <v>0</v>
          </cell>
        </row>
        <row r="818">
          <cell r="O818">
            <v>0</v>
          </cell>
        </row>
        <row r="819">
          <cell r="O819">
            <v>0</v>
          </cell>
        </row>
        <row r="820">
          <cell r="O820">
            <v>0</v>
          </cell>
        </row>
        <row r="821">
          <cell r="O821">
            <v>0</v>
          </cell>
        </row>
        <row r="822">
          <cell r="O822">
            <v>0</v>
          </cell>
        </row>
        <row r="823">
          <cell r="O823">
            <v>0</v>
          </cell>
        </row>
        <row r="824">
          <cell r="O824">
            <v>0</v>
          </cell>
        </row>
        <row r="825">
          <cell r="O825">
            <v>0</v>
          </cell>
        </row>
        <row r="826">
          <cell r="O826">
            <v>0</v>
          </cell>
        </row>
        <row r="827">
          <cell r="O827">
            <v>0</v>
          </cell>
        </row>
        <row r="828">
          <cell r="O828">
            <v>0</v>
          </cell>
        </row>
        <row r="829">
          <cell r="O829">
            <v>0</v>
          </cell>
        </row>
        <row r="830">
          <cell r="O830">
            <v>0</v>
          </cell>
        </row>
        <row r="831">
          <cell r="O831">
            <v>0</v>
          </cell>
        </row>
        <row r="832">
          <cell r="O832">
            <v>0</v>
          </cell>
        </row>
        <row r="833">
          <cell r="O833">
            <v>0</v>
          </cell>
        </row>
        <row r="834">
          <cell r="O834">
            <v>0</v>
          </cell>
        </row>
        <row r="835">
          <cell r="O835">
            <v>0</v>
          </cell>
        </row>
        <row r="836">
          <cell r="O836">
            <v>0</v>
          </cell>
        </row>
        <row r="837">
          <cell r="O837">
            <v>0</v>
          </cell>
        </row>
        <row r="838">
          <cell r="O838">
            <v>0</v>
          </cell>
        </row>
        <row r="839">
          <cell r="O839">
            <v>0</v>
          </cell>
        </row>
        <row r="840">
          <cell r="O840">
            <v>0</v>
          </cell>
        </row>
        <row r="841">
          <cell r="O841">
            <v>0</v>
          </cell>
        </row>
        <row r="842">
          <cell r="O842">
            <v>0</v>
          </cell>
        </row>
        <row r="843">
          <cell r="O843">
            <v>0</v>
          </cell>
        </row>
        <row r="844">
          <cell r="O844">
            <v>0</v>
          </cell>
        </row>
        <row r="845">
          <cell r="O845">
            <v>0</v>
          </cell>
        </row>
        <row r="846">
          <cell r="O846">
            <v>0</v>
          </cell>
        </row>
        <row r="847">
          <cell r="O847">
            <v>0</v>
          </cell>
        </row>
        <row r="848">
          <cell r="O848">
            <v>0</v>
          </cell>
        </row>
        <row r="849">
          <cell r="O849">
            <v>0</v>
          </cell>
        </row>
        <row r="850">
          <cell r="O850">
            <v>0</v>
          </cell>
        </row>
        <row r="851">
          <cell r="O851">
            <v>0</v>
          </cell>
        </row>
        <row r="852">
          <cell r="O852">
            <v>0</v>
          </cell>
        </row>
        <row r="853">
          <cell r="O853">
            <v>0</v>
          </cell>
        </row>
        <row r="854">
          <cell r="O854">
            <v>0</v>
          </cell>
        </row>
        <row r="855">
          <cell r="O855">
            <v>0</v>
          </cell>
        </row>
        <row r="856">
          <cell r="O856">
            <v>0</v>
          </cell>
        </row>
        <row r="857">
          <cell r="O857">
            <v>0</v>
          </cell>
        </row>
        <row r="858">
          <cell r="O858">
            <v>0</v>
          </cell>
        </row>
        <row r="859">
          <cell r="O859">
            <v>0</v>
          </cell>
        </row>
        <row r="860">
          <cell r="O860">
            <v>0</v>
          </cell>
        </row>
        <row r="861">
          <cell r="O861">
            <v>0</v>
          </cell>
        </row>
        <row r="862">
          <cell r="O862">
            <v>0</v>
          </cell>
        </row>
        <row r="863">
          <cell r="O863">
            <v>0</v>
          </cell>
        </row>
        <row r="864">
          <cell r="O864">
            <v>0</v>
          </cell>
        </row>
        <row r="865">
          <cell r="O865">
            <v>0</v>
          </cell>
        </row>
        <row r="866">
          <cell r="O866">
            <v>0</v>
          </cell>
        </row>
        <row r="867">
          <cell r="O867">
            <v>0</v>
          </cell>
        </row>
        <row r="868">
          <cell r="O868">
            <v>0</v>
          </cell>
        </row>
        <row r="869">
          <cell r="O869">
            <v>0</v>
          </cell>
        </row>
        <row r="870">
          <cell r="O870">
            <v>0</v>
          </cell>
        </row>
        <row r="871">
          <cell r="O871">
            <v>0</v>
          </cell>
        </row>
        <row r="872">
          <cell r="O872">
            <v>0</v>
          </cell>
        </row>
        <row r="873">
          <cell r="O873">
            <v>0</v>
          </cell>
        </row>
        <row r="874">
          <cell r="O874">
            <v>0</v>
          </cell>
        </row>
        <row r="875">
          <cell r="O875">
            <v>0</v>
          </cell>
        </row>
        <row r="876">
          <cell r="O876">
            <v>0</v>
          </cell>
        </row>
        <row r="877">
          <cell r="O877">
            <v>0</v>
          </cell>
        </row>
        <row r="878">
          <cell r="O878">
            <v>0</v>
          </cell>
        </row>
        <row r="879">
          <cell r="O879">
            <v>0</v>
          </cell>
        </row>
        <row r="880">
          <cell r="O880">
            <v>0</v>
          </cell>
        </row>
        <row r="881">
          <cell r="O881">
            <v>0</v>
          </cell>
        </row>
        <row r="882">
          <cell r="O882">
            <v>0</v>
          </cell>
        </row>
        <row r="883">
          <cell r="O883">
            <v>0</v>
          </cell>
        </row>
        <row r="884">
          <cell r="O884">
            <v>0</v>
          </cell>
        </row>
        <row r="885">
          <cell r="O885">
            <v>0</v>
          </cell>
        </row>
        <row r="886">
          <cell r="O886">
            <v>0</v>
          </cell>
        </row>
        <row r="887">
          <cell r="O887">
            <v>0</v>
          </cell>
        </row>
        <row r="888">
          <cell r="O888">
            <v>0</v>
          </cell>
        </row>
        <row r="889">
          <cell r="O889">
            <v>0</v>
          </cell>
        </row>
        <row r="890">
          <cell r="O890">
            <v>0</v>
          </cell>
        </row>
        <row r="891">
          <cell r="O891">
            <v>0</v>
          </cell>
        </row>
        <row r="892">
          <cell r="O892">
            <v>0</v>
          </cell>
        </row>
        <row r="893">
          <cell r="O893">
            <v>0</v>
          </cell>
        </row>
        <row r="894">
          <cell r="O894">
            <v>0</v>
          </cell>
        </row>
        <row r="895">
          <cell r="O895">
            <v>0</v>
          </cell>
        </row>
        <row r="896">
          <cell r="O896">
            <v>0</v>
          </cell>
        </row>
        <row r="897">
          <cell r="O897">
            <v>0</v>
          </cell>
        </row>
        <row r="898">
          <cell r="O898">
            <v>0</v>
          </cell>
        </row>
        <row r="899">
          <cell r="O899">
            <v>0</v>
          </cell>
        </row>
        <row r="900">
          <cell r="O900">
            <v>0</v>
          </cell>
        </row>
        <row r="901">
          <cell r="O901">
            <v>0</v>
          </cell>
        </row>
        <row r="902">
          <cell r="O902">
            <v>0</v>
          </cell>
        </row>
        <row r="903">
          <cell r="O903">
            <v>0</v>
          </cell>
        </row>
        <row r="904">
          <cell r="O904">
            <v>0</v>
          </cell>
        </row>
        <row r="905">
          <cell r="O905">
            <v>0</v>
          </cell>
        </row>
        <row r="906">
          <cell r="O906">
            <v>0</v>
          </cell>
        </row>
        <row r="907">
          <cell r="O907">
            <v>0</v>
          </cell>
        </row>
        <row r="908">
          <cell r="O908">
            <v>0</v>
          </cell>
        </row>
        <row r="909">
          <cell r="O909">
            <v>0</v>
          </cell>
        </row>
        <row r="910">
          <cell r="O910">
            <v>0</v>
          </cell>
        </row>
        <row r="911">
          <cell r="O911">
            <v>0</v>
          </cell>
        </row>
        <row r="912">
          <cell r="O912">
            <v>0</v>
          </cell>
        </row>
        <row r="913">
          <cell r="O913">
            <v>0</v>
          </cell>
        </row>
        <row r="914">
          <cell r="O914">
            <v>0</v>
          </cell>
        </row>
        <row r="915">
          <cell r="O915">
            <v>0</v>
          </cell>
        </row>
        <row r="916">
          <cell r="O916">
            <v>0</v>
          </cell>
        </row>
        <row r="917">
          <cell r="O917">
            <v>0</v>
          </cell>
        </row>
        <row r="918">
          <cell r="O918">
            <v>0</v>
          </cell>
        </row>
        <row r="919">
          <cell r="O919">
            <v>0</v>
          </cell>
        </row>
        <row r="920">
          <cell r="O920">
            <v>0</v>
          </cell>
        </row>
        <row r="921">
          <cell r="O921">
            <v>0</v>
          </cell>
        </row>
        <row r="922">
          <cell r="O922">
            <v>0</v>
          </cell>
        </row>
        <row r="923">
          <cell r="O923">
            <v>0</v>
          </cell>
        </row>
        <row r="924">
          <cell r="O924">
            <v>0</v>
          </cell>
        </row>
        <row r="925">
          <cell r="O925">
            <v>0</v>
          </cell>
        </row>
        <row r="926">
          <cell r="O926">
            <v>0</v>
          </cell>
        </row>
        <row r="927">
          <cell r="O927">
            <v>0</v>
          </cell>
        </row>
        <row r="928">
          <cell r="O928">
            <v>0</v>
          </cell>
        </row>
        <row r="929">
          <cell r="O929">
            <v>0</v>
          </cell>
        </row>
        <row r="930">
          <cell r="O930">
            <v>0</v>
          </cell>
        </row>
        <row r="931">
          <cell r="O931">
            <v>0</v>
          </cell>
        </row>
        <row r="932">
          <cell r="O932">
            <v>0</v>
          </cell>
        </row>
        <row r="933">
          <cell r="O933">
            <v>0</v>
          </cell>
        </row>
        <row r="934">
          <cell r="O934">
            <v>0</v>
          </cell>
        </row>
        <row r="935">
          <cell r="O935">
            <v>0</v>
          </cell>
        </row>
        <row r="936">
          <cell r="O936">
            <v>0</v>
          </cell>
        </row>
        <row r="937">
          <cell r="O937">
            <v>0</v>
          </cell>
        </row>
        <row r="938">
          <cell r="O938">
            <v>0</v>
          </cell>
        </row>
        <row r="939">
          <cell r="O939">
            <v>0</v>
          </cell>
        </row>
        <row r="940">
          <cell r="O940">
            <v>0</v>
          </cell>
        </row>
        <row r="941">
          <cell r="O941">
            <v>0</v>
          </cell>
        </row>
        <row r="942">
          <cell r="O942">
            <v>0</v>
          </cell>
        </row>
        <row r="943">
          <cell r="O943">
            <v>0</v>
          </cell>
        </row>
        <row r="944">
          <cell r="O944">
            <v>0</v>
          </cell>
        </row>
        <row r="945">
          <cell r="O945">
            <v>0</v>
          </cell>
        </row>
        <row r="946">
          <cell r="O946">
            <v>0</v>
          </cell>
        </row>
        <row r="947">
          <cell r="O947">
            <v>0</v>
          </cell>
        </row>
        <row r="948">
          <cell r="O948">
            <v>0</v>
          </cell>
        </row>
        <row r="949">
          <cell r="O949">
            <v>0</v>
          </cell>
        </row>
        <row r="950">
          <cell r="O950">
            <v>0</v>
          </cell>
        </row>
        <row r="951">
          <cell r="O951">
            <v>0</v>
          </cell>
        </row>
        <row r="952">
          <cell r="O952">
            <v>0</v>
          </cell>
        </row>
        <row r="953">
          <cell r="O953">
            <v>0</v>
          </cell>
        </row>
        <row r="954">
          <cell r="O954">
            <v>0</v>
          </cell>
        </row>
        <row r="955">
          <cell r="O955">
            <v>0</v>
          </cell>
        </row>
        <row r="956">
          <cell r="O956">
            <v>0</v>
          </cell>
        </row>
        <row r="957">
          <cell r="O957">
            <v>0</v>
          </cell>
        </row>
        <row r="958">
          <cell r="O958">
            <v>0</v>
          </cell>
        </row>
        <row r="959">
          <cell r="O959">
            <v>0</v>
          </cell>
        </row>
        <row r="960">
          <cell r="O960">
            <v>0</v>
          </cell>
        </row>
        <row r="961">
          <cell r="O961">
            <v>0</v>
          </cell>
        </row>
        <row r="962">
          <cell r="O962">
            <v>0</v>
          </cell>
        </row>
        <row r="963">
          <cell r="O963">
            <v>0</v>
          </cell>
        </row>
        <row r="964">
          <cell r="O964">
            <v>0</v>
          </cell>
        </row>
        <row r="965">
          <cell r="O965">
            <v>0</v>
          </cell>
        </row>
        <row r="966">
          <cell r="O966">
            <v>0</v>
          </cell>
        </row>
        <row r="967">
          <cell r="O967">
            <v>0</v>
          </cell>
        </row>
        <row r="968">
          <cell r="O968">
            <v>0</v>
          </cell>
        </row>
        <row r="969">
          <cell r="O969">
            <v>0</v>
          </cell>
        </row>
        <row r="970">
          <cell r="O970">
            <v>0</v>
          </cell>
        </row>
        <row r="971">
          <cell r="O971">
            <v>0</v>
          </cell>
        </row>
        <row r="972">
          <cell r="O972">
            <v>0</v>
          </cell>
        </row>
        <row r="973">
          <cell r="O973">
            <v>0</v>
          </cell>
        </row>
        <row r="974">
          <cell r="O974">
            <v>0</v>
          </cell>
        </row>
        <row r="975">
          <cell r="O975">
            <v>0</v>
          </cell>
        </row>
        <row r="976">
          <cell r="O976">
            <v>0</v>
          </cell>
        </row>
        <row r="977">
          <cell r="O977">
            <v>0</v>
          </cell>
        </row>
        <row r="978">
          <cell r="O978">
            <v>0</v>
          </cell>
        </row>
        <row r="979">
          <cell r="O979">
            <v>0</v>
          </cell>
        </row>
        <row r="980">
          <cell r="O980">
            <v>0</v>
          </cell>
        </row>
        <row r="981">
          <cell r="O981">
            <v>0</v>
          </cell>
        </row>
        <row r="982">
          <cell r="O982">
            <v>0</v>
          </cell>
        </row>
        <row r="983">
          <cell r="O983">
            <v>0</v>
          </cell>
        </row>
        <row r="984">
          <cell r="O984">
            <v>0</v>
          </cell>
        </row>
        <row r="985">
          <cell r="O985">
            <v>0</v>
          </cell>
        </row>
        <row r="986">
          <cell r="O986">
            <v>0</v>
          </cell>
        </row>
        <row r="987">
          <cell r="O987">
            <v>0</v>
          </cell>
        </row>
        <row r="988">
          <cell r="O988">
            <v>0</v>
          </cell>
        </row>
        <row r="989">
          <cell r="O989">
            <v>0</v>
          </cell>
        </row>
        <row r="990">
          <cell r="O990">
            <v>0</v>
          </cell>
        </row>
        <row r="991">
          <cell r="O991">
            <v>0</v>
          </cell>
        </row>
        <row r="992">
          <cell r="O992">
            <v>0</v>
          </cell>
        </row>
        <row r="993">
          <cell r="O993">
            <v>0</v>
          </cell>
        </row>
        <row r="994">
          <cell r="O994">
            <v>0</v>
          </cell>
        </row>
        <row r="995">
          <cell r="O995">
            <v>0</v>
          </cell>
        </row>
        <row r="996">
          <cell r="O996">
            <v>0</v>
          </cell>
        </row>
        <row r="997">
          <cell r="O997">
            <v>0</v>
          </cell>
        </row>
        <row r="998">
          <cell r="O998">
            <v>0</v>
          </cell>
        </row>
        <row r="999">
          <cell r="O999">
            <v>0</v>
          </cell>
        </row>
        <row r="1000">
          <cell r="O1000">
            <v>0</v>
          </cell>
        </row>
        <row r="1001">
          <cell r="O1001">
            <v>0</v>
          </cell>
        </row>
        <row r="1002">
          <cell r="O1002">
            <v>0</v>
          </cell>
        </row>
        <row r="1003">
          <cell r="O1003">
            <v>0</v>
          </cell>
        </row>
        <row r="1004">
          <cell r="O1004">
            <v>0</v>
          </cell>
        </row>
        <row r="1005">
          <cell r="O1005">
            <v>0</v>
          </cell>
        </row>
        <row r="1006">
          <cell r="O1006">
            <v>0</v>
          </cell>
        </row>
        <row r="1007">
          <cell r="O1007">
            <v>0</v>
          </cell>
        </row>
        <row r="1008">
          <cell r="O1008">
            <v>0</v>
          </cell>
        </row>
        <row r="1009">
          <cell r="O1009">
            <v>0</v>
          </cell>
        </row>
        <row r="1010">
          <cell r="O1010">
            <v>0</v>
          </cell>
        </row>
        <row r="1011">
          <cell r="O1011">
            <v>0</v>
          </cell>
        </row>
        <row r="1012">
          <cell r="O1012">
            <v>0</v>
          </cell>
        </row>
        <row r="1013">
          <cell r="O1013">
            <v>0</v>
          </cell>
        </row>
        <row r="1014">
          <cell r="O1014">
            <v>0</v>
          </cell>
        </row>
        <row r="1015">
          <cell r="O1015">
            <v>0</v>
          </cell>
        </row>
        <row r="1016">
          <cell r="O1016">
            <v>0</v>
          </cell>
        </row>
        <row r="1017">
          <cell r="O1017">
            <v>0</v>
          </cell>
        </row>
        <row r="1018">
          <cell r="O1018">
            <v>0</v>
          </cell>
        </row>
        <row r="1019">
          <cell r="O1019">
            <v>0</v>
          </cell>
        </row>
        <row r="1020">
          <cell r="O1020">
            <v>0</v>
          </cell>
        </row>
        <row r="1021">
          <cell r="O1021">
            <v>0</v>
          </cell>
        </row>
        <row r="1022">
          <cell r="O1022">
            <v>0</v>
          </cell>
        </row>
        <row r="1023">
          <cell r="O1023">
            <v>0</v>
          </cell>
        </row>
        <row r="1024">
          <cell r="O1024">
            <v>0</v>
          </cell>
        </row>
        <row r="1025">
          <cell r="O1025">
            <v>0</v>
          </cell>
        </row>
        <row r="1026">
          <cell r="O1026">
            <v>0</v>
          </cell>
        </row>
        <row r="1027">
          <cell r="O1027">
            <v>0</v>
          </cell>
        </row>
        <row r="1028">
          <cell r="O1028">
            <v>0</v>
          </cell>
        </row>
        <row r="1029">
          <cell r="O1029">
            <v>0</v>
          </cell>
        </row>
        <row r="1030">
          <cell r="O1030">
            <v>0</v>
          </cell>
        </row>
        <row r="1031">
          <cell r="O1031">
            <v>0</v>
          </cell>
        </row>
        <row r="1032">
          <cell r="O1032">
            <v>0</v>
          </cell>
        </row>
        <row r="1033">
          <cell r="O1033">
            <v>0</v>
          </cell>
        </row>
        <row r="1034">
          <cell r="O1034">
            <v>0</v>
          </cell>
        </row>
        <row r="1035">
          <cell r="O1035">
            <v>0</v>
          </cell>
        </row>
        <row r="1036">
          <cell r="O1036">
            <v>0</v>
          </cell>
        </row>
        <row r="1037">
          <cell r="O1037">
            <v>0</v>
          </cell>
        </row>
        <row r="1038">
          <cell r="O1038">
            <v>0</v>
          </cell>
        </row>
        <row r="1039">
          <cell r="O1039">
            <v>0</v>
          </cell>
        </row>
        <row r="1040">
          <cell r="O1040">
            <v>0</v>
          </cell>
        </row>
        <row r="1041">
          <cell r="O1041">
            <v>0</v>
          </cell>
        </row>
        <row r="1042">
          <cell r="O1042">
            <v>0</v>
          </cell>
        </row>
        <row r="1043">
          <cell r="O1043">
            <v>0</v>
          </cell>
        </row>
        <row r="1044">
          <cell r="O1044">
            <v>0</v>
          </cell>
        </row>
        <row r="1045">
          <cell r="O1045">
            <v>0</v>
          </cell>
        </row>
        <row r="1046">
          <cell r="O1046">
            <v>0</v>
          </cell>
        </row>
        <row r="1047">
          <cell r="O1047">
            <v>0</v>
          </cell>
        </row>
        <row r="1048">
          <cell r="O1048">
            <v>0</v>
          </cell>
        </row>
        <row r="1049">
          <cell r="O1049">
            <v>0</v>
          </cell>
        </row>
        <row r="1050">
          <cell r="O1050">
            <v>0</v>
          </cell>
        </row>
        <row r="1051">
          <cell r="O1051">
            <v>0</v>
          </cell>
        </row>
        <row r="1052">
          <cell r="O1052">
            <v>0</v>
          </cell>
        </row>
        <row r="1053">
          <cell r="O1053">
            <v>0</v>
          </cell>
        </row>
        <row r="1054">
          <cell r="O1054">
            <v>0</v>
          </cell>
        </row>
        <row r="1055">
          <cell r="O1055">
            <v>0</v>
          </cell>
        </row>
        <row r="1056">
          <cell r="O1056">
            <v>0</v>
          </cell>
        </row>
        <row r="1057">
          <cell r="O1057">
            <v>0</v>
          </cell>
        </row>
        <row r="1058">
          <cell r="O1058">
            <v>0</v>
          </cell>
        </row>
        <row r="1059">
          <cell r="O1059">
            <v>0</v>
          </cell>
        </row>
        <row r="1060">
          <cell r="O1060">
            <v>0</v>
          </cell>
        </row>
        <row r="1061">
          <cell r="O1061">
            <v>0</v>
          </cell>
        </row>
        <row r="1062">
          <cell r="O1062">
            <v>0</v>
          </cell>
        </row>
        <row r="1063">
          <cell r="O1063">
            <v>0</v>
          </cell>
        </row>
        <row r="1064">
          <cell r="O1064">
            <v>0</v>
          </cell>
        </row>
        <row r="1065">
          <cell r="O1065">
            <v>0</v>
          </cell>
        </row>
        <row r="1066">
          <cell r="O1066">
            <v>0</v>
          </cell>
        </row>
        <row r="1067">
          <cell r="O1067">
            <v>0</v>
          </cell>
        </row>
        <row r="1068">
          <cell r="O1068">
            <v>0</v>
          </cell>
        </row>
        <row r="1069">
          <cell r="O1069">
            <v>0</v>
          </cell>
        </row>
        <row r="1070">
          <cell r="O1070">
            <v>0</v>
          </cell>
        </row>
        <row r="1071">
          <cell r="O1071">
            <v>0</v>
          </cell>
        </row>
        <row r="1072">
          <cell r="O1072">
            <v>0</v>
          </cell>
        </row>
        <row r="1073">
          <cell r="O1073">
            <v>0</v>
          </cell>
        </row>
        <row r="1074">
          <cell r="O1074">
            <v>0</v>
          </cell>
        </row>
        <row r="1075">
          <cell r="O1075">
            <v>0</v>
          </cell>
        </row>
        <row r="1076">
          <cell r="O1076">
            <v>0</v>
          </cell>
        </row>
        <row r="1077">
          <cell r="O1077">
            <v>0</v>
          </cell>
        </row>
        <row r="1078">
          <cell r="O1078">
            <v>0</v>
          </cell>
        </row>
        <row r="1079">
          <cell r="O1079">
            <v>0</v>
          </cell>
        </row>
        <row r="1080">
          <cell r="O1080">
            <v>0</v>
          </cell>
        </row>
        <row r="1081">
          <cell r="O1081">
            <v>0</v>
          </cell>
        </row>
        <row r="1082">
          <cell r="O1082">
            <v>0</v>
          </cell>
        </row>
        <row r="1083">
          <cell r="O1083">
            <v>0</v>
          </cell>
        </row>
        <row r="1084">
          <cell r="O1084">
            <v>0</v>
          </cell>
        </row>
        <row r="1085">
          <cell r="O1085">
            <v>0</v>
          </cell>
        </row>
        <row r="1086">
          <cell r="O1086">
            <v>0</v>
          </cell>
        </row>
        <row r="1087">
          <cell r="O1087">
            <v>0</v>
          </cell>
        </row>
        <row r="1088">
          <cell r="O1088">
            <v>0</v>
          </cell>
        </row>
        <row r="1089">
          <cell r="O1089">
            <v>0</v>
          </cell>
        </row>
        <row r="1090">
          <cell r="O1090">
            <v>0</v>
          </cell>
        </row>
        <row r="1091">
          <cell r="O1091">
            <v>0</v>
          </cell>
        </row>
        <row r="1092">
          <cell r="O1092">
            <v>0</v>
          </cell>
        </row>
        <row r="1093">
          <cell r="O1093">
            <v>0</v>
          </cell>
        </row>
        <row r="1094">
          <cell r="O1094">
            <v>0</v>
          </cell>
        </row>
        <row r="1095">
          <cell r="O1095">
            <v>0</v>
          </cell>
        </row>
        <row r="1096">
          <cell r="O1096">
            <v>0</v>
          </cell>
        </row>
        <row r="1097">
          <cell r="O1097">
            <v>0</v>
          </cell>
        </row>
        <row r="1098">
          <cell r="O1098">
            <v>0</v>
          </cell>
        </row>
        <row r="1099">
          <cell r="O1099">
            <v>0</v>
          </cell>
        </row>
        <row r="1100">
          <cell r="O1100">
            <v>0</v>
          </cell>
        </row>
        <row r="1101">
          <cell r="O1101">
            <v>0</v>
          </cell>
        </row>
        <row r="1102">
          <cell r="O1102">
            <v>0</v>
          </cell>
        </row>
        <row r="1103">
          <cell r="O1103">
            <v>0</v>
          </cell>
        </row>
        <row r="1104">
          <cell r="O1104">
            <v>0</v>
          </cell>
        </row>
        <row r="1105">
          <cell r="O1105">
            <v>0</v>
          </cell>
        </row>
        <row r="1106">
          <cell r="O1106">
            <v>0</v>
          </cell>
        </row>
        <row r="1107">
          <cell r="O1107">
            <v>0</v>
          </cell>
        </row>
        <row r="1108">
          <cell r="O1108">
            <v>0</v>
          </cell>
        </row>
        <row r="1109">
          <cell r="O1109">
            <v>0</v>
          </cell>
        </row>
        <row r="1110">
          <cell r="O1110">
            <v>0</v>
          </cell>
        </row>
        <row r="1111">
          <cell r="O1111">
            <v>0</v>
          </cell>
        </row>
        <row r="1112">
          <cell r="O1112">
            <v>0</v>
          </cell>
        </row>
        <row r="1113">
          <cell r="O1113">
            <v>0</v>
          </cell>
        </row>
        <row r="1114">
          <cell r="O1114">
            <v>0</v>
          </cell>
        </row>
        <row r="1115">
          <cell r="O1115">
            <v>0</v>
          </cell>
        </row>
        <row r="1116">
          <cell r="O1116">
            <v>0</v>
          </cell>
        </row>
        <row r="1117">
          <cell r="O1117">
            <v>0</v>
          </cell>
        </row>
        <row r="1118">
          <cell r="O1118">
            <v>0</v>
          </cell>
        </row>
        <row r="1119">
          <cell r="O1119">
            <v>0</v>
          </cell>
        </row>
        <row r="1120">
          <cell r="O1120">
            <v>0</v>
          </cell>
        </row>
        <row r="1121">
          <cell r="O1121">
            <v>0</v>
          </cell>
        </row>
        <row r="1122">
          <cell r="O1122">
            <v>0</v>
          </cell>
        </row>
        <row r="1123">
          <cell r="O1123">
            <v>0</v>
          </cell>
        </row>
        <row r="1124">
          <cell r="O1124">
            <v>0</v>
          </cell>
        </row>
        <row r="1125">
          <cell r="O1125">
            <v>0</v>
          </cell>
        </row>
        <row r="1126">
          <cell r="O1126">
            <v>0</v>
          </cell>
        </row>
        <row r="1127">
          <cell r="O1127">
            <v>0</v>
          </cell>
        </row>
        <row r="1128">
          <cell r="O1128">
            <v>0</v>
          </cell>
        </row>
        <row r="1129">
          <cell r="O1129">
            <v>0</v>
          </cell>
        </row>
        <row r="1130">
          <cell r="O1130">
            <v>0</v>
          </cell>
        </row>
        <row r="1131">
          <cell r="O1131">
            <v>0</v>
          </cell>
        </row>
        <row r="1132">
          <cell r="O1132">
            <v>0</v>
          </cell>
        </row>
        <row r="1133">
          <cell r="O1133">
            <v>0</v>
          </cell>
        </row>
        <row r="1134">
          <cell r="O1134">
            <v>0</v>
          </cell>
        </row>
        <row r="1135">
          <cell r="O1135">
            <v>0</v>
          </cell>
        </row>
        <row r="1136">
          <cell r="O1136">
            <v>0</v>
          </cell>
        </row>
        <row r="1137">
          <cell r="O1137">
            <v>0</v>
          </cell>
        </row>
        <row r="1138">
          <cell r="O1138">
            <v>0</v>
          </cell>
        </row>
        <row r="1139">
          <cell r="O1139">
            <v>0</v>
          </cell>
        </row>
        <row r="1140">
          <cell r="O1140">
            <v>0</v>
          </cell>
        </row>
        <row r="1141">
          <cell r="O1141">
            <v>0</v>
          </cell>
        </row>
        <row r="1142">
          <cell r="O1142">
            <v>0</v>
          </cell>
        </row>
        <row r="1143">
          <cell r="O1143">
            <v>0</v>
          </cell>
        </row>
        <row r="1144">
          <cell r="O1144">
            <v>0</v>
          </cell>
        </row>
        <row r="1145">
          <cell r="O1145">
            <v>0</v>
          </cell>
        </row>
        <row r="1146">
          <cell r="O1146">
            <v>0</v>
          </cell>
        </row>
        <row r="1147">
          <cell r="O1147">
            <v>0</v>
          </cell>
        </row>
        <row r="1148">
          <cell r="O1148">
            <v>0</v>
          </cell>
        </row>
        <row r="1149">
          <cell r="O1149">
            <v>0</v>
          </cell>
        </row>
        <row r="1150">
          <cell r="O1150">
            <v>0</v>
          </cell>
        </row>
        <row r="1151">
          <cell r="O1151">
            <v>0</v>
          </cell>
        </row>
        <row r="1152">
          <cell r="O1152">
            <v>0</v>
          </cell>
        </row>
        <row r="1153">
          <cell r="O1153">
            <v>0</v>
          </cell>
        </row>
        <row r="1154">
          <cell r="O1154">
            <v>0</v>
          </cell>
        </row>
        <row r="1155">
          <cell r="O1155">
            <v>0</v>
          </cell>
        </row>
        <row r="1156">
          <cell r="O1156">
            <v>0</v>
          </cell>
        </row>
        <row r="1157">
          <cell r="O1157">
            <v>0</v>
          </cell>
        </row>
        <row r="1158">
          <cell r="O1158">
            <v>0</v>
          </cell>
        </row>
        <row r="1159">
          <cell r="O1159">
            <v>0</v>
          </cell>
        </row>
        <row r="1160">
          <cell r="O1160">
            <v>0</v>
          </cell>
        </row>
        <row r="1161">
          <cell r="O1161">
            <v>0</v>
          </cell>
        </row>
        <row r="1162">
          <cell r="O1162">
            <v>0</v>
          </cell>
        </row>
        <row r="1163">
          <cell r="O1163">
            <v>0</v>
          </cell>
        </row>
        <row r="1164">
          <cell r="O1164">
            <v>0</v>
          </cell>
        </row>
        <row r="1165">
          <cell r="O1165">
            <v>0</v>
          </cell>
        </row>
        <row r="1166">
          <cell r="O1166">
            <v>0</v>
          </cell>
        </row>
        <row r="1167">
          <cell r="O1167">
            <v>0</v>
          </cell>
        </row>
        <row r="1168">
          <cell r="O1168">
            <v>0</v>
          </cell>
        </row>
        <row r="1169">
          <cell r="O1169">
            <v>0</v>
          </cell>
        </row>
        <row r="1170">
          <cell r="O1170">
            <v>0</v>
          </cell>
        </row>
        <row r="1171">
          <cell r="O1171">
            <v>0</v>
          </cell>
        </row>
        <row r="1172">
          <cell r="O1172">
            <v>0</v>
          </cell>
        </row>
        <row r="1173">
          <cell r="O1173">
            <v>0</v>
          </cell>
        </row>
        <row r="1174">
          <cell r="O1174">
            <v>0</v>
          </cell>
        </row>
        <row r="1175">
          <cell r="O1175">
            <v>0</v>
          </cell>
        </row>
        <row r="1176">
          <cell r="O1176">
            <v>0</v>
          </cell>
        </row>
        <row r="1177">
          <cell r="O1177">
            <v>0</v>
          </cell>
        </row>
        <row r="1178">
          <cell r="O1178">
            <v>0</v>
          </cell>
        </row>
        <row r="1179">
          <cell r="O1179">
            <v>0</v>
          </cell>
        </row>
        <row r="1180">
          <cell r="O1180">
            <v>0</v>
          </cell>
        </row>
        <row r="1181">
          <cell r="O1181">
            <v>0</v>
          </cell>
        </row>
        <row r="1182">
          <cell r="O1182">
            <v>0</v>
          </cell>
        </row>
        <row r="1183">
          <cell r="O1183">
            <v>0</v>
          </cell>
        </row>
        <row r="1184">
          <cell r="O1184">
            <v>0</v>
          </cell>
        </row>
        <row r="1185">
          <cell r="O1185">
            <v>0</v>
          </cell>
        </row>
        <row r="1186">
          <cell r="O1186">
            <v>0</v>
          </cell>
        </row>
        <row r="1187">
          <cell r="O1187">
            <v>0</v>
          </cell>
        </row>
        <row r="1188">
          <cell r="O1188">
            <v>0</v>
          </cell>
        </row>
        <row r="1189">
          <cell r="O1189">
            <v>0</v>
          </cell>
        </row>
        <row r="1190">
          <cell r="O1190">
            <v>0</v>
          </cell>
        </row>
        <row r="1191">
          <cell r="O1191">
            <v>0</v>
          </cell>
        </row>
        <row r="1192">
          <cell r="O1192">
            <v>0</v>
          </cell>
        </row>
        <row r="1193">
          <cell r="O1193">
            <v>0</v>
          </cell>
        </row>
        <row r="1194">
          <cell r="O1194">
            <v>0</v>
          </cell>
        </row>
        <row r="1195">
          <cell r="O1195">
            <v>0</v>
          </cell>
        </row>
        <row r="1196">
          <cell r="O1196">
            <v>0</v>
          </cell>
        </row>
        <row r="1197">
          <cell r="O1197">
            <v>0</v>
          </cell>
        </row>
        <row r="1198">
          <cell r="O1198">
            <v>0</v>
          </cell>
        </row>
        <row r="1199">
          <cell r="O1199">
            <v>0</v>
          </cell>
        </row>
        <row r="1200">
          <cell r="O1200">
            <v>0</v>
          </cell>
        </row>
        <row r="1201">
          <cell r="O1201">
            <v>0</v>
          </cell>
        </row>
        <row r="1202">
          <cell r="O1202">
            <v>0</v>
          </cell>
        </row>
        <row r="1203">
          <cell r="O1203">
            <v>0</v>
          </cell>
        </row>
        <row r="1204">
          <cell r="O1204">
            <v>0</v>
          </cell>
        </row>
        <row r="1205">
          <cell r="O1205">
            <v>0</v>
          </cell>
        </row>
        <row r="1206">
          <cell r="O1206">
            <v>0</v>
          </cell>
        </row>
        <row r="1207">
          <cell r="O1207">
            <v>0</v>
          </cell>
        </row>
        <row r="1208">
          <cell r="O1208">
            <v>0</v>
          </cell>
        </row>
        <row r="1209">
          <cell r="O1209">
            <v>0</v>
          </cell>
        </row>
        <row r="1210">
          <cell r="O1210">
            <v>0</v>
          </cell>
        </row>
        <row r="1211">
          <cell r="O1211">
            <v>0</v>
          </cell>
        </row>
        <row r="1212">
          <cell r="O1212">
            <v>0</v>
          </cell>
        </row>
        <row r="1213">
          <cell r="O1213">
            <v>0</v>
          </cell>
        </row>
        <row r="1214">
          <cell r="O1214">
            <v>0</v>
          </cell>
        </row>
        <row r="1215">
          <cell r="O1215">
            <v>0</v>
          </cell>
        </row>
        <row r="1216">
          <cell r="O1216">
            <v>0</v>
          </cell>
        </row>
        <row r="1217">
          <cell r="O1217">
            <v>0</v>
          </cell>
        </row>
        <row r="1218">
          <cell r="O1218">
            <v>0</v>
          </cell>
        </row>
        <row r="1219">
          <cell r="O1219">
            <v>0</v>
          </cell>
        </row>
        <row r="1220">
          <cell r="O1220">
            <v>0</v>
          </cell>
        </row>
        <row r="1221">
          <cell r="O1221">
            <v>0</v>
          </cell>
        </row>
        <row r="1222">
          <cell r="O1222">
            <v>0</v>
          </cell>
        </row>
        <row r="1223">
          <cell r="O1223">
            <v>0</v>
          </cell>
        </row>
        <row r="1224">
          <cell r="O1224">
            <v>0</v>
          </cell>
        </row>
        <row r="1225">
          <cell r="O1225">
            <v>0</v>
          </cell>
        </row>
        <row r="1226">
          <cell r="O1226">
            <v>0</v>
          </cell>
        </row>
        <row r="1227">
          <cell r="O1227">
            <v>0</v>
          </cell>
        </row>
        <row r="1228">
          <cell r="O1228">
            <v>0</v>
          </cell>
        </row>
        <row r="1229">
          <cell r="O1229">
            <v>0</v>
          </cell>
        </row>
        <row r="1230">
          <cell r="O1230">
            <v>0</v>
          </cell>
        </row>
        <row r="1231">
          <cell r="O1231">
            <v>0</v>
          </cell>
        </row>
        <row r="1232">
          <cell r="O1232">
            <v>0</v>
          </cell>
        </row>
        <row r="1233">
          <cell r="O1233">
            <v>0</v>
          </cell>
        </row>
        <row r="1234">
          <cell r="O1234">
            <v>0</v>
          </cell>
        </row>
        <row r="1235">
          <cell r="O1235">
            <v>0</v>
          </cell>
        </row>
        <row r="1236">
          <cell r="O1236">
            <v>0</v>
          </cell>
        </row>
        <row r="1237">
          <cell r="O1237">
            <v>0</v>
          </cell>
        </row>
        <row r="1238">
          <cell r="O1238">
            <v>0</v>
          </cell>
        </row>
        <row r="1239">
          <cell r="O1239">
            <v>0</v>
          </cell>
        </row>
        <row r="1240">
          <cell r="O1240">
            <v>0</v>
          </cell>
        </row>
        <row r="1241">
          <cell r="O1241">
            <v>0</v>
          </cell>
        </row>
        <row r="1242">
          <cell r="O1242">
            <v>0</v>
          </cell>
        </row>
        <row r="1243">
          <cell r="O1243">
            <v>0</v>
          </cell>
        </row>
        <row r="1244">
          <cell r="O1244">
            <v>0</v>
          </cell>
        </row>
        <row r="1245">
          <cell r="O1245">
            <v>0</v>
          </cell>
        </row>
        <row r="1246">
          <cell r="O1246">
            <v>0</v>
          </cell>
        </row>
        <row r="1247">
          <cell r="O1247">
            <v>0</v>
          </cell>
        </row>
        <row r="1248">
          <cell r="O1248">
            <v>0</v>
          </cell>
        </row>
        <row r="1249">
          <cell r="O1249">
            <v>0</v>
          </cell>
        </row>
        <row r="1250">
          <cell r="O1250">
            <v>0</v>
          </cell>
        </row>
        <row r="1251">
          <cell r="O1251">
            <v>0</v>
          </cell>
        </row>
        <row r="1252">
          <cell r="O1252">
            <v>0</v>
          </cell>
        </row>
        <row r="1253">
          <cell r="O1253">
            <v>0</v>
          </cell>
        </row>
        <row r="1254">
          <cell r="O1254">
            <v>0</v>
          </cell>
        </row>
        <row r="1255">
          <cell r="O1255">
            <v>0</v>
          </cell>
        </row>
        <row r="1256">
          <cell r="O1256">
            <v>0</v>
          </cell>
        </row>
        <row r="1257">
          <cell r="O1257">
            <v>0</v>
          </cell>
        </row>
        <row r="1258">
          <cell r="O1258">
            <v>0</v>
          </cell>
        </row>
        <row r="1259">
          <cell r="O1259">
            <v>0</v>
          </cell>
        </row>
        <row r="1260">
          <cell r="O1260">
            <v>0</v>
          </cell>
        </row>
        <row r="1261">
          <cell r="O1261">
            <v>0</v>
          </cell>
        </row>
        <row r="1262">
          <cell r="O1262">
            <v>0</v>
          </cell>
        </row>
        <row r="1263">
          <cell r="O1263">
            <v>0</v>
          </cell>
        </row>
        <row r="1264">
          <cell r="O1264">
            <v>0</v>
          </cell>
        </row>
        <row r="1265">
          <cell r="O1265">
            <v>0</v>
          </cell>
        </row>
        <row r="1266">
          <cell r="O1266">
            <v>0</v>
          </cell>
        </row>
        <row r="1267">
          <cell r="O1267">
            <v>0</v>
          </cell>
        </row>
        <row r="1268">
          <cell r="O1268">
            <v>0</v>
          </cell>
        </row>
        <row r="1269">
          <cell r="O1269">
            <v>0</v>
          </cell>
        </row>
        <row r="1270">
          <cell r="O1270">
            <v>0</v>
          </cell>
        </row>
        <row r="1271">
          <cell r="O1271">
            <v>0</v>
          </cell>
        </row>
        <row r="1272">
          <cell r="O1272">
            <v>0</v>
          </cell>
        </row>
        <row r="1273">
          <cell r="O1273">
            <v>0</v>
          </cell>
        </row>
        <row r="1274">
          <cell r="O1274">
            <v>0</v>
          </cell>
        </row>
        <row r="1275">
          <cell r="O1275">
            <v>0</v>
          </cell>
        </row>
        <row r="1276">
          <cell r="O1276">
            <v>0</v>
          </cell>
        </row>
        <row r="1277">
          <cell r="O1277">
            <v>0</v>
          </cell>
        </row>
        <row r="1278">
          <cell r="O1278">
            <v>0</v>
          </cell>
        </row>
        <row r="1279">
          <cell r="O1279">
            <v>0</v>
          </cell>
        </row>
        <row r="1280">
          <cell r="O1280">
            <v>0</v>
          </cell>
        </row>
        <row r="1281">
          <cell r="O1281">
            <v>0</v>
          </cell>
        </row>
        <row r="1282">
          <cell r="O1282">
            <v>0</v>
          </cell>
        </row>
        <row r="1283">
          <cell r="O1283">
            <v>0</v>
          </cell>
        </row>
        <row r="1284">
          <cell r="O1284">
            <v>0</v>
          </cell>
        </row>
        <row r="1285">
          <cell r="O1285">
            <v>0</v>
          </cell>
        </row>
        <row r="1286">
          <cell r="O1286">
            <v>0</v>
          </cell>
        </row>
        <row r="1287">
          <cell r="O1287">
            <v>0</v>
          </cell>
        </row>
        <row r="1288">
          <cell r="O1288">
            <v>0</v>
          </cell>
        </row>
        <row r="1289">
          <cell r="O1289">
            <v>0</v>
          </cell>
        </row>
        <row r="1290">
          <cell r="O1290">
            <v>0</v>
          </cell>
        </row>
        <row r="1291">
          <cell r="O1291">
            <v>0</v>
          </cell>
        </row>
        <row r="1292">
          <cell r="O1292">
            <v>0</v>
          </cell>
        </row>
        <row r="1293">
          <cell r="O1293">
            <v>0</v>
          </cell>
        </row>
        <row r="1294">
          <cell r="O1294">
            <v>0</v>
          </cell>
        </row>
        <row r="1295">
          <cell r="O1295">
            <v>0</v>
          </cell>
        </row>
        <row r="1296">
          <cell r="O1296">
            <v>0</v>
          </cell>
        </row>
        <row r="1297">
          <cell r="O1297">
            <v>0</v>
          </cell>
        </row>
        <row r="1298">
          <cell r="O1298">
            <v>0</v>
          </cell>
        </row>
        <row r="1299">
          <cell r="O1299">
            <v>0</v>
          </cell>
        </row>
        <row r="1300">
          <cell r="O1300">
            <v>0</v>
          </cell>
        </row>
        <row r="1301">
          <cell r="O1301">
            <v>0</v>
          </cell>
        </row>
        <row r="1302">
          <cell r="O1302">
            <v>0</v>
          </cell>
        </row>
        <row r="1303">
          <cell r="O1303">
            <v>0</v>
          </cell>
        </row>
        <row r="1304">
          <cell r="O1304">
            <v>0</v>
          </cell>
        </row>
        <row r="1305">
          <cell r="O1305">
            <v>0</v>
          </cell>
        </row>
        <row r="1306">
          <cell r="O1306">
            <v>0</v>
          </cell>
        </row>
        <row r="1307">
          <cell r="O1307">
            <v>0</v>
          </cell>
        </row>
        <row r="1308">
          <cell r="O1308">
            <v>0</v>
          </cell>
        </row>
        <row r="1309">
          <cell r="O1309">
            <v>0</v>
          </cell>
        </row>
        <row r="1310">
          <cell r="O1310">
            <v>0</v>
          </cell>
        </row>
        <row r="1311">
          <cell r="O1311">
            <v>0</v>
          </cell>
        </row>
        <row r="1312">
          <cell r="O1312">
            <v>0</v>
          </cell>
        </row>
        <row r="1313">
          <cell r="O1313">
            <v>0</v>
          </cell>
        </row>
        <row r="1314">
          <cell r="O1314">
            <v>0</v>
          </cell>
        </row>
        <row r="1315">
          <cell r="O1315">
            <v>0</v>
          </cell>
        </row>
        <row r="1316">
          <cell r="O1316">
            <v>0</v>
          </cell>
        </row>
        <row r="1317">
          <cell r="O1317">
            <v>0</v>
          </cell>
        </row>
        <row r="1318">
          <cell r="O1318">
            <v>0</v>
          </cell>
        </row>
        <row r="1319">
          <cell r="O1319">
            <v>0</v>
          </cell>
        </row>
        <row r="1320">
          <cell r="O1320">
            <v>0</v>
          </cell>
        </row>
        <row r="1321">
          <cell r="O1321">
            <v>0</v>
          </cell>
        </row>
        <row r="1322">
          <cell r="O1322">
            <v>0</v>
          </cell>
        </row>
        <row r="1323">
          <cell r="O1323">
            <v>0</v>
          </cell>
        </row>
        <row r="1324">
          <cell r="O1324">
            <v>0</v>
          </cell>
        </row>
        <row r="1325">
          <cell r="O1325">
            <v>0</v>
          </cell>
        </row>
        <row r="1326">
          <cell r="O1326">
            <v>0</v>
          </cell>
        </row>
        <row r="1327">
          <cell r="O1327">
            <v>0</v>
          </cell>
        </row>
        <row r="1328">
          <cell r="O1328">
            <v>0</v>
          </cell>
        </row>
        <row r="1329">
          <cell r="O1329">
            <v>0</v>
          </cell>
        </row>
        <row r="1330">
          <cell r="O1330">
            <v>0</v>
          </cell>
        </row>
        <row r="1331">
          <cell r="O1331">
            <v>0</v>
          </cell>
        </row>
        <row r="1332">
          <cell r="O1332">
            <v>0</v>
          </cell>
        </row>
        <row r="1333">
          <cell r="O1333">
            <v>0</v>
          </cell>
        </row>
        <row r="1334">
          <cell r="O1334">
            <v>0</v>
          </cell>
        </row>
        <row r="1335">
          <cell r="O1335">
            <v>0</v>
          </cell>
        </row>
        <row r="1336">
          <cell r="O1336">
            <v>0</v>
          </cell>
        </row>
        <row r="1337">
          <cell r="O1337">
            <v>0</v>
          </cell>
        </row>
        <row r="1338">
          <cell r="O1338">
            <v>0</v>
          </cell>
        </row>
        <row r="1339">
          <cell r="O1339">
            <v>0</v>
          </cell>
        </row>
        <row r="1340">
          <cell r="O1340">
            <v>0</v>
          </cell>
        </row>
        <row r="1341">
          <cell r="O1341">
            <v>0</v>
          </cell>
        </row>
        <row r="1342">
          <cell r="O1342">
            <v>0</v>
          </cell>
        </row>
        <row r="1343">
          <cell r="O1343">
            <v>0</v>
          </cell>
        </row>
        <row r="1344">
          <cell r="O1344">
            <v>0</v>
          </cell>
        </row>
        <row r="1345">
          <cell r="O1345">
            <v>0</v>
          </cell>
        </row>
        <row r="1346">
          <cell r="O1346">
            <v>0</v>
          </cell>
        </row>
        <row r="1347">
          <cell r="O1347">
            <v>0</v>
          </cell>
        </row>
        <row r="1348">
          <cell r="O1348">
            <v>0</v>
          </cell>
        </row>
        <row r="1349">
          <cell r="O1349">
            <v>0</v>
          </cell>
        </row>
        <row r="1350">
          <cell r="O1350">
            <v>0</v>
          </cell>
        </row>
        <row r="1351">
          <cell r="O1351">
            <v>0</v>
          </cell>
        </row>
        <row r="1352">
          <cell r="O1352">
            <v>0</v>
          </cell>
        </row>
        <row r="1353">
          <cell r="O1353">
            <v>0</v>
          </cell>
        </row>
        <row r="1354">
          <cell r="O1354">
            <v>0</v>
          </cell>
        </row>
        <row r="1355">
          <cell r="O1355">
            <v>0</v>
          </cell>
        </row>
        <row r="1356">
          <cell r="O1356">
            <v>0</v>
          </cell>
        </row>
        <row r="1357">
          <cell r="O1357">
            <v>0</v>
          </cell>
        </row>
        <row r="1358">
          <cell r="O1358">
            <v>0</v>
          </cell>
        </row>
        <row r="1359">
          <cell r="O1359">
            <v>0</v>
          </cell>
        </row>
        <row r="1360">
          <cell r="O1360">
            <v>0</v>
          </cell>
        </row>
        <row r="1361">
          <cell r="O1361">
            <v>0</v>
          </cell>
        </row>
        <row r="1362">
          <cell r="O1362">
            <v>0</v>
          </cell>
        </row>
        <row r="1363">
          <cell r="O1363">
            <v>0</v>
          </cell>
        </row>
        <row r="1364">
          <cell r="O1364">
            <v>0</v>
          </cell>
        </row>
        <row r="1365">
          <cell r="O1365">
            <v>0</v>
          </cell>
        </row>
        <row r="1366">
          <cell r="O1366">
            <v>0</v>
          </cell>
        </row>
        <row r="1367">
          <cell r="O1367">
            <v>0</v>
          </cell>
        </row>
        <row r="1368">
          <cell r="O1368">
            <v>0</v>
          </cell>
        </row>
        <row r="1369">
          <cell r="O1369">
            <v>0</v>
          </cell>
        </row>
        <row r="1370">
          <cell r="O1370">
            <v>0</v>
          </cell>
        </row>
        <row r="1371">
          <cell r="O1371">
            <v>0</v>
          </cell>
        </row>
        <row r="1372">
          <cell r="O1372">
            <v>0</v>
          </cell>
        </row>
        <row r="1373">
          <cell r="O1373">
            <v>0</v>
          </cell>
        </row>
        <row r="1374">
          <cell r="O1374">
            <v>0</v>
          </cell>
        </row>
        <row r="1375">
          <cell r="O1375">
            <v>0</v>
          </cell>
        </row>
        <row r="1376">
          <cell r="O1376">
            <v>0</v>
          </cell>
        </row>
        <row r="1377">
          <cell r="O1377">
            <v>0</v>
          </cell>
        </row>
        <row r="1378">
          <cell r="O1378">
            <v>0</v>
          </cell>
        </row>
        <row r="1379">
          <cell r="O1379">
            <v>0</v>
          </cell>
        </row>
        <row r="1380">
          <cell r="O1380">
            <v>0</v>
          </cell>
        </row>
        <row r="1381">
          <cell r="O1381">
            <v>0</v>
          </cell>
        </row>
        <row r="1382">
          <cell r="O1382">
            <v>0</v>
          </cell>
        </row>
        <row r="1383">
          <cell r="O1383">
            <v>0</v>
          </cell>
        </row>
        <row r="1384">
          <cell r="O1384">
            <v>0</v>
          </cell>
        </row>
        <row r="1385">
          <cell r="O1385">
            <v>0</v>
          </cell>
        </row>
        <row r="1386">
          <cell r="O1386">
            <v>0</v>
          </cell>
        </row>
        <row r="1387">
          <cell r="O1387">
            <v>0</v>
          </cell>
        </row>
        <row r="1388">
          <cell r="O1388">
            <v>0</v>
          </cell>
        </row>
        <row r="1389">
          <cell r="O1389">
            <v>0</v>
          </cell>
        </row>
        <row r="1390">
          <cell r="O1390">
            <v>0</v>
          </cell>
        </row>
        <row r="1391">
          <cell r="O1391">
            <v>0</v>
          </cell>
        </row>
        <row r="1392">
          <cell r="O1392">
            <v>0</v>
          </cell>
        </row>
        <row r="1393">
          <cell r="O1393">
            <v>0</v>
          </cell>
        </row>
        <row r="1394">
          <cell r="O1394">
            <v>0</v>
          </cell>
        </row>
        <row r="1395">
          <cell r="O1395">
            <v>0</v>
          </cell>
        </row>
        <row r="1396">
          <cell r="O1396">
            <v>0</v>
          </cell>
        </row>
        <row r="1397">
          <cell r="O1397">
            <v>0</v>
          </cell>
        </row>
        <row r="1398">
          <cell r="O1398">
            <v>0</v>
          </cell>
        </row>
        <row r="1399">
          <cell r="O1399">
            <v>0</v>
          </cell>
        </row>
        <row r="1400">
          <cell r="O1400">
            <v>0</v>
          </cell>
        </row>
        <row r="1401">
          <cell r="O1401">
            <v>0</v>
          </cell>
        </row>
        <row r="1402">
          <cell r="O1402">
            <v>0</v>
          </cell>
        </row>
        <row r="1403">
          <cell r="O1403">
            <v>0</v>
          </cell>
        </row>
        <row r="1404">
          <cell r="O1404">
            <v>0</v>
          </cell>
        </row>
        <row r="1405">
          <cell r="O1405">
            <v>0</v>
          </cell>
        </row>
        <row r="1406">
          <cell r="O1406">
            <v>0</v>
          </cell>
        </row>
        <row r="1407">
          <cell r="O1407">
            <v>0</v>
          </cell>
        </row>
        <row r="1408">
          <cell r="O1408">
            <v>0</v>
          </cell>
        </row>
        <row r="1409">
          <cell r="O1409">
            <v>0</v>
          </cell>
        </row>
        <row r="1410">
          <cell r="O1410">
            <v>0</v>
          </cell>
        </row>
        <row r="1411">
          <cell r="O1411">
            <v>0</v>
          </cell>
        </row>
        <row r="1412">
          <cell r="O1412">
            <v>0</v>
          </cell>
        </row>
        <row r="1413">
          <cell r="O1413">
            <v>0</v>
          </cell>
        </row>
        <row r="1414">
          <cell r="O1414">
            <v>0</v>
          </cell>
        </row>
        <row r="1415">
          <cell r="O1415">
            <v>0</v>
          </cell>
        </row>
        <row r="1416">
          <cell r="O1416">
            <v>0</v>
          </cell>
        </row>
        <row r="1417">
          <cell r="O1417">
            <v>0</v>
          </cell>
        </row>
        <row r="1418">
          <cell r="O1418">
            <v>0</v>
          </cell>
        </row>
        <row r="1419">
          <cell r="O1419">
            <v>0</v>
          </cell>
        </row>
        <row r="1420">
          <cell r="O1420">
            <v>0</v>
          </cell>
        </row>
        <row r="1421">
          <cell r="O1421">
            <v>0</v>
          </cell>
        </row>
        <row r="1422">
          <cell r="O1422">
            <v>0</v>
          </cell>
        </row>
        <row r="1423">
          <cell r="O1423">
            <v>0</v>
          </cell>
        </row>
        <row r="1424">
          <cell r="O1424">
            <v>0</v>
          </cell>
        </row>
        <row r="1425">
          <cell r="O1425">
            <v>0</v>
          </cell>
        </row>
        <row r="1426">
          <cell r="O1426">
            <v>0</v>
          </cell>
        </row>
        <row r="1427">
          <cell r="O1427">
            <v>0</v>
          </cell>
        </row>
        <row r="1428">
          <cell r="O1428">
            <v>0</v>
          </cell>
        </row>
        <row r="1429">
          <cell r="O1429">
            <v>0</v>
          </cell>
        </row>
        <row r="1430">
          <cell r="O1430">
            <v>0</v>
          </cell>
        </row>
        <row r="1431">
          <cell r="O1431">
            <v>0</v>
          </cell>
        </row>
        <row r="1432">
          <cell r="O1432">
            <v>0</v>
          </cell>
        </row>
        <row r="1433">
          <cell r="O1433">
            <v>0</v>
          </cell>
        </row>
        <row r="1434">
          <cell r="O1434">
            <v>0</v>
          </cell>
        </row>
        <row r="1435">
          <cell r="O1435">
            <v>0</v>
          </cell>
        </row>
        <row r="1436">
          <cell r="O1436">
            <v>0</v>
          </cell>
        </row>
        <row r="1437">
          <cell r="O1437">
            <v>0</v>
          </cell>
        </row>
        <row r="1438">
          <cell r="O1438">
            <v>0</v>
          </cell>
        </row>
        <row r="1439">
          <cell r="O1439">
            <v>0</v>
          </cell>
        </row>
        <row r="1440">
          <cell r="O1440">
            <v>0</v>
          </cell>
        </row>
        <row r="1441">
          <cell r="O1441">
            <v>0</v>
          </cell>
        </row>
        <row r="1442">
          <cell r="O1442">
            <v>0</v>
          </cell>
        </row>
        <row r="1443">
          <cell r="O1443">
            <v>0</v>
          </cell>
        </row>
        <row r="1444">
          <cell r="O1444">
            <v>0</v>
          </cell>
        </row>
        <row r="1445">
          <cell r="O1445">
            <v>0</v>
          </cell>
        </row>
        <row r="1446">
          <cell r="O1446">
            <v>0</v>
          </cell>
        </row>
        <row r="1447">
          <cell r="O1447">
            <v>0</v>
          </cell>
        </row>
        <row r="1448">
          <cell r="O1448">
            <v>0</v>
          </cell>
        </row>
        <row r="1449">
          <cell r="O1449">
            <v>0</v>
          </cell>
        </row>
        <row r="1450">
          <cell r="O1450">
            <v>0</v>
          </cell>
        </row>
        <row r="1451">
          <cell r="O1451">
            <v>0</v>
          </cell>
        </row>
        <row r="1452">
          <cell r="O1452">
            <v>0</v>
          </cell>
        </row>
        <row r="1453">
          <cell r="O1453">
            <v>0</v>
          </cell>
        </row>
        <row r="1454">
          <cell r="O1454">
            <v>0</v>
          </cell>
        </row>
        <row r="1455">
          <cell r="O1455">
            <v>0</v>
          </cell>
        </row>
        <row r="1456">
          <cell r="O1456">
            <v>0</v>
          </cell>
        </row>
        <row r="1457">
          <cell r="O1457">
            <v>0</v>
          </cell>
        </row>
        <row r="1458">
          <cell r="O1458">
            <v>0</v>
          </cell>
        </row>
        <row r="1459">
          <cell r="O1459">
            <v>0</v>
          </cell>
        </row>
        <row r="1460">
          <cell r="O1460">
            <v>0</v>
          </cell>
        </row>
        <row r="1461">
          <cell r="O1461">
            <v>0</v>
          </cell>
        </row>
        <row r="1462">
          <cell r="O1462">
            <v>0</v>
          </cell>
        </row>
        <row r="1463">
          <cell r="O1463">
            <v>0</v>
          </cell>
        </row>
        <row r="1464">
          <cell r="O1464">
            <v>0</v>
          </cell>
        </row>
        <row r="1465">
          <cell r="O1465">
            <v>0</v>
          </cell>
        </row>
        <row r="1466">
          <cell r="O1466">
            <v>0</v>
          </cell>
        </row>
        <row r="1467">
          <cell r="O1467">
            <v>0</v>
          </cell>
        </row>
        <row r="1468">
          <cell r="O1468">
            <v>0</v>
          </cell>
        </row>
        <row r="1469">
          <cell r="O1469">
            <v>0</v>
          </cell>
        </row>
        <row r="1470">
          <cell r="O1470">
            <v>0</v>
          </cell>
        </row>
        <row r="1471">
          <cell r="O1471">
            <v>0</v>
          </cell>
        </row>
        <row r="1472">
          <cell r="O1472">
            <v>0</v>
          </cell>
        </row>
        <row r="1473">
          <cell r="O1473">
            <v>0</v>
          </cell>
        </row>
        <row r="1474">
          <cell r="O1474">
            <v>0</v>
          </cell>
        </row>
        <row r="1475">
          <cell r="O1475">
            <v>0</v>
          </cell>
        </row>
        <row r="1476">
          <cell r="O1476">
            <v>0</v>
          </cell>
        </row>
        <row r="1477">
          <cell r="O1477">
            <v>0</v>
          </cell>
        </row>
        <row r="1478">
          <cell r="O1478">
            <v>0</v>
          </cell>
        </row>
        <row r="1479">
          <cell r="O1479">
            <v>0</v>
          </cell>
        </row>
        <row r="1480">
          <cell r="O1480">
            <v>0</v>
          </cell>
        </row>
        <row r="1481">
          <cell r="O1481">
            <v>0</v>
          </cell>
        </row>
        <row r="1482">
          <cell r="O1482">
            <v>0</v>
          </cell>
        </row>
        <row r="1483">
          <cell r="O1483">
            <v>0</v>
          </cell>
        </row>
        <row r="1484">
          <cell r="O1484">
            <v>0</v>
          </cell>
        </row>
        <row r="1485">
          <cell r="O1485">
            <v>0</v>
          </cell>
        </row>
        <row r="1486">
          <cell r="O1486">
            <v>0</v>
          </cell>
        </row>
        <row r="1487">
          <cell r="O1487">
            <v>0</v>
          </cell>
        </row>
        <row r="1488">
          <cell r="O1488">
            <v>0</v>
          </cell>
        </row>
        <row r="1489">
          <cell r="O1489">
            <v>0</v>
          </cell>
        </row>
        <row r="1490">
          <cell r="O1490">
            <v>0</v>
          </cell>
        </row>
        <row r="1491">
          <cell r="O1491">
            <v>0</v>
          </cell>
        </row>
        <row r="1492">
          <cell r="O1492">
            <v>0</v>
          </cell>
        </row>
        <row r="1493">
          <cell r="O1493">
            <v>0</v>
          </cell>
        </row>
        <row r="1494">
          <cell r="O1494">
            <v>0</v>
          </cell>
        </row>
        <row r="1495">
          <cell r="O1495">
            <v>0</v>
          </cell>
        </row>
        <row r="1496">
          <cell r="O1496">
            <v>0</v>
          </cell>
        </row>
        <row r="1497">
          <cell r="O1497">
            <v>0</v>
          </cell>
        </row>
        <row r="1498">
          <cell r="O1498">
            <v>0</v>
          </cell>
        </row>
        <row r="1499">
          <cell r="O1499">
            <v>0</v>
          </cell>
        </row>
        <row r="1500">
          <cell r="O1500">
            <v>0</v>
          </cell>
        </row>
        <row r="1501">
          <cell r="O1501">
            <v>0</v>
          </cell>
        </row>
        <row r="1502">
          <cell r="O1502">
            <v>0</v>
          </cell>
        </row>
        <row r="1503">
          <cell r="O1503">
            <v>0</v>
          </cell>
        </row>
        <row r="1504">
          <cell r="O1504">
            <v>0</v>
          </cell>
        </row>
        <row r="1505">
          <cell r="O1505">
            <v>0</v>
          </cell>
        </row>
        <row r="1506">
          <cell r="O1506">
            <v>0</v>
          </cell>
        </row>
        <row r="1507">
          <cell r="O1507">
            <v>0</v>
          </cell>
        </row>
        <row r="1508">
          <cell r="O1508">
            <v>0</v>
          </cell>
        </row>
        <row r="1509">
          <cell r="O1509">
            <v>0</v>
          </cell>
        </row>
        <row r="1510">
          <cell r="O1510">
            <v>0</v>
          </cell>
        </row>
        <row r="1511">
          <cell r="O1511">
            <v>0</v>
          </cell>
        </row>
        <row r="1512">
          <cell r="O1512">
            <v>0</v>
          </cell>
        </row>
        <row r="1513">
          <cell r="O1513">
            <v>0</v>
          </cell>
        </row>
        <row r="1514">
          <cell r="O1514">
            <v>0</v>
          </cell>
        </row>
        <row r="1515">
          <cell r="O1515">
            <v>0</v>
          </cell>
        </row>
        <row r="1516">
          <cell r="O1516">
            <v>0</v>
          </cell>
        </row>
        <row r="1517">
          <cell r="O1517">
            <v>0</v>
          </cell>
        </row>
        <row r="1518">
          <cell r="O1518">
            <v>0</v>
          </cell>
        </row>
        <row r="1519">
          <cell r="O1519">
            <v>0</v>
          </cell>
        </row>
        <row r="1520">
          <cell r="O1520">
            <v>0</v>
          </cell>
        </row>
        <row r="1521">
          <cell r="O1521">
            <v>0</v>
          </cell>
        </row>
        <row r="1522">
          <cell r="O1522">
            <v>0</v>
          </cell>
        </row>
        <row r="1523">
          <cell r="O1523">
            <v>0</v>
          </cell>
        </row>
        <row r="1524">
          <cell r="O1524">
            <v>0</v>
          </cell>
        </row>
        <row r="1525">
          <cell r="O1525">
            <v>0</v>
          </cell>
        </row>
        <row r="1526">
          <cell r="O1526">
            <v>0</v>
          </cell>
        </row>
        <row r="1527">
          <cell r="O1527">
            <v>0</v>
          </cell>
        </row>
        <row r="1528">
          <cell r="O1528">
            <v>0</v>
          </cell>
        </row>
        <row r="1529">
          <cell r="O1529">
            <v>0</v>
          </cell>
        </row>
        <row r="1530">
          <cell r="O1530">
            <v>0</v>
          </cell>
        </row>
        <row r="1531">
          <cell r="O1531">
            <v>0</v>
          </cell>
        </row>
        <row r="1532">
          <cell r="O1532">
            <v>0</v>
          </cell>
        </row>
        <row r="1533">
          <cell r="O1533">
            <v>0</v>
          </cell>
        </row>
        <row r="1534">
          <cell r="O1534">
            <v>0</v>
          </cell>
        </row>
        <row r="1535">
          <cell r="O1535">
            <v>0</v>
          </cell>
        </row>
        <row r="1536">
          <cell r="O1536">
            <v>0</v>
          </cell>
        </row>
        <row r="1537">
          <cell r="O1537">
            <v>0</v>
          </cell>
        </row>
        <row r="1538">
          <cell r="O1538">
            <v>0</v>
          </cell>
        </row>
        <row r="1539">
          <cell r="O1539">
            <v>0</v>
          </cell>
        </row>
        <row r="1540">
          <cell r="O1540">
            <v>0</v>
          </cell>
        </row>
        <row r="1541">
          <cell r="O1541">
            <v>0</v>
          </cell>
        </row>
        <row r="1542">
          <cell r="O1542">
            <v>0</v>
          </cell>
        </row>
        <row r="1543">
          <cell r="O1543">
            <v>0</v>
          </cell>
        </row>
        <row r="1544">
          <cell r="O1544">
            <v>0</v>
          </cell>
        </row>
        <row r="1545">
          <cell r="O1545">
            <v>0</v>
          </cell>
        </row>
        <row r="1546">
          <cell r="O1546">
            <v>0</v>
          </cell>
        </row>
        <row r="1547">
          <cell r="O1547">
            <v>0</v>
          </cell>
        </row>
        <row r="1548">
          <cell r="O1548">
            <v>0</v>
          </cell>
        </row>
        <row r="1549">
          <cell r="O1549">
            <v>0</v>
          </cell>
        </row>
        <row r="1550">
          <cell r="O1550">
            <v>0</v>
          </cell>
        </row>
        <row r="1551">
          <cell r="O1551">
            <v>0</v>
          </cell>
        </row>
        <row r="1552">
          <cell r="O1552">
            <v>0</v>
          </cell>
        </row>
        <row r="1553">
          <cell r="O1553">
            <v>0</v>
          </cell>
        </row>
        <row r="1554">
          <cell r="O1554">
            <v>0</v>
          </cell>
        </row>
        <row r="1555">
          <cell r="O1555">
            <v>0</v>
          </cell>
        </row>
        <row r="1556">
          <cell r="O1556">
            <v>0</v>
          </cell>
        </row>
        <row r="1557">
          <cell r="O1557">
            <v>0</v>
          </cell>
        </row>
        <row r="1558">
          <cell r="O1558">
            <v>0</v>
          </cell>
        </row>
        <row r="1559">
          <cell r="O1559">
            <v>0</v>
          </cell>
        </row>
        <row r="1560">
          <cell r="O1560">
            <v>0</v>
          </cell>
        </row>
        <row r="1561">
          <cell r="O1561">
            <v>0</v>
          </cell>
        </row>
        <row r="1562">
          <cell r="O1562">
            <v>0</v>
          </cell>
        </row>
        <row r="1563">
          <cell r="O1563">
            <v>0</v>
          </cell>
        </row>
        <row r="1564">
          <cell r="O1564">
            <v>0</v>
          </cell>
        </row>
        <row r="1565">
          <cell r="O1565">
            <v>0</v>
          </cell>
        </row>
        <row r="1566">
          <cell r="O1566">
            <v>0</v>
          </cell>
        </row>
        <row r="1567">
          <cell r="O1567">
            <v>0</v>
          </cell>
        </row>
        <row r="1568">
          <cell r="O1568">
            <v>0</v>
          </cell>
        </row>
        <row r="1569">
          <cell r="O1569">
            <v>0</v>
          </cell>
        </row>
        <row r="1570">
          <cell r="O1570">
            <v>0</v>
          </cell>
        </row>
        <row r="1571">
          <cell r="O1571">
            <v>0</v>
          </cell>
        </row>
        <row r="1572">
          <cell r="O1572">
            <v>0</v>
          </cell>
        </row>
        <row r="1573">
          <cell r="O1573">
            <v>0</v>
          </cell>
        </row>
        <row r="1574">
          <cell r="O1574">
            <v>0</v>
          </cell>
        </row>
        <row r="1575">
          <cell r="O1575">
            <v>0</v>
          </cell>
        </row>
        <row r="1576">
          <cell r="O1576">
            <v>0</v>
          </cell>
        </row>
        <row r="1577">
          <cell r="O1577">
            <v>0</v>
          </cell>
        </row>
        <row r="1578">
          <cell r="O1578">
            <v>0</v>
          </cell>
        </row>
        <row r="1579">
          <cell r="O1579">
            <v>0</v>
          </cell>
        </row>
        <row r="1580">
          <cell r="O1580">
            <v>0</v>
          </cell>
        </row>
        <row r="1581">
          <cell r="O1581">
            <v>0</v>
          </cell>
        </row>
        <row r="1582">
          <cell r="O1582">
            <v>0</v>
          </cell>
        </row>
        <row r="1583">
          <cell r="O1583">
            <v>0</v>
          </cell>
        </row>
        <row r="1584">
          <cell r="O1584">
            <v>0</v>
          </cell>
        </row>
        <row r="1585">
          <cell r="O1585">
            <v>0</v>
          </cell>
        </row>
        <row r="1586">
          <cell r="O1586">
            <v>0</v>
          </cell>
        </row>
        <row r="1587">
          <cell r="O1587">
            <v>0</v>
          </cell>
        </row>
        <row r="1588">
          <cell r="O1588">
            <v>0</v>
          </cell>
        </row>
        <row r="1589">
          <cell r="O1589">
            <v>0</v>
          </cell>
        </row>
        <row r="1590">
          <cell r="O1590">
            <v>0</v>
          </cell>
        </row>
        <row r="1591">
          <cell r="O1591">
            <v>0</v>
          </cell>
        </row>
        <row r="1592">
          <cell r="O1592">
            <v>0</v>
          </cell>
        </row>
        <row r="1593">
          <cell r="O1593">
            <v>0</v>
          </cell>
        </row>
        <row r="1594">
          <cell r="O1594">
            <v>0</v>
          </cell>
        </row>
        <row r="1595">
          <cell r="O1595">
            <v>0</v>
          </cell>
        </row>
        <row r="1596">
          <cell r="O1596">
            <v>0</v>
          </cell>
        </row>
        <row r="1597">
          <cell r="O1597">
            <v>0</v>
          </cell>
        </row>
        <row r="1598">
          <cell r="O1598">
            <v>0</v>
          </cell>
        </row>
        <row r="1599">
          <cell r="O1599">
            <v>0</v>
          </cell>
        </row>
        <row r="1600">
          <cell r="O1600">
            <v>0</v>
          </cell>
        </row>
        <row r="1601">
          <cell r="O1601">
            <v>0</v>
          </cell>
        </row>
        <row r="1602">
          <cell r="O1602">
            <v>0</v>
          </cell>
        </row>
        <row r="1603">
          <cell r="O1603">
            <v>0</v>
          </cell>
        </row>
        <row r="1604">
          <cell r="O1604">
            <v>0</v>
          </cell>
        </row>
        <row r="1605">
          <cell r="O1605">
            <v>0</v>
          </cell>
        </row>
        <row r="1606">
          <cell r="O1606">
            <v>0</v>
          </cell>
        </row>
        <row r="1607">
          <cell r="O1607">
            <v>0</v>
          </cell>
        </row>
        <row r="1608">
          <cell r="O1608">
            <v>0</v>
          </cell>
        </row>
        <row r="1609">
          <cell r="O1609">
            <v>0</v>
          </cell>
        </row>
        <row r="1610">
          <cell r="O1610">
            <v>0</v>
          </cell>
        </row>
        <row r="1611">
          <cell r="O1611">
            <v>0</v>
          </cell>
        </row>
        <row r="1612">
          <cell r="O1612">
            <v>0</v>
          </cell>
        </row>
        <row r="1613">
          <cell r="O1613">
            <v>0</v>
          </cell>
        </row>
        <row r="1614">
          <cell r="O1614">
            <v>0</v>
          </cell>
        </row>
        <row r="1615">
          <cell r="O1615">
            <v>0</v>
          </cell>
        </row>
        <row r="1616">
          <cell r="O1616">
            <v>0</v>
          </cell>
        </row>
        <row r="1617">
          <cell r="O1617">
            <v>0</v>
          </cell>
        </row>
        <row r="1618">
          <cell r="O1618">
            <v>0</v>
          </cell>
        </row>
        <row r="1619">
          <cell r="O1619">
            <v>0</v>
          </cell>
        </row>
        <row r="1620">
          <cell r="O1620">
            <v>0</v>
          </cell>
        </row>
        <row r="1621">
          <cell r="O1621">
            <v>0</v>
          </cell>
        </row>
        <row r="1622">
          <cell r="O1622">
            <v>0</v>
          </cell>
        </row>
        <row r="1623">
          <cell r="O1623">
            <v>0</v>
          </cell>
        </row>
        <row r="1624">
          <cell r="O1624">
            <v>0</v>
          </cell>
        </row>
        <row r="1625">
          <cell r="O1625">
            <v>0</v>
          </cell>
        </row>
        <row r="1626">
          <cell r="O1626">
            <v>0</v>
          </cell>
        </row>
        <row r="1627">
          <cell r="O1627">
            <v>0</v>
          </cell>
        </row>
        <row r="1628">
          <cell r="O1628">
            <v>0</v>
          </cell>
        </row>
        <row r="1629">
          <cell r="O1629">
            <v>0</v>
          </cell>
        </row>
        <row r="1630">
          <cell r="O1630">
            <v>0</v>
          </cell>
        </row>
        <row r="1631">
          <cell r="O1631">
            <v>0</v>
          </cell>
        </row>
        <row r="1632">
          <cell r="O1632">
            <v>0</v>
          </cell>
        </row>
        <row r="1633">
          <cell r="O1633">
            <v>0</v>
          </cell>
        </row>
        <row r="1634">
          <cell r="O1634">
            <v>0</v>
          </cell>
        </row>
        <row r="1635">
          <cell r="O1635">
            <v>0</v>
          </cell>
        </row>
        <row r="1636">
          <cell r="O1636">
            <v>0</v>
          </cell>
        </row>
        <row r="1637">
          <cell r="O1637">
            <v>0</v>
          </cell>
        </row>
        <row r="1638">
          <cell r="O1638">
            <v>0</v>
          </cell>
        </row>
        <row r="1639">
          <cell r="O1639">
            <v>0</v>
          </cell>
        </row>
        <row r="1640">
          <cell r="O1640">
            <v>0</v>
          </cell>
        </row>
        <row r="1641">
          <cell r="O1641">
            <v>0</v>
          </cell>
        </row>
        <row r="1642">
          <cell r="O1642">
            <v>0</v>
          </cell>
        </row>
        <row r="1643">
          <cell r="O1643">
            <v>0</v>
          </cell>
        </row>
        <row r="1644">
          <cell r="O1644">
            <v>0</v>
          </cell>
        </row>
        <row r="1645">
          <cell r="O1645">
            <v>0</v>
          </cell>
        </row>
        <row r="1646">
          <cell r="O1646">
            <v>0</v>
          </cell>
        </row>
        <row r="1647">
          <cell r="O1647">
            <v>0</v>
          </cell>
        </row>
        <row r="1648">
          <cell r="O1648">
            <v>0</v>
          </cell>
        </row>
        <row r="1649">
          <cell r="O1649">
            <v>0</v>
          </cell>
        </row>
        <row r="1650">
          <cell r="O1650">
            <v>0</v>
          </cell>
        </row>
        <row r="1651">
          <cell r="O1651">
            <v>0</v>
          </cell>
        </row>
        <row r="1652">
          <cell r="O1652">
            <v>0</v>
          </cell>
        </row>
        <row r="1653">
          <cell r="O1653">
            <v>0</v>
          </cell>
        </row>
        <row r="1654">
          <cell r="O1654">
            <v>0</v>
          </cell>
        </row>
        <row r="1655">
          <cell r="O1655">
            <v>0</v>
          </cell>
        </row>
        <row r="1656">
          <cell r="O1656">
            <v>0</v>
          </cell>
        </row>
        <row r="1657">
          <cell r="O1657">
            <v>0</v>
          </cell>
        </row>
        <row r="1658">
          <cell r="O1658">
            <v>0</v>
          </cell>
        </row>
        <row r="1659">
          <cell r="O1659">
            <v>0</v>
          </cell>
        </row>
        <row r="1660">
          <cell r="O1660">
            <v>0</v>
          </cell>
        </row>
        <row r="1661">
          <cell r="O1661">
            <v>0</v>
          </cell>
        </row>
        <row r="1662">
          <cell r="O1662">
            <v>0</v>
          </cell>
        </row>
        <row r="1663">
          <cell r="O1663">
            <v>0</v>
          </cell>
        </row>
        <row r="1664">
          <cell r="O1664">
            <v>0</v>
          </cell>
        </row>
        <row r="1665">
          <cell r="O1665">
            <v>0</v>
          </cell>
        </row>
        <row r="1666">
          <cell r="O1666">
            <v>0</v>
          </cell>
        </row>
        <row r="1667">
          <cell r="O1667">
            <v>0</v>
          </cell>
        </row>
        <row r="1668">
          <cell r="O1668">
            <v>0</v>
          </cell>
        </row>
        <row r="1669">
          <cell r="O1669">
            <v>0</v>
          </cell>
        </row>
        <row r="1670">
          <cell r="O1670">
            <v>0</v>
          </cell>
        </row>
        <row r="1671">
          <cell r="O1671">
            <v>0</v>
          </cell>
        </row>
        <row r="1672">
          <cell r="O1672">
            <v>0</v>
          </cell>
        </row>
        <row r="1673">
          <cell r="O1673">
            <v>0</v>
          </cell>
        </row>
        <row r="1674">
          <cell r="O1674">
            <v>0</v>
          </cell>
        </row>
        <row r="1675">
          <cell r="O1675">
            <v>0</v>
          </cell>
        </row>
        <row r="1676">
          <cell r="O1676">
            <v>0</v>
          </cell>
        </row>
        <row r="1677">
          <cell r="O1677">
            <v>0</v>
          </cell>
        </row>
        <row r="1678">
          <cell r="O1678">
            <v>0</v>
          </cell>
        </row>
        <row r="1679">
          <cell r="O1679">
            <v>0</v>
          </cell>
        </row>
        <row r="1680">
          <cell r="O1680">
            <v>0</v>
          </cell>
        </row>
        <row r="1681">
          <cell r="O1681">
            <v>0</v>
          </cell>
        </row>
        <row r="1682">
          <cell r="O1682">
            <v>0</v>
          </cell>
        </row>
        <row r="1683">
          <cell r="O1683">
            <v>0</v>
          </cell>
        </row>
        <row r="1684">
          <cell r="O1684">
            <v>0</v>
          </cell>
        </row>
        <row r="1685">
          <cell r="O1685">
            <v>0</v>
          </cell>
        </row>
        <row r="1686">
          <cell r="O1686">
            <v>0</v>
          </cell>
        </row>
        <row r="1687">
          <cell r="O1687">
            <v>0</v>
          </cell>
        </row>
        <row r="1688">
          <cell r="O1688">
            <v>0</v>
          </cell>
        </row>
        <row r="1689">
          <cell r="O1689">
            <v>0</v>
          </cell>
        </row>
        <row r="1690">
          <cell r="O1690">
            <v>0</v>
          </cell>
        </row>
        <row r="1691">
          <cell r="O1691">
            <v>0</v>
          </cell>
        </row>
        <row r="1692">
          <cell r="O1692">
            <v>0</v>
          </cell>
        </row>
        <row r="1693">
          <cell r="O1693">
            <v>0</v>
          </cell>
        </row>
        <row r="1694">
          <cell r="O1694">
            <v>0</v>
          </cell>
        </row>
        <row r="1695">
          <cell r="O1695">
            <v>0</v>
          </cell>
        </row>
        <row r="1696">
          <cell r="O1696">
            <v>0</v>
          </cell>
        </row>
        <row r="1697">
          <cell r="O1697">
            <v>0</v>
          </cell>
        </row>
        <row r="1698">
          <cell r="O1698">
            <v>0</v>
          </cell>
        </row>
        <row r="1699">
          <cell r="O1699">
            <v>0</v>
          </cell>
        </row>
        <row r="1700">
          <cell r="O1700">
            <v>0</v>
          </cell>
        </row>
        <row r="1701">
          <cell r="O1701">
            <v>0</v>
          </cell>
        </row>
        <row r="1702">
          <cell r="O1702">
            <v>0</v>
          </cell>
        </row>
        <row r="1703">
          <cell r="O1703">
            <v>0</v>
          </cell>
        </row>
        <row r="1704">
          <cell r="O1704">
            <v>0</v>
          </cell>
        </row>
        <row r="1705">
          <cell r="O1705">
            <v>0</v>
          </cell>
        </row>
        <row r="1706">
          <cell r="O1706">
            <v>0</v>
          </cell>
        </row>
        <row r="1707">
          <cell r="O1707">
            <v>0</v>
          </cell>
        </row>
        <row r="1708">
          <cell r="O1708">
            <v>0</v>
          </cell>
        </row>
        <row r="1709">
          <cell r="O1709">
            <v>0</v>
          </cell>
        </row>
        <row r="1710">
          <cell r="O1710">
            <v>0</v>
          </cell>
        </row>
        <row r="1711">
          <cell r="O1711">
            <v>0</v>
          </cell>
        </row>
        <row r="1712">
          <cell r="O1712">
            <v>0</v>
          </cell>
        </row>
        <row r="1713">
          <cell r="O1713">
            <v>0</v>
          </cell>
        </row>
        <row r="1714">
          <cell r="O1714">
            <v>0</v>
          </cell>
        </row>
        <row r="1715">
          <cell r="O1715">
            <v>0</v>
          </cell>
        </row>
        <row r="1716">
          <cell r="O1716">
            <v>0</v>
          </cell>
        </row>
        <row r="1717">
          <cell r="O1717">
            <v>0</v>
          </cell>
        </row>
        <row r="1718">
          <cell r="O1718">
            <v>0</v>
          </cell>
        </row>
        <row r="1719">
          <cell r="O1719">
            <v>0</v>
          </cell>
        </row>
        <row r="1720">
          <cell r="O1720">
            <v>0</v>
          </cell>
        </row>
        <row r="1721">
          <cell r="O1721">
            <v>0</v>
          </cell>
        </row>
        <row r="1722">
          <cell r="O1722">
            <v>0</v>
          </cell>
        </row>
        <row r="1723">
          <cell r="O1723">
            <v>0</v>
          </cell>
        </row>
        <row r="1724">
          <cell r="O1724">
            <v>0</v>
          </cell>
        </row>
        <row r="1725">
          <cell r="O1725">
            <v>0</v>
          </cell>
        </row>
        <row r="1726">
          <cell r="O1726">
            <v>0</v>
          </cell>
        </row>
        <row r="1727">
          <cell r="O1727">
            <v>0</v>
          </cell>
        </row>
        <row r="1728">
          <cell r="O1728">
            <v>0</v>
          </cell>
        </row>
        <row r="1729">
          <cell r="O1729">
            <v>0</v>
          </cell>
        </row>
        <row r="1730">
          <cell r="O1730">
            <v>0</v>
          </cell>
        </row>
        <row r="1731">
          <cell r="O1731">
            <v>0</v>
          </cell>
        </row>
        <row r="1732">
          <cell r="O1732">
            <v>0</v>
          </cell>
        </row>
        <row r="1733">
          <cell r="O1733">
            <v>0</v>
          </cell>
        </row>
        <row r="1734">
          <cell r="O1734">
            <v>0</v>
          </cell>
        </row>
        <row r="1735">
          <cell r="O1735">
            <v>0</v>
          </cell>
        </row>
        <row r="1736">
          <cell r="O1736">
            <v>0</v>
          </cell>
        </row>
        <row r="1737">
          <cell r="O1737">
            <v>0</v>
          </cell>
        </row>
        <row r="1738">
          <cell r="O1738">
            <v>0</v>
          </cell>
        </row>
        <row r="1739">
          <cell r="O1739">
            <v>0</v>
          </cell>
        </row>
        <row r="1740">
          <cell r="O1740">
            <v>0</v>
          </cell>
        </row>
        <row r="1741">
          <cell r="O1741">
            <v>0</v>
          </cell>
        </row>
        <row r="1742">
          <cell r="O1742">
            <v>0</v>
          </cell>
        </row>
        <row r="1743">
          <cell r="O1743">
            <v>0</v>
          </cell>
        </row>
        <row r="1744">
          <cell r="O1744">
            <v>0</v>
          </cell>
        </row>
        <row r="1745">
          <cell r="O1745">
            <v>0</v>
          </cell>
        </row>
        <row r="1746">
          <cell r="O1746">
            <v>0</v>
          </cell>
        </row>
        <row r="1747">
          <cell r="O1747">
            <v>0</v>
          </cell>
        </row>
        <row r="1748">
          <cell r="O1748">
            <v>0</v>
          </cell>
        </row>
        <row r="1749">
          <cell r="O1749">
            <v>0</v>
          </cell>
        </row>
        <row r="1750">
          <cell r="O1750">
            <v>0</v>
          </cell>
        </row>
        <row r="1751">
          <cell r="O1751">
            <v>0</v>
          </cell>
        </row>
        <row r="1752">
          <cell r="O1752">
            <v>0</v>
          </cell>
        </row>
        <row r="1753">
          <cell r="O1753">
            <v>0</v>
          </cell>
        </row>
        <row r="1754">
          <cell r="O1754">
            <v>0</v>
          </cell>
        </row>
        <row r="1755">
          <cell r="O1755">
            <v>0</v>
          </cell>
        </row>
        <row r="1756">
          <cell r="O1756">
            <v>0</v>
          </cell>
        </row>
        <row r="1757">
          <cell r="O1757">
            <v>0</v>
          </cell>
        </row>
        <row r="1758">
          <cell r="O1758">
            <v>0</v>
          </cell>
        </row>
        <row r="1759">
          <cell r="O1759">
            <v>0</v>
          </cell>
        </row>
        <row r="1760">
          <cell r="O1760">
            <v>0</v>
          </cell>
        </row>
        <row r="1761">
          <cell r="O1761">
            <v>0</v>
          </cell>
        </row>
        <row r="1762">
          <cell r="O1762">
            <v>0</v>
          </cell>
        </row>
        <row r="1763">
          <cell r="O1763">
            <v>0</v>
          </cell>
        </row>
        <row r="1764">
          <cell r="O1764">
            <v>0</v>
          </cell>
        </row>
        <row r="1765">
          <cell r="O1765">
            <v>0</v>
          </cell>
        </row>
        <row r="1766">
          <cell r="O1766">
            <v>0</v>
          </cell>
        </row>
        <row r="1767">
          <cell r="O1767">
            <v>0</v>
          </cell>
        </row>
        <row r="1768">
          <cell r="O1768">
            <v>0</v>
          </cell>
        </row>
        <row r="1769">
          <cell r="O1769">
            <v>0</v>
          </cell>
        </row>
        <row r="1770">
          <cell r="O1770">
            <v>0</v>
          </cell>
        </row>
        <row r="1771">
          <cell r="O1771">
            <v>0</v>
          </cell>
        </row>
        <row r="1772">
          <cell r="O1772">
            <v>0</v>
          </cell>
        </row>
        <row r="1773">
          <cell r="O1773">
            <v>0</v>
          </cell>
        </row>
        <row r="1774">
          <cell r="O1774">
            <v>0</v>
          </cell>
        </row>
        <row r="1775">
          <cell r="O1775">
            <v>0</v>
          </cell>
        </row>
        <row r="1776">
          <cell r="O1776">
            <v>0</v>
          </cell>
        </row>
        <row r="1777">
          <cell r="O1777">
            <v>0</v>
          </cell>
        </row>
        <row r="1778">
          <cell r="O1778">
            <v>0</v>
          </cell>
        </row>
        <row r="1779">
          <cell r="O1779">
            <v>0</v>
          </cell>
        </row>
        <row r="1780">
          <cell r="O1780">
            <v>0</v>
          </cell>
        </row>
        <row r="1781">
          <cell r="O1781">
            <v>0</v>
          </cell>
        </row>
        <row r="1782">
          <cell r="O1782">
            <v>0</v>
          </cell>
        </row>
        <row r="1783">
          <cell r="O1783">
            <v>0</v>
          </cell>
        </row>
        <row r="1784">
          <cell r="O1784">
            <v>0</v>
          </cell>
        </row>
        <row r="1785">
          <cell r="O1785">
            <v>0</v>
          </cell>
        </row>
        <row r="1786">
          <cell r="O1786">
            <v>0</v>
          </cell>
        </row>
        <row r="1787">
          <cell r="O1787">
            <v>0</v>
          </cell>
        </row>
        <row r="1788">
          <cell r="O1788">
            <v>0</v>
          </cell>
        </row>
        <row r="1789">
          <cell r="O1789">
            <v>0</v>
          </cell>
        </row>
        <row r="1790">
          <cell r="O1790">
            <v>0</v>
          </cell>
        </row>
        <row r="1791">
          <cell r="O1791">
            <v>0</v>
          </cell>
        </row>
        <row r="1792">
          <cell r="O1792">
            <v>0</v>
          </cell>
        </row>
        <row r="1793">
          <cell r="O1793">
            <v>0</v>
          </cell>
        </row>
        <row r="1794">
          <cell r="O1794">
            <v>0</v>
          </cell>
        </row>
        <row r="1795">
          <cell r="O1795">
            <v>0</v>
          </cell>
        </row>
        <row r="1796">
          <cell r="O1796">
            <v>0</v>
          </cell>
        </row>
        <row r="1797">
          <cell r="O1797">
            <v>0</v>
          </cell>
        </row>
        <row r="1798">
          <cell r="O1798">
            <v>0</v>
          </cell>
        </row>
        <row r="1799">
          <cell r="O1799">
            <v>0</v>
          </cell>
        </row>
        <row r="1800">
          <cell r="O1800">
            <v>0</v>
          </cell>
        </row>
        <row r="1801">
          <cell r="O1801">
            <v>0</v>
          </cell>
        </row>
        <row r="1802">
          <cell r="O1802">
            <v>0</v>
          </cell>
        </row>
        <row r="1803">
          <cell r="O1803">
            <v>0</v>
          </cell>
        </row>
        <row r="1804">
          <cell r="O1804">
            <v>0</v>
          </cell>
        </row>
        <row r="1805">
          <cell r="O1805">
            <v>0</v>
          </cell>
        </row>
        <row r="1806">
          <cell r="O1806">
            <v>0</v>
          </cell>
        </row>
        <row r="1807">
          <cell r="O1807">
            <v>0</v>
          </cell>
        </row>
        <row r="1808">
          <cell r="O1808">
            <v>0</v>
          </cell>
        </row>
        <row r="1809">
          <cell r="O1809">
            <v>0</v>
          </cell>
        </row>
        <row r="1810">
          <cell r="O1810">
            <v>0</v>
          </cell>
        </row>
        <row r="1811">
          <cell r="O1811">
            <v>0</v>
          </cell>
        </row>
        <row r="1812">
          <cell r="O1812">
            <v>0</v>
          </cell>
        </row>
        <row r="1813">
          <cell r="O1813">
            <v>0</v>
          </cell>
        </row>
        <row r="1814">
          <cell r="O1814">
            <v>0</v>
          </cell>
        </row>
        <row r="1815">
          <cell r="O1815">
            <v>0</v>
          </cell>
        </row>
        <row r="1816">
          <cell r="O1816">
            <v>0</v>
          </cell>
        </row>
        <row r="1817">
          <cell r="O1817">
            <v>0</v>
          </cell>
        </row>
        <row r="1818">
          <cell r="O1818">
            <v>0</v>
          </cell>
        </row>
        <row r="1819">
          <cell r="O1819">
            <v>0</v>
          </cell>
        </row>
        <row r="1820">
          <cell r="O1820">
            <v>0</v>
          </cell>
        </row>
        <row r="1821">
          <cell r="O1821">
            <v>0</v>
          </cell>
        </row>
        <row r="1822">
          <cell r="O1822">
            <v>0</v>
          </cell>
        </row>
        <row r="1823">
          <cell r="O1823">
            <v>0</v>
          </cell>
        </row>
        <row r="1824">
          <cell r="O1824">
            <v>0</v>
          </cell>
        </row>
        <row r="1825">
          <cell r="O1825">
            <v>0</v>
          </cell>
        </row>
        <row r="1826">
          <cell r="O1826">
            <v>0</v>
          </cell>
        </row>
        <row r="1827">
          <cell r="O1827">
            <v>0</v>
          </cell>
        </row>
        <row r="1828">
          <cell r="O1828">
            <v>0</v>
          </cell>
        </row>
        <row r="1829">
          <cell r="O1829">
            <v>0</v>
          </cell>
        </row>
        <row r="1830">
          <cell r="O1830">
            <v>0</v>
          </cell>
        </row>
        <row r="1831">
          <cell r="O1831">
            <v>0</v>
          </cell>
        </row>
        <row r="1832">
          <cell r="O1832">
            <v>0</v>
          </cell>
        </row>
        <row r="1833">
          <cell r="O1833">
            <v>0</v>
          </cell>
        </row>
        <row r="1834">
          <cell r="O1834">
            <v>0</v>
          </cell>
        </row>
        <row r="1835">
          <cell r="O1835">
            <v>0</v>
          </cell>
        </row>
        <row r="1836">
          <cell r="O1836">
            <v>0</v>
          </cell>
        </row>
        <row r="1837">
          <cell r="O1837">
            <v>0</v>
          </cell>
        </row>
        <row r="1838">
          <cell r="O1838">
            <v>0</v>
          </cell>
        </row>
        <row r="1839">
          <cell r="O1839">
            <v>0</v>
          </cell>
        </row>
        <row r="1840">
          <cell r="O1840">
            <v>0</v>
          </cell>
        </row>
        <row r="1841">
          <cell r="O1841">
            <v>0</v>
          </cell>
        </row>
        <row r="1842">
          <cell r="O1842">
            <v>0</v>
          </cell>
        </row>
        <row r="1843">
          <cell r="O1843">
            <v>0</v>
          </cell>
        </row>
        <row r="1844">
          <cell r="O1844">
            <v>0</v>
          </cell>
        </row>
        <row r="1845">
          <cell r="O1845">
            <v>0</v>
          </cell>
        </row>
        <row r="1846">
          <cell r="O1846">
            <v>0</v>
          </cell>
        </row>
        <row r="1847">
          <cell r="O1847">
            <v>0</v>
          </cell>
        </row>
        <row r="1848">
          <cell r="O1848">
            <v>0</v>
          </cell>
        </row>
        <row r="1849">
          <cell r="O1849">
            <v>0</v>
          </cell>
        </row>
        <row r="1850">
          <cell r="O1850">
            <v>0</v>
          </cell>
        </row>
        <row r="1851">
          <cell r="O1851">
            <v>0</v>
          </cell>
        </row>
        <row r="1852">
          <cell r="O1852">
            <v>0</v>
          </cell>
        </row>
        <row r="1853">
          <cell r="O1853">
            <v>0</v>
          </cell>
        </row>
        <row r="1854">
          <cell r="O1854">
            <v>0</v>
          </cell>
        </row>
        <row r="1855">
          <cell r="O1855">
            <v>0</v>
          </cell>
        </row>
        <row r="1856">
          <cell r="O1856">
            <v>0</v>
          </cell>
        </row>
        <row r="1857">
          <cell r="O1857">
            <v>0</v>
          </cell>
        </row>
        <row r="1858">
          <cell r="O1858">
            <v>0</v>
          </cell>
        </row>
        <row r="1859">
          <cell r="O1859">
            <v>0</v>
          </cell>
        </row>
        <row r="1860">
          <cell r="O1860">
            <v>0</v>
          </cell>
        </row>
        <row r="1861">
          <cell r="O1861">
            <v>0</v>
          </cell>
        </row>
        <row r="1862">
          <cell r="O1862">
            <v>0</v>
          </cell>
        </row>
        <row r="1863">
          <cell r="O1863">
            <v>0</v>
          </cell>
        </row>
        <row r="1864">
          <cell r="O1864">
            <v>0</v>
          </cell>
        </row>
        <row r="1865">
          <cell r="O1865">
            <v>0</v>
          </cell>
        </row>
        <row r="1866">
          <cell r="O1866">
            <v>0</v>
          </cell>
        </row>
        <row r="1867">
          <cell r="O1867">
            <v>0</v>
          </cell>
        </row>
        <row r="1868">
          <cell r="O1868">
            <v>0</v>
          </cell>
        </row>
        <row r="1869">
          <cell r="O1869">
            <v>0</v>
          </cell>
        </row>
        <row r="1870">
          <cell r="O1870">
            <v>0</v>
          </cell>
        </row>
        <row r="1871">
          <cell r="O1871">
            <v>0</v>
          </cell>
        </row>
        <row r="1872">
          <cell r="O1872">
            <v>0</v>
          </cell>
        </row>
        <row r="1873">
          <cell r="O1873">
            <v>0</v>
          </cell>
        </row>
        <row r="1874">
          <cell r="O1874">
            <v>0</v>
          </cell>
        </row>
        <row r="1875">
          <cell r="O1875">
            <v>0</v>
          </cell>
        </row>
        <row r="1876">
          <cell r="O1876">
            <v>0</v>
          </cell>
        </row>
        <row r="1877">
          <cell r="O1877">
            <v>0</v>
          </cell>
        </row>
        <row r="1878">
          <cell r="O1878">
            <v>0</v>
          </cell>
        </row>
        <row r="1879">
          <cell r="O1879">
            <v>0</v>
          </cell>
        </row>
        <row r="1880">
          <cell r="O1880">
            <v>0</v>
          </cell>
        </row>
        <row r="1881">
          <cell r="O1881">
            <v>0</v>
          </cell>
        </row>
        <row r="1882">
          <cell r="O1882">
            <v>0</v>
          </cell>
        </row>
        <row r="1883">
          <cell r="O1883">
            <v>0</v>
          </cell>
        </row>
        <row r="1884">
          <cell r="O1884">
            <v>0</v>
          </cell>
        </row>
        <row r="1885">
          <cell r="O1885">
            <v>0</v>
          </cell>
        </row>
        <row r="1886">
          <cell r="O1886">
            <v>0</v>
          </cell>
        </row>
        <row r="1887">
          <cell r="O1887">
            <v>0</v>
          </cell>
        </row>
        <row r="1888">
          <cell r="O1888">
            <v>0</v>
          </cell>
        </row>
        <row r="1889">
          <cell r="O1889">
            <v>0</v>
          </cell>
        </row>
        <row r="1890">
          <cell r="O1890">
            <v>0</v>
          </cell>
        </row>
        <row r="1891">
          <cell r="O1891">
            <v>0</v>
          </cell>
        </row>
        <row r="1892">
          <cell r="O1892">
            <v>0</v>
          </cell>
        </row>
        <row r="1893">
          <cell r="O1893">
            <v>0</v>
          </cell>
        </row>
        <row r="1894">
          <cell r="O1894">
            <v>0</v>
          </cell>
        </row>
        <row r="1895">
          <cell r="O1895">
            <v>0</v>
          </cell>
        </row>
        <row r="1896">
          <cell r="O1896">
            <v>0</v>
          </cell>
        </row>
        <row r="1897">
          <cell r="O1897">
            <v>0</v>
          </cell>
        </row>
        <row r="1898">
          <cell r="O1898">
            <v>0</v>
          </cell>
        </row>
        <row r="1899">
          <cell r="O1899">
            <v>0</v>
          </cell>
        </row>
        <row r="1900">
          <cell r="O1900">
            <v>0</v>
          </cell>
        </row>
        <row r="1901">
          <cell r="O1901">
            <v>0</v>
          </cell>
        </row>
        <row r="1902">
          <cell r="O1902">
            <v>0</v>
          </cell>
        </row>
        <row r="1903">
          <cell r="O1903">
            <v>0</v>
          </cell>
        </row>
        <row r="1904">
          <cell r="O1904">
            <v>0</v>
          </cell>
        </row>
        <row r="1905">
          <cell r="O1905">
            <v>0</v>
          </cell>
        </row>
        <row r="1906">
          <cell r="O1906">
            <v>0</v>
          </cell>
        </row>
        <row r="1907">
          <cell r="O1907">
            <v>0</v>
          </cell>
        </row>
        <row r="1908">
          <cell r="O1908">
            <v>0</v>
          </cell>
        </row>
        <row r="1909">
          <cell r="O1909">
            <v>0</v>
          </cell>
        </row>
        <row r="1910">
          <cell r="O1910">
            <v>0</v>
          </cell>
        </row>
        <row r="1911">
          <cell r="O1911">
            <v>0</v>
          </cell>
        </row>
        <row r="1912">
          <cell r="O1912">
            <v>0</v>
          </cell>
        </row>
        <row r="1913">
          <cell r="O1913">
            <v>0</v>
          </cell>
        </row>
        <row r="1914">
          <cell r="O1914">
            <v>0</v>
          </cell>
        </row>
        <row r="1915">
          <cell r="O1915">
            <v>0</v>
          </cell>
        </row>
        <row r="1916">
          <cell r="O1916">
            <v>0</v>
          </cell>
        </row>
        <row r="1917">
          <cell r="O1917">
            <v>0</v>
          </cell>
        </row>
        <row r="1918">
          <cell r="O1918">
            <v>0</v>
          </cell>
        </row>
        <row r="1919">
          <cell r="O1919">
            <v>0</v>
          </cell>
        </row>
        <row r="1920">
          <cell r="O1920">
            <v>0</v>
          </cell>
        </row>
        <row r="1921">
          <cell r="O1921">
            <v>0</v>
          </cell>
        </row>
        <row r="1922">
          <cell r="O1922">
            <v>0</v>
          </cell>
        </row>
        <row r="1923">
          <cell r="O1923">
            <v>0</v>
          </cell>
        </row>
        <row r="1924">
          <cell r="O1924">
            <v>0</v>
          </cell>
        </row>
        <row r="1925">
          <cell r="O1925">
            <v>0</v>
          </cell>
        </row>
        <row r="1926">
          <cell r="O1926">
            <v>0</v>
          </cell>
        </row>
        <row r="1927">
          <cell r="O1927">
            <v>0</v>
          </cell>
        </row>
        <row r="1928">
          <cell r="O1928">
            <v>0</v>
          </cell>
        </row>
        <row r="1929">
          <cell r="O1929">
            <v>0</v>
          </cell>
        </row>
        <row r="1930">
          <cell r="O1930">
            <v>0</v>
          </cell>
        </row>
        <row r="1931">
          <cell r="O1931">
            <v>0</v>
          </cell>
        </row>
        <row r="1932">
          <cell r="O1932">
            <v>0</v>
          </cell>
        </row>
        <row r="1933">
          <cell r="O1933">
            <v>0</v>
          </cell>
        </row>
        <row r="1934">
          <cell r="O1934">
            <v>0</v>
          </cell>
        </row>
        <row r="1935">
          <cell r="O1935">
            <v>0</v>
          </cell>
        </row>
        <row r="1936">
          <cell r="O1936">
            <v>0</v>
          </cell>
        </row>
        <row r="1937">
          <cell r="O1937">
            <v>0</v>
          </cell>
        </row>
        <row r="1938">
          <cell r="O1938">
            <v>0</v>
          </cell>
        </row>
        <row r="1939">
          <cell r="O1939">
            <v>0</v>
          </cell>
        </row>
        <row r="1940">
          <cell r="O1940">
            <v>0</v>
          </cell>
        </row>
        <row r="1941">
          <cell r="O1941">
            <v>0</v>
          </cell>
        </row>
        <row r="1942">
          <cell r="O1942">
            <v>0</v>
          </cell>
        </row>
        <row r="1943">
          <cell r="O1943">
            <v>0</v>
          </cell>
        </row>
        <row r="1944">
          <cell r="O1944">
            <v>0</v>
          </cell>
        </row>
        <row r="1945">
          <cell r="O1945">
            <v>0</v>
          </cell>
        </row>
        <row r="1946">
          <cell r="O1946">
            <v>0</v>
          </cell>
        </row>
        <row r="1947">
          <cell r="O1947">
            <v>0</v>
          </cell>
        </row>
        <row r="1948">
          <cell r="O1948">
            <v>0</v>
          </cell>
        </row>
        <row r="1949">
          <cell r="O1949">
            <v>0</v>
          </cell>
        </row>
        <row r="1950">
          <cell r="O1950">
            <v>0</v>
          </cell>
        </row>
        <row r="1951">
          <cell r="O1951">
            <v>0</v>
          </cell>
        </row>
        <row r="1952">
          <cell r="O1952">
            <v>0</v>
          </cell>
        </row>
        <row r="1953">
          <cell r="O1953">
            <v>0</v>
          </cell>
        </row>
        <row r="1954">
          <cell r="O1954">
            <v>0</v>
          </cell>
        </row>
        <row r="1955">
          <cell r="O1955">
            <v>0</v>
          </cell>
        </row>
        <row r="1956">
          <cell r="O1956">
            <v>0</v>
          </cell>
        </row>
        <row r="1957">
          <cell r="O1957">
            <v>0</v>
          </cell>
        </row>
        <row r="1958">
          <cell r="O1958">
            <v>0</v>
          </cell>
        </row>
        <row r="1959">
          <cell r="O1959">
            <v>0</v>
          </cell>
        </row>
        <row r="1960">
          <cell r="O1960">
            <v>0</v>
          </cell>
        </row>
        <row r="1961">
          <cell r="O1961">
            <v>0</v>
          </cell>
        </row>
        <row r="1962">
          <cell r="O1962">
            <v>0</v>
          </cell>
        </row>
        <row r="1963">
          <cell r="O1963">
            <v>0</v>
          </cell>
        </row>
        <row r="1964">
          <cell r="O1964">
            <v>0</v>
          </cell>
        </row>
        <row r="1965">
          <cell r="O1965">
            <v>0</v>
          </cell>
        </row>
        <row r="1966">
          <cell r="O1966">
            <v>0</v>
          </cell>
        </row>
        <row r="1967">
          <cell r="O1967">
            <v>0</v>
          </cell>
        </row>
        <row r="1968">
          <cell r="O1968">
            <v>0</v>
          </cell>
        </row>
        <row r="1969">
          <cell r="O1969">
            <v>0</v>
          </cell>
        </row>
        <row r="1970">
          <cell r="O1970">
            <v>0</v>
          </cell>
        </row>
        <row r="1971">
          <cell r="O1971">
            <v>0</v>
          </cell>
        </row>
        <row r="1972">
          <cell r="O1972">
            <v>0</v>
          </cell>
        </row>
        <row r="1973">
          <cell r="O1973">
            <v>0</v>
          </cell>
        </row>
        <row r="1974">
          <cell r="O1974">
            <v>0</v>
          </cell>
        </row>
        <row r="1975">
          <cell r="O1975">
            <v>0</v>
          </cell>
        </row>
        <row r="1976">
          <cell r="O1976">
            <v>0</v>
          </cell>
        </row>
        <row r="1977">
          <cell r="O1977">
            <v>0</v>
          </cell>
        </row>
        <row r="1978">
          <cell r="O1978">
            <v>0</v>
          </cell>
        </row>
        <row r="1979">
          <cell r="O1979">
            <v>0</v>
          </cell>
        </row>
        <row r="1980">
          <cell r="O1980">
            <v>0</v>
          </cell>
        </row>
        <row r="1981">
          <cell r="O1981">
            <v>0</v>
          </cell>
        </row>
        <row r="1982">
          <cell r="O1982">
            <v>0</v>
          </cell>
        </row>
        <row r="1983">
          <cell r="O1983">
            <v>0</v>
          </cell>
        </row>
        <row r="1984">
          <cell r="O1984">
            <v>0</v>
          </cell>
        </row>
        <row r="1985">
          <cell r="O1985">
            <v>0</v>
          </cell>
        </row>
        <row r="1986">
          <cell r="O1986">
            <v>0</v>
          </cell>
        </row>
        <row r="1987">
          <cell r="O1987">
            <v>0</v>
          </cell>
        </row>
        <row r="1988">
          <cell r="O1988">
            <v>0</v>
          </cell>
        </row>
        <row r="1989">
          <cell r="O1989">
            <v>0</v>
          </cell>
        </row>
        <row r="1990">
          <cell r="O1990">
            <v>0</v>
          </cell>
        </row>
        <row r="1991">
          <cell r="O1991">
            <v>0</v>
          </cell>
        </row>
        <row r="1992">
          <cell r="O1992">
            <v>0</v>
          </cell>
        </row>
        <row r="1993">
          <cell r="O1993">
            <v>0</v>
          </cell>
        </row>
        <row r="1994">
          <cell r="O1994">
            <v>0</v>
          </cell>
        </row>
        <row r="1995">
          <cell r="O1995">
            <v>0</v>
          </cell>
        </row>
        <row r="1996">
          <cell r="O1996">
            <v>0</v>
          </cell>
        </row>
        <row r="1997">
          <cell r="O1997">
            <v>0</v>
          </cell>
        </row>
        <row r="1998">
          <cell r="O1998">
            <v>0</v>
          </cell>
        </row>
        <row r="1999">
          <cell r="O1999">
            <v>0</v>
          </cell>
        </row>
        <row r="2000">
          <cell r="O2000">
            <v>0</v>
          </cell>
        </row>
        <row r="2001">
          <cell r="O2001">
            <v>0</v>
          </cell>
        </row>
        <row r="2002">
          <cell r="O2002">
            <v>0</v>
          </cell>
        </row>
        <row r="2003">
          <cell r="O2003">
            <v>0</v>
          </cell>
        </row>
        <row r="2004">
          <cell r="O2004">
            <v>0</v>
          </cell>
        </row>
        <row r="2005">
          <cell r="O2005">
            <v>0</v>
          </cell>
        </row>
        <row r="2006">
          <cell r="O2006">
            <v>0</v>
          </cell>
        </row>
        <row r="2007">
          <cell r="O2007">
            <v>0</v>
          </cell>
        </row>
        <row r="2008">
          <cell r="O2008">
            <v>0</v>
          </cell>
        </row>
        <row r="2009">
          <cell r="O2009">
            <v>0</v>
          </cell>
        </row>
        <row r="2010">
          <cell r="O2010">
            <v>0</v>
          </cell>
        </row>
        <row r="2011">
          <cell r="O2011">
            <v>0</v>
          </cell>
        </row>
        <row r="2012">
          <cell r="O2012">
            <v>0</v>
          </cell>
        </row>
        <row r="2013">
          <cell r="O2013">
            <v>0</v>
          </cell>
        </row>
        <row r="2014">
          <cell r="O2014">
            <v>0</v>
          </cell>
        </row>
        <row r="2015">
          <cell r="O2015">
            <v>0</v>
          </cell>
        </row>
        <row r="2016">
          <cell r="O2016">
            <v>0</v>
          </cell>
        </row>
        <row r="2017">
          <cell r="O2017">
            <v>0</v>
          </cell>
        </row>
        <row r="2018">
          <cell r="O2018">
            <v>0</v>
          </cell>
        </row>
        <row r="2019">
          <cell r="O2019">
            <v>0</v>
          </cell>
        </row>
        <row r="2020">
          <cell r="O2020">
            <v>0</v>
          </cell>
        </row>
        <row r="2021">
          <cell r="O2021">
            <v>0</v>
          </cell>
        </row>
        <row r="2022">
          <cell r="O2022">
            <v>0</v>
          </cell>
        </row>
        <row r="2023">
          <cell r="O2023">
            <v>0</v>
          </cell>
        </row>
        <row r="2024">
          <cell r="O2024">
            <v>0</v>
          </cell>
        </row>
        <row r="2025">
          <cell r="O2025">
            <v>0</v>
          </cell>
        </row>
        <row r="2026">
          <cell r="O2026">
            <v>0</v>
          </cell>
        </row>
        <row r="2027">
          <cell r="O2027">
            <v>0</v>
          </cell>
        </row>
        <row r="2028">
          <cell r="O2028">
            <v>0</v>
          </cell>
        </row>
        <row r="2029">
          <cell r="O2029">
            <v>0</v>
          </cell>
        </row>
        <row r="2030">
          <cell r="O2030">
            <v>0</v>
          </cell>
        </row>
        <row r="2031">
          <cell r="O2031">
            <v>0</v>
          </cell>
        </row>
        <row r="2032">
          <cell r="O2032">
            <v>0</v>
          </cell>
        </row>
        <row r="2033">
          <cell r="O2033">
            <v>0</v>
          </cell>
        </row>
        <row r="2034">
          <cell r="O2034">
            <v>0</v>
          </cell>
        </row>
        <row r="2035">
          <cell r="O2035">
            <v>0</v>
          </cell>
        </row>
        <row r="2036">
          <cell r="O2036">
            <v>0</v>
          </cell>
        </row>
        <row r="2037">
          <cell r="O2037">
            <v>0</v>
          </cell>
        </row>
        <row r="2038">
          <cell r="O2038">
            <v>0</v>
          </cell>
        </row>
        <row r="2039">
          <cell r="O2039">
            <v>0</v>
          </cell>
        </row>
        <row r="2040">
          <cell r="O2040">
            <v>0</v>
          </cell>
        </row>
        <row r="2041">
          <cell r="O2041">
            <v>0</v>
          </cell>
        </row>
        <row r="2042">
          <cell r="O2042">
            <v>0</v>
          </cell>
        </row>
        <row r="2043">
          <cell r="O2043">
            <v>0</v>
          </cell>
        </row>
        <row r="2044">
          <cell r="O2044">
            <v>0</v>
          </cell>
        </row>
        <row r="2045">
          <cell r="O2045">
            <v>0</v>
          </cell>
        </row>
        <row r="2046">
          <cell r="O2046">
            <v>0</v>
          </cell>
        </row>
        <row r="2047">
          <cell r="O2047">
            <v>0</v>
          </cell>
        </row>
        <row r="2048">
          <cell r="O2048">
            <v>0</v>
          </cell>
        </row>
        <row r="2049">
          <cell r="O2049">
            <v>0</v>
          </cell>
        </row>
        <row r="2050">
          <cell r="O2050">
            <v>0</v>
          </cell>
        </row>
        <row r="2051">
          <cell r="O2051">
            <v>0</v>
          </cell>
        </row>
        <row r="2052">
          <cell r="O2052">
            <v>0</v>
          </cell>
        </row>
        <row r="2053">
          <cell r="O2053">
            <v>0</v>
          </cell>
        </row>
        <row r="2054">
          <cell r="O2054">
            <v>0</v>
          </cell>
        </row>
        <row r="2055">
          <cell r="O2055">
            <v>0</v>
          </cell>
        </row>
        <row r="2056">
          <cell r="O2056">
            <v>0</v>
          </cell>
        </row>
        <row r="2057">
          <cell r="O2057">
            <v>0</v>
          </cell>
        </row>
        <row r="2058">
          <cell r="O2058">
            <v>0</v>
          </cell>
        </row>
        <row r="2059">
          <cell r="O2059">
            <v>0</v>
          </cell>
        </row>
        <row r="2060">
          <cell r="O2060">
            <v>0</v>
          </cell>
        </row>
        <row r="2061">
          <cell r="O2061">
            <v>0</v>
          </cell>
        </row>
        <row r="2062">
          <cell r="O2062">
            <v>0</v>
          </cell>
        </row>
        <row r="2063">
          <cell r="O2063">
            <v>0</v>
          </cell>
        </row>
        <row r="2064">
          <cell r="O2064">
            <v>0</v>
          </cell>
        </row>
        <row r="2065">
          <cell r="O2065">
            <v>0</v>
          </cell>
        </row>
        <row r="2066">
          <cell r="O2066">
            <v>0</v>
          </cell>
        </row>
        <row r="2067">
          <cell r="O2067">
            <v>0</v>
          </cell>
        </row>
        <row r="2068">
          <cell r="O2068">
            <v>0</v>
          </cell>
        </row>
        <row r="2069">
          <cell r="O2069">
            <v>0</v>
          </cell>
        </row>
        <row r="2070">
          <cell r="O2070">
            <v>0</v>
          </cell>
        </row>
        <row r="2071">
          <cell r="O2071">
            <v>0</v>
          </cell>
        </row>
        <row r="2072">
          <cell r="O2072">
            <v>0</v>
          </cell>
        </row>
        <row r="2073">
          <cell r="O2073">
            <v>0</v>
          </cell>
        </row>
        <row r="2074">
          <cell r="O2074">
            <v>0</v>
          </cell>
        </row>
        <row r="2075">
          <cell r="O2075">
            <v>0</v>
          </cell>
        </row>
        <row r="2076">
          <cell r="O2076">
            <v>0</v>
          </cell>
        </row>
        <row r="2077">
          <cell r="O2077">
            <v>0</v>
          </cell>
        </row>
        <row r="2078">
          <cell r="O2078">
            <v>0</v>
          </cell>
        </row>
        <row r="2079">
          <cell r="O2079">
            <v>0</v>
          </cell>
        </row>
        <row r="2080">
          <cell r="O2080">
            <v>0</v>
          </cell>
        </row>
        <row r="2081">
          <cell r="O2081">
            <v>0</v>
          </cell>
        </row>
        <row r="2082">
          <cell r="O2082">
            <v>0</v>
          </cell>
        </row>
        <row r="2083">
          <cell r="O2083">
            <v>0</v>
          </cell>
        </row>
        <row r="2084">
          <cell r="O2084">
            <v>0</v>
          </cell>
        </row>
        <row r="2085">
          <cell r="O2085">
            <v>0</v>
          </cell>
        </row>
        <row r="2086">
          <cell r="O2086">
            <v>0</v>
          </cell>
        </row>
        <row r="2087">
          <cell r="O2087">
            <v>0</v>
          </cell>
        </row>
        <row r="2088">
          <cell r="O2088">
            <v>0</v>
          </cell>
        </row>
        <row r="2089">
          <cell r="O2089">
            <v>0</v>
          </cell>
        </row>
        <row r="2090">
          <cell r="O2090">
            <v>0</v>
          </cell>
        </row>
        <row r="2091">
          <cell r="O2091">
            <v>0</v>
          </cell>
        </row>
        <row r="2092">
          <cell r="O2092">
            <v>0</v>
          </cell>
        </row>
        <row r="2093">
          <cell r="O2093">
            <v>0</v>
          </cell>
        </row>
        <row r="2094">
          <cell r="O2094">
            <v>0</v>
          </cell>
        </row>
        <row r="2095">
          <cell r="O2095">
            <v>0</v>
          </cell>
        </row>
        <row r="2096">
          <cell r="O2096">
            <v>0</v>
          </cell>
        </row>
        <row r="2097">
          <cell r="O2097">
            <v>0</v>
          </cell>
        </row>
        <row r="2098">
          <cell r="O2098">
            <v>0</v>
          </cell>
        </row>
        <row r="2099">
          <cell r="O2099">
            <v>0</v>
          </cell>
        </row>
        <row r="2100">
          <cell r="O2100">
            <v>0</v>
          </cell>
        </row>
        <row r="2101">
          <cell r="O2101">
            <v>0</v>
          </cell>
        </row>
        <row r="2102">
          <cell r="O2102">
            <v>0</v>
          </cell>
        </row>
        <row r="2103">
          <cell r="O2103">
            <v>0</v>
          </cell>
        </row>
        <row r="2104">
          <cell r="O2104">
            <v>0</v>
          </cell>
        </row>
        <row r="2105">
          <cell r="O2105">
            <v>0</v>
          </cell>
        </row>
        <row r="2106">
          <cell r="O2106">
            <v>0</v>
          </cell>
        </row>
        <row r="2107">
          <cell r="O2107">
            <v>0</v>
          </cell>
        </row>
        <row r="2108">
          <cell r="O2108">
            <v>0</v>
          </cell>
        </row>
        <row r="2109">
          <cell r="O2109">
            <v>0</v>
          </cell>
        </row>
        <row r="2110">
          <cell r="O2110">
            <v>0</v>
          </cell>
        </row>
        <row r="2111">
          <cell r="O2111">
            <v>0</v>
          </cell>
        </row>
        <row r="2112">
          <cell r="O2112">
            <v>0</v>
          </cell>
        </row>
        <row r="2113">
          <cell r="O2113">
            <v>0</v>
          </cell>
        </row>
        <row r="2114">
          <cell r="O2114">
            <v>0</v>
          </cell>
        </row>
        <row r="2115">
          <cell r="O2115">
            <v>0</v>
          </cell>
        </row>
        <row r="2116">
          <cell r="O2116">
            <v>0</v>
          </cell>
        </row>
        <row r="2117">
          <cell r="O2117">
            <v>0</v>
          </cell>
        </row>
        <row r="2118">
          <cell r="O2118">
            <v>0</v>
          </cell>
        </row>
        <row r="2119">
          <cell r="O2119">
            <v>0</v>
          </cell>
        </row>
        <row r="2120">
          <cell r="O2120">
            <v>0</v>
          </cell>
        </row>
        <row r="2121">
          <cell r="O2121">
            <v>0</v>
          </cell>
        </row>
        <row r="2122">
          <cell r="O2122">
            <v>0</v>
          </cell>
        </row>
        <row r="2123">
          <cell r="O2123">
            <v>0</v>
          </cell>
        </row>
        <row r="2124">
          <cell r="O2124">
            <v>0</v>
          </cell>
        </row>
        <row r="2125">
          <cell r="O2125">
            <v>0</v>
          </cell>
        </row>
        <row r="2126">
          <cell r="O2126">
            <v>0</v>
          </cell>
        </row>
        <row r="2127">
          <cell r="O2127">
            <v>0</v>
          </cell>
        </row>
        <row r="2128">
          <cell r="O2128">
            <v>0</v>
          </cell>
        </row>
        <row r="2129">
          <cell r="O2129">
            <v>0</v>
          </cell>
        </row>
        <row r="2130">
          <cell r="O2130">
            <v>0</v>
          </cell>
        </row>
        <row r="2131">
          <cell r="O2131">
            <v>0</v>
          </cell>
        </row>
        <row r="2132">
          <cell r="O2132">
            <v>0</v>
          </cell>
        </row>
        <row r="2133">
          <cell r="O2133">
            <v>0</v>
          </cell>
        </row>
        <row r="2134">
          <cell r="O2134">
            <v>0</v>
          </cell>
        </row>
        <row r="2135">
          <cell r="O2135">
            <v>0</v>
          </cell>
        </row>
        <row r="2136">
          <cell r="O2136">
            <v>0</v>
          </cell>
        </row>
        <row r="2137">
          <cell r="O2137">
            <v>0</v>
          </cell>
        </row>
        <row r="2138">
          <cell r="O2138">
            <v>0</v>
          </cell>
        </row>
        <row r="2139">
          <cell r="O2139">
            <v>0</v>
          </cell>
        </row>
        <row r="2140">
          <cell r="O2140">
            <v>0</v>
          </cell>
        </row>
        <row r="2141">
          <cell r="O2141">
            <v>0</v>
          </cell>
        </row>
        <row r="2142">
          <cell r="O2142">
            <v>0</v>
          </cell>
        </row>
        <row r="2143">
          <cell r="O2143">
            <v>0</v>
          </cell>
        </row>
        <row r="2144">
          <cell r="O2144">
            <v>0</v>
          </cell>
        </row>
        <row r="2145">
          <cell r="O2145">
            <v>0</v>
          </cell>
        </row>
        <row r="2146">
          <cell r="O2146">
            <v>0</v>
          </cell>
        </row>
        <row r="2147">
          <cell r="O2147">
            <v>0</v>
          </cell>
        </row>
        <row r="2148">
          <cell r="O2148">
            <v>0</v>
          </cell>
        </row>
        <row r="2149">
          <cell r="O2149">
            <v>0</v>
          </cell>
        </row>
        <row r="2150">
          <cell r="O2150">
            <v>0</v>
          </cell>
        </row>
        <row r="2151">
          <cell r="O2151">
            <v>0</v>
          </cell>
        </row>
        <row r="2152">
          <cell r="O2152">
            <v>0</v>
          </cell>
        </row>
        <row r="2153">
          <cell r="O2153">
            <v>0</v>
          </cell>
        </row>
        <row r="2154">
          <cell r="O2154">
            <v>0</v>
          </cell>
        </row>
        <row r="2155">
          <cell r="O2155">
            <v>0</v>
          </cell>
        </row>
        <row r="2156">
          <cell r="O2156">
            <v>0</v>
          </cell>
        </row>
        <row r="2157">
          <cell r="O2157">
            <v>0</v>
          </cell>
        </row>
        <row r="2158">
          <cell r="O2158">
            <v>0</v>
          </cell>
        </row>
        <row r="2159">
          <cell r="O2159">
            <v>0</v>
          </cell>
        </row>
        <row r="2160">
          <cell r="O2160">
            <v>0</v>
          </cell>
        </row>
        <row r="2161">
          <cell r="O2161">
            <v>0</v>
          </cell>
        </row>
        <row r="2162">
          <cell r="O2162">
            <v>0</v>
          </cell>
        </row>
        <row r="2163">
          <cell r="O2163">
            <v>0</v>
          </cell>
        </row>
        <row r="2164">
          <cell r="O2164">
            <v>0</v>
          </cell>
        </row>
        <row r="2165">
          <cell r="O2165">
            <v>0</v>
          </cell>
        </row>
        <row r="2166">
          <cell r="O2166">
            <v>0</v>
          </cell>
        </row>
        <row r="2167">
          <cell r="O2167">
            <v>0</v>
          </cell>
        </row>
        <row r="2168">
          <cell r="O2168">
            <v>0</v>
          </cell>
        </row>
        <row r="2169">
          <cell r="O2169">
            <v>0</v>
          </cell>
        </row>
        <row r="2170">
          <cell r="O2170">
            <v>0</v>
          </cell>
        </row>
        <row r="2171">
          <cell r="O2171">
            <v>0</v>
          </cell>
        </row>
        <row r="2172">
          <cell r="O2172">
            <v>0</v>
          </cell>
        </row>
        <row r="2173">
          <cell r="O2173">
            <v>0</v>
          </cell>
        </row>
        <row r="2174">
          <cell r="O2174">
            <v>0</v>
          </cell>
        </row>
        <row r="2175">
          <cell r="O2175">
            <v>0</v>
          </cell>
        </row>
        <row r="2176">
          <cell r="O2176">
            <v>0</v>
          </cell>
        </row>
        <row r="2177">
          <cell r="O2177">
            <v>0</v>
          </cell>
        </row>
        <row r="2178">
          <cell r="O2178">
            <v>0</v>
          </cell>
        </row>
        <row r="2179">
          <cell r="O2179">
            <v>0</v>
          </cell>
        </row>
        <row r="2180">
          <cell r="O2180">
            <v>0</v>
          </cell>
        </row>
        <row r="2181">
          <cell r="O2181">
            <v>0</v>
          </cell>
        </row>
        <row r="2182">
          <cell r="O2182">
            <v>0</v>
          </cell>
        </row>
        <row r="2183">
          <cell r="O2183">
            <v>0</v>
          </cell>
        </row>
        <row r="2184">
          <cell r="O2184">
            <v>0</v>
          </cell>
        </row>
        <row r="2185">
          <cell r="O2185">
            <v>0</v>
          </cell>
        </row>
        <row r="2186">
          <cell r="O2186">
            <v>0</v>
          </cell>
        </row>
        <row r="2187">
          <cell r="O2187">
            <v>0</v>
          </cell>
        </row>
        <row r="2188">
          <cell r="O2188">
            <v>0</v>
          </cell>
        </row>
        <row r="2189">
          <cell r="O2189">
            <v>0</v>
          </cell>
        </row>
        <row r="2190">
          <cell r="O2190">
            <v>0</v>
          </cell>
        </row>
        <row r="2191">
          <cell r="O2191">
            <v>0</v>
          </cell>
        </row>
        <row r="2192">
          <cell r="O2192">
            <v>0</v>
          </cell>
        </row>
        <row r="2193">
          <cell r="O2193">
            <v>0</v>
          </cell>
        </row>
        <row r="2194">
          <cell r="O2194">
            <v>0</v>
          </cell>
        </row>
        <row r="2195">
          <cell r="O2195">
            <v>0</v>
          </cell>
        </row>
        <row r="2196">
          <cell r="O2196">
            <v>0</v>
          </cell>
        </row>
        <row r="2197">
          <cell r="O2197">
            <v>0</v>
          </cell>
        </row>
        <row r="2198">
          <cell r="O2198">
            <v>0</v>
          </cell>
        </row>
        <row r="2199">
          <cell r="O2199">
            <v>0</v>
          </cell>
        </row>
        <row r="2200">
          <cell r="O2200">
            <v>0</v>
          </cell>
        </row>
        <row r="2201">
          <cell r="O2201">
            <v>0</v>
          </cell>
        </row>
        <row r="2202">
          <cell r="O2202">
            <v>0</v>
          </cell>
        </row>
        <row r="2203">
          <cell r="O2203">
            <v>0</v>
          </cell>
        </row>
        <row r="2204">
          <cell r="O2204">
            <v>0</v>
          </cell>
        </row>
        <row r="2205">
          <cell r="O2205">
            <v>0</v>
          </cell>
        </row>
        <row r="2206">
          <cell r="O2206">
            <v>0</v>
          </cell>
        </row>
        <row r="2207">
          <cell r="O2207">
            <v>0</v>
          </cell>
        </row>
        <row r="2208">
          <cell r="O2208">
            <v>0</v>
          </cell>
        </row>
        <row r="2209">
          <cell r="O2209">
            <v>0</v>
          </cell>
        </row>
        <row r="2210">
          <cell r="O2210">
            <v>0</v>
          </cell>
        </row>
        <row r="2211">
          <cell r="O2211">
            <v>0</v>
          </cell>
        </row>
        <row r="2212">
          <cell r="O2212">
            <v>0</v>
          </cell>
        </row>
        <row r="2213">
          <cell r="O2213">
            <v>0</v>
          </cell>
        </row>
        <row r="2214">
          <cell r="O2214">
            <v>0</v>
          </cell>
        </row>
        <row r="2215">
          <cell r="O2215">
            <v>0</v>
          </cell>
        </row>
        <row r="2216">
          <cell r="O2216">
            <v>0</v>
          </cell>
        </row>
        <row r="2217">
          <cell r="O2217">
            <v>0</v>
          </cell>
        </row>
        <row r="2218">
          <cell r="O2218">
            <v>0</v>
          </cell>
        </row>
        <row r="2219">
          <cell r="O2219">
            <v>0</v>
          </cell>
        </row>
        <row r="2220">
          <cell r="O2220">
            <v>0</v>
          </cell>
        </row>
        <row r="2221">
          <cell r="O2221">
            <v>0</v>
          </cell>
        </row>
        <row r="2222">
          <cell r="O2222">
            <v>0</v>
          </cell>
        </row>
        <row r="2223">
          <cell r="O2223">
            <v>0</v>
          </cell>
        </row>
        <row r="2224">
          <cell r="O2224">
            <v>0</v>
          </cell>
        </row>
        <row r="2225">
          <cell r="O2225">
            <v>0</v>
          </cell>
        </row>
        <row r="2226">
          <cell r="O2226">
            <v>0</v>
          </cell>
        </row>
        <row r="2227">
          <cell r="O2227">
            <v>0</v>
          </cell>
        </row>
        <row r="2228">
          <cell r="O2228">
            <v>0</v>
          </cell>
        </row>
        <row r="2229">
          <cell r="O2229">
            <v>0</v>
          </cell>
        </row>
        <row r="2230">
          <cell r="O2230">
            <v>0</v>
          </cell>
        </row>
        <row r="2231">
          <cell r="O2231">
            <v>0</v>
          </cell>
        </row>
        <row r="2232">
          <cell r="O2232">
            <v>0</v>
          </cell>
        </row>
        <row r="2233">
          <cell r="O2233">
            <v>0</v>
          </cell>
        </row>
        <row r="2234">
          <cell r="O2234">
            <v>0</v>
          </cell>
        </row>
        <row r="2235">
          <cell r="O2235">
            <v>0</v>
          </cell>
        </row>
        <row r="2236">
          <cell r="O2236">
            <v>0</v>
          </cell>
        </row>
        <row r="2237">
          <cell r="O2237">
            <v>0</v>
          </cell>
        </row>
        <row r="2238">
          <cell r="O2238">
            <v>0</v>
          </cell>
        </row>
        <row r="2239">
          <cell r="O2239">
            <v>0</v>
          </cell>
        </row>
        <row r="2240">
          <cell r="O2240">
            <v>0</v>
          </cell>
        </row>
        <row r="2241">
          <cell r="O2241">
            <v>0</v>
          </cell>
        </row>
        <row r="2242">
          <cell r="O2242">
            <v>0</v>
          </cell>
        </row>
        <row r="2243">
          <cell r="O2243">
            <v>0</v>
          </cell>
        </row>
        <row r="2244">
          <cell r="O2244">
            <v>0</v>
          </cell>
        </row>
        <row r="2245">
          <cell r="O2245">
            <v>0</v>
          </cell>
        </row>
        <row r="2246">
          <cell r="O2246">
            <v>0</v>
          </cell>
        </row>
        <row r="2247">
          <cell r="O2247">
            <v>0</v>
          </cell>
        </row>
        <row r="2248">
          <cell r="O2248">
            <v>0</v>
          </cell>
        </row>
        <row r="2249">
          <cell r="O2249">
            <v>0</v>
          </cell>
        </row>
        <row r="2250">
          <cell r="O2250">
            <v>0</v>
          </cell>
        </row>
        <row r="2251">
          <cell r="O2251">
            <v>0</v>
          </cell>
        </row>
        <row r="2252">
          <cell r="O2252">
            <v>0</v>
          </cell>
        </row>
        <row r="2253">
          <cell r="O2253">
            <v>0</v>
          </cell>
        </row>
        <row r="2254">
          <cell r="O2254">
            <v>0</v>
          </cell>
        </row>
        <row r="2255">
          <cell r="O2255">
            <v>0</v>
          </cell>
        </row>
        <row r="2256">
          <cell r="O2256">
            <v>0</v>
          </cell>
        </row>
        <row r="2257">
          <cell r="O2257">
            <v>0</v>
          </cell>
        </row>
        <row r="2258">
          <cell r="O2258">
            <v>0</v>
          </cell>
        </row>
        <row r="2259">
          <cell r="O2259">
            <v>0</v>
          </cell>
        </row>
        <row r="2260">
          <cell r="O2260">
            <v>0</v>
          </cell>
        </row>
        <row r="2261">
          <cell r="O2261">
            <v>0</v>
          </cell>
        </row>
        <row r="2262">
          <cell r="O2262">
            <v>0</v>
          </cell>
        </row>
        <row r="2263">
          <cell r="O2263">
            <v>0</v>
          </cell>
        </row>
        <row r="2264">
          <cell r="O2264">
            <v>0</v>
          </cell>
        </row>
        <row r="2265">
          <cell r="O2265">
            <v>0</v>
          </cell>
        </row>
        <row r="2266">
          <cell r="O2266">
            <v>0</v>
          </cell>
        </row>
        <row r="2267">
          <cell r="O2267">
            <v>0</v>
          </cell>
        </row>
        <row r="2268">
          <cell r="O2268">
            <v>0</v>
          </cell>
        </row>
        <row r="2269">
          <cell r="O2269">
            <v>0</v>
          </cell>
        </row>
        <row r="2270">
          <cell r="O2270">
            <v>0</v>
          </cell>
        </row>
        <row r="2271">
          <cell r="O2271">
            <v>0</v>
          </cell>
        </row>
        <row r="2272">
          <cell r="O2272">
            <v>0</v>
          </cell>
        </row>
        <row r="2273">
          <cell r="O2273">
            <v>0</v>
          </cell>
        </row>
        <row r="2274">
          <cell r="O2274">
            <v>0</v>
          </cell>
        </row>
        <row r="2275">
          <cell r="O2275">
            <v>0</v>
          </cell>
        </row>
        <row r="2276">
          <cell r="O2276">
            <v>0</v>
          </cell>
        </row>
        <row r="2277">
          <cell r="O2277">
            <v>0</v>
          </cell>
        </row>
        <row r="2278">
          <cell r="O2278">
            <v>0</v>
          </cell>
        </row>
        <row r="2279">
          <cell r="O2279">
            <v>0</v>
          </cell>
        </row>
        <row r="2280">
          <cell r="O2280">
            <v>0</v>
          </cell>
        </row>
        <row r="2281">
          <cell r="O2281">
            <v>0</v>
          </cell>
        </row>
        <row r="2282">
          <cell r="O2282">
            <v>0</v>
          </cell>
        </row>
        <row r="2283">
          <cell r="O2283">
            <v>0</v>
          </cell>
        </row>
        <row r="2284">
          <cell r="O2284">
            <v>0</v>
          </cell>
        </row>
        <row r="2285">
          <cell r="O2285">
            <v>0</v>
          </cell>
        </row>
        <row r="2286">
          <cell r="O2286">
            <v>0</v>
          </cell>
        </row>
        <row r="2287">
          <cell r="O2287">
            <v>0</v>
          </cell>
        </row>
        <row r="2288">
          <cell r="O2288">
            <v>0</v>
          </cell>
        </row>
        <row r="2289">
          <cell r="O2289">
            <v>0</v>
          </cell>
        </row>
        <row r="2290">
          <cell r="O2290">
            <v>0</v>
          </cell>
        </row>
        <row r="2291">
          <cell r="O2291">
            <v>0</v>
          </cell>
        </row>
        <row r="2292">
          <cell r="O2292">
            <v>0</v>
          </cell>
        </row>
        <row r="2293">
          <cell r="O2293">
            <v>0</v>
          </cell>
        </row>
        <row r="2294">
          <cell r="O2294">
            <v>0</v>
          </cell>
        </row>
        <row r="2295">
          <cell r="O2295">
            <v>0</v>
          </cell>
        </row>
        <row r="2296">
          <cell r="O2296">
            <v>0</v>
          </cell>
        </row>
        <row r="2297">
          <cell r="O2297">
            <v>0</v>
          </cell>
        </row>
        <row r="2298">
          <cell r="O2298">
            <v>0</v>
          </cell>
        </row>
        <row r="2299">
          <cell r="O2299">
            <v>0</v>
          </cell>
        </row>
        <row r="2300">
          <cell r="O2300">
            <v>0</v>
          </cell>
        </row>
        <row r="2301">
          <cell r="O2301">
            <v>0</v>
          </cell>
        </row>
        <row r="2302">
          <cell r="O2302">
            <v>0</v>
          </cell>
        </row>
        <row r="2303">
          <cell r="O2303">
            <v>0</v>
          </cell>
        </row>
        <row r="2304">
          <cell r="O2304">
            <v>0</v>
          </cell>
        </row>
        <row r="2305">
          <cell r="O2305">
            <v>0</v>
          </cell>
        </row>
        <row r="2306">
          <cell r="O2306">
            <v>0</v>
          </cell>
        </row>
        <row r="2307">
          <cell r="O2307">
            <v>0</v>
          </cell>
        </row>
        <row r="2308">
          <cell r="O2308">
            <v>0</v>
          </cell>
        </row>
        <row r="2309">
          <cell r="O2309">
            <v>0</v>
          </cell>
        </row>
        <row r="2310">
          <cell r="O2310">
            <v>0</v>
          </cell>
        </row>
        <row r="2311">
          <cell r="O2311">
            <v>0</v>
          </cell>
        </row>
        <row r="2312">
          <cell r="O2312">
            <v>0</v>
          </cell>
        </row>
        <row r="2313">
          <cell r="O2313">
            <v>0</v>
          </cell>
        </row>
        <row r="2314">
          <cell r="O2314">
            <v>0</v>
          </cell>
        </row>
        <row r="2315">
          <cell r="O2315">
            <v>0</v>
          </cell>
        </row>
        <row r="2316">
          <cell r="O2316">
            <v>0</v>
          </cell>
        </row>
        <row r="2317">
          <cell r="O2317">
            <v>0</v>
          </cell>
        </row>
        <row r="2318">
          <cell r="O2318">
            <v>0</v>
          </cell>
        </row>
        <row r="2319">
          <cell r="O2319">
            <v>0</v>
          </cell>
        </row>
        <row r="2320">
          <cell r="O2320">
            <v>0</v>
          </cell>
        </row>
        <row r="2321">
          <cell r="O2321">
            <v>0</v>
          </cell>
        </row>
        <row r="2322">
          <cell r="O2322">
            <v>0</v>
          </cell>
        </row>
        <row r="2323">
          <cell r="O2323">
            <v>0</v>
          </cell>
        </row>
        <row r="2324">
          <cell r="O2324">
            <v>0</v>
          </cell>
        </row>
        <row r="2325">
          <cell r="O2325">
            <v>0</v>
          </cell>
        </row>
        <row r="2326">
          <cell r="O2326">
            <v>0</v>
          </cell>
        </row>
        <row r="2327">
          <cell r="O2327">
            <v>0</v>
          </cell>
        </row>
        <row r="2328">
          <cell r="O2328">
            <v>0</v>
          </cell>
        </row>
        <row r="2329">
          <cell r="O2329">
            <v>0</v>
          </cell>
        </row>
        <row r="2330">
          <cell r="O2330">
            <v>0</v>
          </cell>
        </row>
        <row r="2331">
          <cell r="O2331">
            <v>0</v>
          </cell>
        </row>
        <row r="2332">
          <cell r="O2332">
            <v>0</v>
          </cell>
        </row>
        <row r="2333">
          <cell r="O2333">
            <v>0</v>
          </cell>
        </row>
        <row r="2334">
          <cell r="O2334">
            <v>0</v>
          </cell>
        </row>
        <row r="2335">
          <cell r="O2335">
            <v>0</v>
          </cell>
        </row>
        <row r="2336">
          <cell r="O2336">
            <v>0</v>
          </cell>
        </row>
        <row r="2337">
          <cell r="O2337">
            <v>0</v>
          </cell>
        </row>
        <row r="2338">
          <cell r="O2338">
            <v>0</v>
          </cell>
        </row>
        <row r="2339">
          <cell r="O2339">
            <v>0</v>
          </cell>
        </row>
        <row r="2340">
          <cell r="O2340">
            <v>0</v>
          </cell>
        </row>
        <row r="2341">
          <cell r="O2341">
            <v>0</v>
          </cell>
        </row>
        <row r="2342">
          <cell r="O2342">
            <v>0</v>
          </cell>
        </row>
        <row r="2343">
          <cell r="O2343">
            <v>0</v>
          </cell>
        </row>
        <row r="2344">
          <cell r="O2344">
            <v>0</v>
          </cell>
        </row>
        <row r="2345">
          <cell r="O2345">
            <v>0</v>
          </cell>
        </row>
        <row r="2346">
          <cell r="O2346">
            <v>0</v>
          </cell>
        </row>
        <row r="2347">
          <cell r="O2347">
            <v>0</v>
          </cell>
        </row>
        <row r="2348">
          <cell r="O2348">
            <v>0</v>
          </cell>
        </row>
        <row r="2349">
          <cell r="O2349">
            <v>0</v>
          </cell>
        </row>
        <row r="2350">
          <cell r="O2350">
            <v>0</v>
          </cell>
        </row>
        <row r="2351">
          <cell r="O2351">
            <v>0</v>
          </cell>
        </row>
        <row r="2352">
          <cell r="O2352">
            <v>0</v>
          </cell>
        </row>
        <row r="2353">
          <cell r="O2353">
            <v>0</v>
          </cell>
        </row>
        <row r="2354">
          <cell r="O2354">
            <v>0</v>
          </cell>
        </row>
        <row r="2355">
          <cell r="O2355">
            <v>0</v>
          </cell>
        </row>
        <row r="2356">
          <cell r="O2356">
            <v>0</v>
          </cell>
        </row>
        <row r="2357">
          <cell r="O2357">
            <v>0</v>
          </cell>
        </row>
        <row r="2358">
          <cell r="O2358">
            <v>0</v>
          </cell>
        </row>
        <row r="2359">
          <cell r="O2359">
            <v>0</v>
          </cell>
        </row>
        <row r="2360">
          <cell r="O2360">
            <v>0</v>
          </cell>
        </row>
        <row r="2361">
          <cell r="O2361">
            <v>0</v>
          </cell>
        </row>
        <row r="2362">
          <cell r="O2362">
            <v>0</v>
          </cell>
        </row>
        <row r="2363">
          <cell r="O2363">
            <v>0</v>
          </cell>
        </row>
        <row r="2364">
          <cell r="O2364">
            <v>0</v>
          </cell>
        </row>
        <row r="2365">
          <cell r="O2365">
            <v>0</v>
          </cell>
        </row>
        <row r="2366">
          <cell r="O2366">
            <v>0</v>
          </cell>
        </row>
        <row r="2367">
          <cell r="O236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P46"/>
  <sheetViews>
    <sheetView showGridLines="0" tabSelected="1" zoomScale="70" zoomScaleNormal="70" workbookViewId="0">
      <selection activeCell="AD26" sqref="AD26"/>
    </sheetView>
  </sheetViews>
  <sheetFormatPr baseColWidth="8" defaultRowHeight="14.4"/>
  <cols>
    <col width="2.5546875" customWidth="1" style="188" min="1" max="1"/>
    <col width="16" customWidth="1" style="188" min="2" max="2"/>
    <col width="3" customWidth="1" style="188" min="3" max="3"/>
    <col width="17.6640625" customWidth="1" style="188" min="4" max="4"/>
    <col width="1.5546875" customWidth="1" style="188" min="5" max="5"/>
    <col width="16.5546875" customWidth="1" style="188" min="6" max="6"/>
    <col width="1.6640625" customWidth="1" style="188" min="7" max="7"/>
    <col width="14.88671875" customWidth="1" style="188" min="8" max="8"/>
    <col width="3.6640625" customWidth="1" style="188" min="9" max="9"/>
    <col width="12.33203125" customWidth="1" style="82" min="10" max="10"/>
    <col width="3.33203125" customWidth="1" style="188" min="11" max="11"/>
    <col width="17" customWidth="1" style="188" min="12" max="12"/>
    <col width="1.33203125" customWidth="1" style="188" min="13" max="13"/>
    <col width="2.33203125" customWidth="1" style="82" min="14" max="14"/>
    <col width="16.44140625" customWidth="1" style="188" min="15" max="15"/>
  </cols>
  <sheetData>
    <row r="1" ht="8.4" customHeight="1" s="188"/>
    <row r="2" ht="14.4" customHeight="1" s="188">
      <c r="B2" s="189">
        <f>"Opera " &amp; TEXT('Günlük Rapor'!$A$3,"aaaa")&amp;"_"&amp;YEAR('Günlük Rapor'!$A$3)&amp;" Portföy Analizi  (1 -  "&amp;DAY(TODAY()-1)&amp;" Haziran)"</f>
        <v/>
      </c>
    </row>
    <row r="3" ht="14.4" customHeight="1" s="188">
      <c r="B3" s="190" t="n"/>
      <c r="C3" s="190" t="n"/>
      <c r="D3" s="190" t="n"/>
      <c r="E3" s="190" t="n"/>
      <c r="F3" s="190" t="n"/>
      <c r="J3" s="82" t="n"/>
      <c r="N3" s="82" t="n"/>
    </row>
    <row r="4" ht="13.2" customHeight="1" s="188"/>
    <row r="5" ht="44.4" customFormat="1" customHeight="1" s="44">
      <c r="B5" s="50">
        <f>'Opera Aylık Analiz'!G2</f>
        <v/>
      </c>
      <c r="D5" s="77">
        <f>'Opera Aylık Analiz'!F2</f>
        <v/>
      </c>
      <c r="E5" s="45" t="n"/>
      <c r="F5" s="77">
        <f>'Opera Aylık Analiz'!AE2</f>
        <v/>
      </c>
      <c r="H5" s="50">
        <f>'Opera Aylık Analiz'!C2</f>
        <v/>
      </c>
      <c r="J5" s="50">
        <f>'Opera Aylık Analiz'!D2</f>
        <v/>
      </c>
      <c r="L5" s="126" t="n"/>
      <c r="M5" s="126">
        <f>'Opera Aylık Analiz'!E2</f>
        <v/>
      </c>
      <c r="O5" s="133">
        <f>'Opera Aylık Analiz'!AH2</f>
        <v/>
      </c>
    </row>
    <row r="6" ht="18" customFormat="1" customHeight="1" s="94">
      <c r="B6" s="94">
        <f>'Opera Aylık Analiz'!G3</f>
        <v/>
      </c>
      <c r="D6" s="94">
        <f>'Opera Aylık Analiz'!F3</f>
        <v/>
      </c>
      <c r="F6" s="94">
        <f>'Opera Aylık Analiz'!AE3</f>
        <v/>
      </c>
      <c r="H6" s="94">
        <f>'Opera Aylık Analiz'!C3</f>
        <v/>
      </c>
      <c r="J6" s="94">
        <f>'Opera Aylık Analiz'!D3</f>
        <v/>
      </c>
      <c r="L6" s="191">
        <f>'Opera Aylık Analiz'!E3</f>
        <v/>
      </c>
      <c r="O6" s="94">
        <f>'Opera Aylık Analiz'!AH3</f>
        <v/>
      </c>
    </row>
    <row r="7" ht="9.6" customHeight="1" s="188"/>
    <row r="8" ht="9.6" customHeight="1" s="188"/>
    <row r="10" ht="12" customHeight="1" s="188"/>
    <row r="11" ht="17.4" customHeight="1" s="188">
      <c r="B11" s="183" t="inlineStr">
        <is>
          <t>GİP Öncesi</t>
        </is>
      </c>
    </row>
    <row r="13">
      <c r="L13" s="82" t="n"/>
    </row>
    <row r="14" ht="44.4" customFormat="1" customHeight="1" s="44">
      <c r="B14" s="77">
        <f>'Opera Aylık Analiz'!M2</f>
        <v/>
      </c>
      <c r="C14" s="45" t="n"/>
      <c r="D14" s="77">
        <f>'Opera Aylık Analiz'!S2</f>
        <v/>
      </c>
      <c r="E14" s="45" t="n"/>
      <c r="F14" s="45">
        <f>'Opera Aylık Analiz'!U2</f>
        <v/>
      </c>
      <c r="G14" s="45" t="n"/>
      <c r="H14" s="143">
        <f>'Opera Aylık Analiz'!V2</f>
        <v/>
      </c>
      <c r="J14" s="45">
        <f>'Opera Aylık Analiz'!W2</f>
        <v/>
      </c>
      <c r="L14" s="51" t="n"/>
      <c r="N14" s="51" t="n"/>
    </row>
    <row r="15" ht="18" customFormat="1" customHeight="1" s="46">
      <c r="B15" s="95">
        <f>'Opera Aylık Analiz'!M3</f>
        <v/>
      </c>
      <c r="D15" s="95">
        <f>'Opera Aylık Analiz'!S3</f>
        <v/>
      </c>
      <c r="F15" s="192">
        <f>'Opera Aylık Analiz'!U3</f>
        <v/>
      </c>
      <c r="H15" s="54">
        <f>'Opera Aylık Analiz'!V3</f>
        <v/>
      </c>
      <c r="J15" s="54">
        <f>'Opera Aylık Analiz'!W3</f>
        <v/>
      </c>
      <c r="L15" s="48" t="n"/>
      <c r="N15" s="48" t="n"/>
    </row>
    <row r="16" ht="9.6" customHeight="1" s="188">
      <c r="L16" s="82" t="n"/>
    </row>
    <row r="17" ht="9.6" customHeight="1" s="188">
      <c r="L17" s="82" t="n"/>
    </row>
    <row r="18">
      <c r="L18" s="82" t="n"/>
    </row>
    <row r="19" ht="3" customHeight="1" s="188">
      <c r="L19" s="82" t="n"/>
    </row>
    <row r="21" ht="17.4" customHeight="1" s="188">
      <c r="B21" s="182" t="inlineStr">
        <is>
          <t>GİP Sonrası</t>
        </is>
      </c>
    </row>
    <row r="24" ht="44.4" customFormat="1" customHeight="1" s="45">
      <c r="B24" s="77">
        <f>'Opera Aylık Analiz'!Y2</f>
        <v/>
      </c>
      <c r="D24" s="77">
        <f>'Opera Aylık Analiz'!AG2</f>
        <v/>
      </c>
      <c r="F24" s="45">
        <f>'Opera Aylık Analiz'!AI2</f>
        <v/>
      </c>
      <c r="H24" s="143">
        <f>'Opera Aylık Analiz'!AJ2</f>
        <v/>
      </c>
      <c r="J24" s="45">
        <f>'Opera Aylık Analiz'!AK2</f>
        <v/>
      </c>
      <c r="N24" s="49" t="n"/>
    </row>
    <row r="25" ht="18" customFormat="1" customHeight="1" s="193">
      <c r="B25" s="145">
        <f>'Opera Aylık Analiz'!Y3</f>
        <v/>
      </c>
      <c r="D25" s="145">
        <f>'Opera Aylık Analiz'!AG3</f>
        <v/>
      </c>
      <c r="F25" s="194">
        <f>'Opera Aylık Analiz'!AI3</f>
        <v/>
      </c>
      <c r="H25" s="123">
        <f>'Opera Aylık Analiz'!AJ3</f>
        <v/>
      </c>
      <c r="J25" s="123">
        <f>'Opera Aylık Analiz'!AK3</f>
        <v/>
      </c>
      <c r="N25" s="195" t="n"/>
    </row>
    <row r="27" ht="9.6" customHeight="1" s="188"/>
    <row r="28" ht="9.6" customHeight="1" s="188"/>
    <row r="29">
      <c r="H29" s="82" t="n"/>
    </row>
    <row r="31" ht="17.4" customHeight="1" s="188">
      <c r="B31" s="181" t="inlineStr">
        <is>
          <t xml:space="preserve">GİP Sonrası Fayda </t>
        </is>
      </c>
      <c r="H31" s="82" t="n"/>
    </row>
    <row r="32">
      <c r="B32" s="81" t="n"/>
      <c r="C32" s="81" t="n"/>
      <c r="D32" s="81" t="n"/>
      <c r="H32" s="82" t="n"/>
      <c r="J32" s="82" t="n"/>
      <c r="N32" s="82" t="n"/>
    </row>
    <row r="33">
      <c r="D33" s="82" t="n"/>
      <c r="H33" s="82" t="n"/>
    </row>
    <row r="34" ht="43.95" customFormat="1" customHeight="1" s="42">
      <c r="B34" s="134">
        <f>'Opera Aylık Analiz'!AM2</f>
        <v/>
      </c>
      <c r="C34" s="45" t="n"/>
      <c r="D34" s="49">
        <f>'Opera Aylık Analiz'!AN2</f>
        <v/>
      </c>
      <c r="E34" s="45" t="n"/>
      <c r="F34" s="77">
        <f>'Opera Aylık Analiz'!AO2</f>
        <v/>
      </c>
      <c r="G34" s="45" t="n"/>
      <c r="H34" s="49">
        <f>'Opera Aylık Analiz'!AP2</f>
        <v/>
      </c>
      <c r="I34" s="44" t="n"/>
      <c r="J34" s="80" t="n"/>
      <c r="N34" s="80" t="n"/>
    </row>
    <row r="35">
      <c r="B35" s="94">
        <f>'Opera Aylık Analiz'!AM3</f>
        <v/>
      </c>
      <c r="C35" s="191" t="n"/>
      <c r="D35" s="53">
        <f>'Opera Aylık Analiz'!AN3</f>
        <v/>
      </c>
      <c r="E35" s="191" t="n"/>
      <c r="F35" s="94">
        <f>'Opera Aylık Analiz'!AO3</f>
        <v/>
      </c>
      <c r="G35" s="191" t="n"/>
      <c r="H35" s="53">
        <f>'Opera Aylık Analiz'!AP3</f>
        <v/>
      </c>
      <c r="I35" s="191" t="n"/>
      <c r="P35" t="inlineStr">
        <is>
          <t> </t>
        </is>
      </c>
    </row>
    <row r="36">
      <c r="D36" s="82" t="n"/>
      <c r="H36" s="82" t="n"/>
    </row>
    <row r="37">
      <c r="D37" s="82" t="n"/>
      <c r="H37" s="82" t="n"/>
    </row>
    <row r="39" ht="17.4" customHeight="1" s="188">
      <c r="B39" s="180" t="inlineStr">
        <is>
          <t>GES Üretim - Tutar</t>
        </is>
      </c>
      <c r="H39" s="82" t="n"/>
    </row>
    <row r="40">
      <c r="B40" s="81" t="n"/>
      <c r="C40" s="81" t="n"/>
      <c r="D40" s="81" t="n"/>
      <c r="H40" s="82" t="n"/>
      <c r="J40" s="82" t="n"/>
    </row>
    <row r="41">
      <c r="D41" s="82" t="n"/>
    </row>
    <row r="42" ht="35.4" customHeight="1" s="188">
      <c r="A42" s="42" t="n"/>
      <c r="B42" s="175" t="inlineStr">
        <is>
          <t>GES Üretim (MWh)</t>
        </is>
      </c>
      <c r="C42" s="174" t="n"/>
      <c r="D42" s="176" t="inlineStr">
        <is>
          <t>TUTAR (TL)</t>
        </is>
      </c>
      <c r="E42" s="174" t="n"/>
      <c r="F42" s="176" t="inlineStr">
        <is>
          <t>TUTAR (USD)</t>
        </is>
      </c>
      <c r="G42" s="45" t="n"/>
      <c r="I42" s="44" t="n"/>
      <c r="J42" s="80" t="n"/>
      <c r="K42" s="42" t="n"/>
      <c r="L42" s="42" t="n"/>
    </row>
    <row r="43" ht="17.4" customHeight="1" s="188">
      <c r="B43" s="179">
        <f>'GES Üretim'!T3</f>
        <v/>
      </c>
      <c r="C43" s="45" t="n"/>
      <c r="D43" s="196">
        <f>'GES Üretim'!O33</f>
        <v/>
      </c>
      <c r="E43" s="45" t="n"/>
      <c r="F43" s="197">
        <f>'GES Üretim'!P33</f>
        <v/>
      </c>
      <c r="G43" s="191" t="n"/>
      <c r="I43" s="191" t="n"/>
    </row>
    <row r="44">
      <c r="D44" s="82" t="n"/>
    </row>
    <row r="45">
      <c r="D45" s="82" t="n"/>
      <c r="H45" s="82" t="n"/>
    </row>
    <row r="46">
      <c r="D46" s="82" t="n"/>
      <c r="H46" s="82" t="n"/>
    </row>
  </sheetData>
  <mergeCells count="5">
    <mergeCell ref="B11:D11"/>
    <mergeCell ref="B2:F2"/>
    <mergeCell ref="B31:D31"/>
    <mergeCell ref="B21:D21"/>
    <mergeCell ref="B39:D39"/>
  </mergeCells>
  <pageMargins left="0.7" right="0.7" top="0.75" bottom="0.75" header="0.3" footer="0.3"/>
  <pageSetup orientation="landscape" paperSize="9" scale="6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46"/>
  <sheetViews>
    <sheetView showGridLines="0" zoomScale="70" zoomScaleNormal="70" workbookViewId="0">
      <selection activeCell="B43" sqref="B43"/>
    </sheetView>
  </sheetViews>
  <sheetFormatPr baseColWidth="8" defaultColWidth="8.88671875" defaultRowHeight="14.4"/>
  <cols>
    <col width="10.88671875" bestFit="1" customWidth="1" style="188" min="1" max="1"/>
    <col width="12.33203125" bestFit="1" customWidth="1" style="188" min="2" max="2"/>
    <col width="11.33203125" bestFit="1" customWidth="1" style="188" min="3" max="4"/>
    <col width="11.5546875" bestFit="1" customWidth="1" style="188" min="5" max="5"/>
    <col width="12.33203125" customWidth="1" style="42" min="6" max="6"/>
    <col width="13.5546875" customWidth="1" style="42" min="7" max="7"/>
    <col width="16.6640625" bestFit="1" customWidth="1" style="42" min="8" max="8"/>
    <col width="16.6640625" customWidth="1" style="42" min="9" max="9"/>
    <col width="10.33203125" bestFit="1" customWidth="1" style="42" min="10" max="10"/>
    <col width="13.33203125" customWidth="1" style="188" min="11" max="11"/>
    <col width="11.33203125" bestFit="1" customWidth="1" style="188" min="12" max="12"/>
    <col width="16.6640625" bestFit="1" customWidth="1" style="188" min="13" max="13"/>
    <col width="16.6640625" customWidth="1" style="188" min="14" max="14"/>
    <col width="11.6640625" customWidth="1" style="188" min="15" max="15"/>
    <col width="15.33203125" bestFit="1" customWidth="1" style="188" min="16" max="17"/>
    <col width="11.109375" bestFit="1" customWidth="1" style="188" min="18" max="18"/>
    <col width="15.6640625" bestFit="1" customWidth="1" style="188" min="19" max="19"/>
    <col width="12.33203125" bestFit="1" customWidth="1" style="188" min="20" max="20"/>
    <col width="10.5546875" bestFit="1" customWidth="1" style="188" min="21" max="21"/>
    <col width="14.44140625" bestFit="1" customWidth="1" style="188" min="22" max="22"/>
  </cols>
  <sheetData>
    <row r="1" ht="28.95" customHeight="1" s="188">
      <c r="F1" s="153" t="inlineStr">
        <is>
          <t>GİP Öncesi</t>
        </is>
      </c>
      <c r="G1" s="198" t="n"/>
      <c r="H1" s="198" t="n"/>
      <c r="I1" s="198" t="n"/>
      <c r="J1" s="199" t="n"/>
      <c r="K1" s="64" t="inlineStr">
        <is>
          <t>GİP Sonrası</t>
        </is>
      </c>
      <c r="L1" s="198" t="n"/>
      <c r="M1" s="198" t="n"/>
      <c r="N1" s="198" t="n"/>
      <c r="O1" s="199" t="n"/>
    </row>
    <row r="2" ht="57.6" customFormat="1" customHeight="1" s="55">
      <c r="A2" s="57" t="inlineStr">
        <is>
          <t>Tarih</t>
        </is>
      </c>
      <c r="B2" s="58" t="inlineStr">
        <is>
          <t>UEVM(MWh)</t>
        </is>
      </c>
      <c r="C2" s="58" t="inlineStr">
        <is>
          <t>PTF (TL/MWh)</t>
        </is>
      </c>
      <c r="D2" s="58" t="inlineStr">
        <is>
          <t>SMF (TL/MWh)</t>
        </is>
      </c>
      <c r="E2" s="58" t="inlineStr">
        <is>
          <t>PTF (USD/MWh)</t>
        </is>
      </c>
      <c r="F2" s="153" t="inlineStr">
        <is>
          <t>İlk KUPST(TL)</t>
        </is>
      </c>
      <c r="G2" s="153" t="inlineStr">
        <is>
          <t>Toplam Maliyet(TL)</t>
        </is>
      </c>
      <c r="H2" s="153" t="inlineStr">
        <is>
          <t>Birim Maliyet(TL/MWh)</t>
        </is>
      </c>
      <c r="I2" s="153" t="inlineStr">
        <is>
          <t>Birim Maliyet(%)</t>
        </is>
      </c>
      <c r="J2" s="153" t="inlineStr">
        <is>
          <t>Dengesizlik Oranı (%)</t>
        </is>
      </c>
      <c r="K2" s="64" t="inlineStr">
        <is>
          <t>Son KUPST(TL)</t>
        </is>
      </c>
      <c r="L2" s="64" t="inlineStr">
        <is>
          <t>Toplam Maliyet(TL)</t>
        </is>
      </c>
      <c r="M2" s="64" t="inlineStr">
        <is>
          <t>Birim Maliyet(TL/MWh)</t>
        </is>
      </c>
      <c r="N2" s="64" t="inlineStr">
        <is>
          <t>Birim Maliyet(%)</t>
        </is>
      </c>
      <c r="O2" s="64" t="inlineStr">
        <is>
          <t>Dengesizlik Oranı (%)</t>
        </is>
      </c>
      <c r="P2" s="60" t="inlineStr">
        <is>
          <t>İdeal Tutar(TL)</t>
        </is>
      </c>
      <c r="Q2" s="60" t="inlineStr">
        <is>
          <t>Net Kazanılan Tutar(TL)</t>
        </is>
      </c>
      <c r="R2" s="61" t="inlineStr">
        <is>
          <t>KUPST Fayda(TL)</t>
        </is>
      </c>
      <c r="S2" s="62" t="inlineStr">
        <is>
          <t>GİP Sonrası KUPST İyileştirme Oranı(%)</t>
        </is>
      </c>
      <c r="T2" s="61" t="inlineStr">
        <is>
          <t>GİP Sonrası Toplam Fayda(TL)</t>
        </is>
      </c>
      <c r="U2" s="62" t="inlineStr">
        <is>
          <t>GİP Sonrası İyileştirme Oranı(%)</t>
        </is>
      </c>
    </row>
    <row r="3">
      <c r="A3" s="63" t="n">
        <v>46204</v>
      </c>
      <c r="B3" s="89">
        <f>'Opera Günlük Analiz'!G3</f>
        <v/>
      </c>
      <c r="C3" s="89">
        <f>'Opera Günlük Analiz'!C3</f>
        <v/>
      </c>
      <c r="D3" s="89">
        <f>'Opera Günlük Analiz'!D3</f>
        <v/>
      </c>
      <c r="E3" s="200">
        <f>'Opera Günlük Analiz'!E3</f>
        <v/>
      </c>
      <c r="F3" s="89">
        <f>'Opera Günlük Analiz'!M3</f>
        <v/>
      </c>
      <c r="G3" s="89">
        <f>'Opera Günlük Analiz'!S3</f>
        <v/>
      </c>
      <c r="H3" s="200">
        <f>'Opera Günlük Analiz'!U3</f>
        <v/>
      </c>
      <c r="I3" s="66">
        <f>'Opera Günlük Analiz'!V3</f>
        <v/>
      </c>
      <c r="J3" s="66">
        <f>'Opera Günlük Analiz'!W3</f>
        <v/>
      </c>
      <c r="K3" s="89">
        <f>'Opera Günlük Analiz'!Y3</f>
        <v/>
      </c>
      <c r="L3" s="89">
        <f>'Opera Günlük Analiz'!AG3</f>
        <v/>
      </c>
      <c r="M3" s="200">
        <f>'Opera Günlük Analiz'!AI3</f>
        <v/>
      </c>
      <c r="N3" s="66">
        <f>'Opera Günlük Analiz'!AJ3</f>
        <v/>
      </c>
      <c r="O3" s="66">
        <f>'Opera Günlük Analiz'!AK3</f>
        <v/>
      </c>
      <c r="P3" s="89">
        <f>'Opera Günlük Analiz'!F3</f>
        <v/>
      </c>
      <c r="Q3" s="89">
        <f>'Opera Günlük Analiz'!AE3</f>
        <v/>
      </c>
      <c r="R3" s="89">
        <f>F3-K3</f>
        <v/>
      </c>
      <c r="S3" s="72">
        <f>IFERROR(R3/F3,0)</f>
        <v/>
      </c>
      <c r="T3" s="89">
        <f>G3-L3</f>
        <v/>
      </c>
      <c r="U3" s="72">
        <f>IFERROR(T3/G3,0)</f>
        <v/>
      </c>
    </row>
    <row r="4">
      <c r="A4" s="63">
        <f>A3+1</f>
        <v/>
      </c>
      <c r="B4" s="90">
        <f>'Opera Günlük Analiz'!G4</f>
        <v/>
      </c>
      <c r="C4" s="90">
        <f>'Opera Günlük Analiz'!C4</f>
        <v/>
      </c>
      <c r="D4" s="90">
        <f>'Opera Günlük Analiz'!D4</f>
        <v/>
      </c>
      <c r="E4" s="201">
        <f>'Opera Günlük Analiz'!E4</f>
        <v/>
      </c>
      <c r="F4" s="90">
        <f>'Opera Günlük Analiz'!M4</f>
        <v/>
      </c>
      <c r="G4" s="90">
        <f>'Opera Günlük Analiz'!S4</f>
        <v/>
      </c>
      <c r="H4" s="201">
        <f>'Opera Günlük Analiz'!U4</f>
        <v/>
      </c>
      <c r="I4" s="68">
        <f>'Opera Günlük Analiz'!V4</f>
        <v/>
      </c>
      <c r="J4" s="68">
        <f>'Opera Günlük Analiz'!W4</f>
        <v/>
      </c>
      <c r="K4" s="90">
        <f>'Opera Günlük Analiz'!Y4</f>
        <v/>
      </c>
      <c r="L4" s="90">
        <f>'Opera Günlük Analiz'!AG4</f>
        <v/>
      </c>
      <c r="M4" s="201">
        <f>'Opera Günlük Analiz'!AI4</f>
        <v/>
      </c>
      <c r="N4" s="68">
        <f>'Opera Günlük Analiz'!AJ4</f>
        <v/>
      </c>
      <c r="O4" s="68">
        <f>'Opera Günlük Analiz'!AK4</f>
        <v/>
      </c>
      <c r="P4" s="90">
        <f>'Opera Günlük Analiz'!F4</f>
        <v/>
      </c>
      <c r="Q4" s="90">
        <f>'Opera Günlük Analiz'!AE4</f>
        <v/>
      </c>
      <c r="R4" s="90">
        <f>F4-K4</f>
        <v/>
      </c>
      <c r="S4" s="73">
        <f>IFERROR(R4/F4,0)</f>
        <v/>
      </c>
      <c r="T4" s="90">
        <f>G4-L4</f>
        <v/>
      </c>
      <c r="U4" s="73">
        <f>IFERROR(T4/G4,0)</f>
        <v/>
      </c>
    </row>
    <row r="5" ht="17.4" customHeight="1" s="188">
      <c r="A5" s="63">
        <f>A4+1</f>
        <v/>
      </c>
      <c r="B5" s="89">
        <f>'Opera Günlük Analiz'!G5</f>
        <v/>
      </c>
      <c r="C5" s="89">
        <f>'Opera Günlük Analiz'!C5</f>
        <v/>
      </c>
      <c r="D5" s="89">
        <f>'Opera Günlük Analiz'!D5</f>
        <v/>
      </c>
      <c r="E5" s="200">
        <f>'Opera Günlük Analiz'!E5</f>
        <v/>
      </c>
      <c r="F5" s="89">
        <f>'Opera Günlük Analiz'!M5</f>
        <v/>
      </c>
      <c r="G5" s="89">
        <f>'Opera Günlük Analiz'!S5</f>
        <v/>
      </c>
      <c r="H5" s="200">
        <f>'Opera Günlük Analiz'!U5</f>
        <v/>
      </c>
      <c r="I5" s="66">
        <f>'Opera Günlük Analiz'!V5</f>
        <v/>
      </c>
      <c r="J5" s="66">
        <f>'Opera Günlük Analiz'!W5</f>
        <v/>
      </c>
      <c r="K5" s="89">
        <f>'Opera Günlük Analiz'!Y5</f>
        <v/>
      </c>
      <c r="L5" s="89">
        <f>'Opera Günlük Analiz'!AG5</f>
        <v/>
      </c>
      <c r="M5" s="200">
        <f>'Opera Günlük Analiz'!AI5</f>
        <v/>
      </c>
      <c r="N5" s="66">
        <f>'Opera Günlük Analiz'!AJ5</f>
        <v/>
      </c>
      <c r="O5" s="66">
        <f>'Opera Günlük Analiz'!AK5</f>
        <v/>
      </c>
      <c r="P5" s="89">
        <f>'Opera Günlük Analiz'!F5</f>
        <v/>
      </c>
      <c r="Q5" s="89">
        <f>'Opera Günlük Analiz'!AE5</f>
        <v/>
      </c>
      <c r="R5" s="89">
        <f>F5-K5</f>
        <v/>
      </c>
      <c r="S5" s="72">
        <f>IFERROR(R5/F5,0)</f>
        <v/>
      </c>
      <c r="T5" s="89">
        <f>G5-L5</f>
        <v/>
      </c>
      <c r="U5" s="72">
        <f>IFERROR(T5/G5,0)</f>
        <v/>
      </c>
    </row>
    <row r="6">
      <c r="A6" s="63">
        <f>A5+1</f>
        <v/>
      </c>
      <c r="B6" s="90">
        <f>'Opera Günlük Analiz'!G6</f>
        <v/>
      </c>
      <c r="C6" s="90">
        <f>'Opera Günlük Analiz'!C6</f>
        <v/>
      </c>
      <c r="D6" s="90">
        <f>'Opera Günlük Analiz'!D6</f>
        <v/>
      </c>
      <c r="E6" s="201">
        <f>'Opera Günlük Analiz'!E6</f>
        <v/>
      </c>
      <c r="F6" s="90">
        <f>'Opera Günlük Analiz'!M6</f>
        <v/>
      </c>
      <c r="G6" s="90">
        <f>'Opera Günlük Analiz'!S6</f>
        <v/>
      </c>
      <c r="H6" s="201">
        <f>'Opera Günlük Analiz'!U6</f>
        <v/>
      </c>
      <c r="I6" s="68">
        <f>'Opera Günlük Analiz'!V6</f>
        <v/>
      </c>
      <c r="J6" s="68">
        <f>'Opera Günlük Analiz'!W6</f>
        <v/>
      </c>
      <c r="K6" s="90">
        <f>'Opera Günlük Analiz'!Y6</f>
        <v/>
      </c>
      <c r="L6" s="90">
        <f>'Opera Günlük Analiz'!AG6</f>
        <v/>
      </c>
      <c r="M6" s="201">
        <f>'Opera Günlük Analiz'!AI6</f>
        <v/>
      </c>
      <c r="N6" s="68">
        <f>'Opera Günlük Analiz'!AJ6</f>
        <v/>
      </c>
      <c r="O6" s="68">
        <f>'Opera Günlük Analiz'!AK6</f>
        <v/>
      </c>
      <c r="P6" s="90">
        <f>'Opera Günlük Analiz'!F6</f>
        <v/>
      </c>
      <c r="Q6" s="90">
        <f>'Opera Günlük Analiz'!AE6</f>
        <v/>
      </c>
      <c r="R6" s="90">
        <f>F6-K6</f>
        <v/>
      </c>
      <c r="S6" s="73">
        <f>IFERROR(R6/F6,0)</f>
        <v/>
      </c>
      <c r="T6" s="90">
        <f>G6-L6</f>
        <v/>
      </c>
      <c r="U6" s="73">
        <f>IFERROR(T6/G6,0)</f>
        <v/>
      </c>
    </row>
    <row r="7">
      <c r="A7" s="63">
        <f>A6+1</f>
        <v/>
      </c>
      <c r="B7" s="89">
        <f>'Opera Günlük Analiz'!G7</f>
        <v/>
      </c>
      <c r="C7" s="89">
        <f>'Opera Günlük Analiz'!C7</f>
        <v/>
      </c>
      <c r="D7" s="89">
        <f>'Opera Günlük Analiz'!D7</f>
        <v/>
      </c>
      <c r="E7" s="200">
        <f>'Opera Günlük Analiz'!E7</f>
        <v/>
      </c>
      <c r="F7" s="89">
        <f>'Opera Günlük Analiz'!M7</f>
        <v/>
      </c>
      <c r="G7" s="89">
        <f>'Opera Günlük Analiz'!S7</f>
        <v/>
      </c>
      <c r="H7" s="200">
        <f>'Opera Günlük Analiz'!U7</f>
        <v/>
      </c>
      <c r="I7" s="66">
        <f>'Opera Günlük Analiz'!V7</f>
        <v/>
      </c>
      <c r="J7" s="66">
        <f>'Opera Günlük Analiz'!W7</f>
        <v/>
      </c>
      <c r="K7" s="89">
        <f>'Opera Günlük Analiz'!Y7</f>
        <v/>
      </c>
      <c r="L7" s="89">
        <f>'Opera Günlük Analiz'!AG7</f>
        <v/>
      </c>
      <c r="M7" s="200">
        <f>'Opera Günlük Analiz'!AI7</f>
        <v/>
      </c>
      <c r="N7" s="66">
        <f>'Opera Günlük Analiz'!AJ7</f>
        <v/>
      </c>
      <c r="O7" s="66">
        <f>'Opera Günlük Analiz'!AK7</f>
        <v/>
      </c>
      <c r="P7" s="89">
        <f>'Opera Günlük Analiz'!F7</f>
        <v/>
      </c>
      <c r="Q7" s="89">
        <f>'Opera Günlük Analiz'!AE7</f>
        <v/>
      </c>
      <c r="R7" s="89">
        <f>F7-K7</f>
        <v/>
      </c>
      <c r="S7" s="72">
        <f>IFERROR(R7/F7,0)</f>
        <v/>
      </c>
      <c r="T7" s="89">
        <f>G7-L7</f>
        <v/>
      </c>
      <c r="U7" s="72">
        <f>IFERROR(T7/G7,0)</f>
        <v/>
      </c>
    </row>
    <row r="8">
      <c r="A8" s="63">
        <f>A7+1</f>
        <v/>
      </c>
      <c r="B8" s="90">
        <f>'Opera Günlük Analiz'!G8</f>
        <v/>
      </c>
      <c r="C8" s="90">
        <f>'Opera Günlük Analiz'!C8</f>
        <v/>
      </c>
      <c r="D8" s="90">
        <f>'Opera Günlük Analiz'!D8</f>
        <v/>
      </c>
      <c r="E8" s="201">
        <f>'Opera Günlük Analiz'!E8</f>
        <v/>
      </c>
      <c r="F8" s="90">
        <f>'Opera Günlük Analiz'!M8</f>
        <v/>
      </c>
      <c r="G8" s="90">
        <f>'Opera Günlük Analiz'!S8</f>
        <v/>
      </c>
      <c r="H8" s="201">
        <f>'Opera Günlük Analiz'!U8</f>
        <v/>
      </c>
      <c r="I8" s="68">
        <f>'Opera Günlük Analiz'!V8</f>
        <v/>
      </c>
      <c r="J8" s="68">
        <f>'Opera Günlük Analiz'!W8</f>
        <v/>
      </c>
      <c r="K8" s="90">
        <f>'Opera Günlük Analiz'!Y8</f>
        <v/>
      </c>
      <c r="L8" s="90">
        <f>'Opera Günlük Analiz'!AG8</f>
        <v/>
      </c>
      <c r="M8" s="201">
        <f>'Opera Günlük Analiz'!AI8</f>
        <v/>
      </c>
      <c r="N8" s="68">
        <f>'Opera Günlük Analiz'!AJ8</f>
        <v/>
      </c>
      <c r="O8" s="68">
        <f>'Opera Günlük Analiz'!AK8</f>
        <v/>
      </c>
      <c r="P8" s="90">
        <f>'Opera Günlük Analiz'!F8</f>
        <v/>
      </c>
      <c r="Q8" s="90">
        <f>'Opera Günlük Analiz'!AE8</f>
        <v/>
      </c>
      <c r="R8" s="90">
        <f>F8-K8</f>
        <v/>
      </c>
      <c r="S8" s="73">
        <f>IFERROR(R8/F8,0)</f>
        <v/>
      </c>
      <c r="T8" s="90">
        <f>G8-L8</f>
        <v/>
      </c>
      <c r="U8" s="73">
        <f>IFERROR(T8/G8,0)</f>
        <v/>
      </c>
    </row>
    <row r="9">
      <c r="A9" s="63">
        <f>A8+1</f>
        <v/>
      </c>
      <c r="B9" s="89">
        <f>'Opera Günlük Analiz'!G9</f>
        <v/>
      </c>
      <c r="C9" s="89">
        <f>'Opera Günlük Analiz'!C9</f>
        <v/>
      </c>
      <c r="D9" s="89">
        <f>'Opera Günlük Analiz'!D9</f>
        <v/>
      </c>
      <c r="E9" s="200">
        <f>'Opera Günlük Analiz'!E9</f>
        <v/>
      </c>
      <c r="F9" s="89">
        <f>'Opera Günlük Analiz'!M9</f>
        <v/>
      </c>
      <c r="G9" s="89">
        <f>'Opera Günlük Analiz'!S9</f>
        <v/>
      </c>
      <c r="H9" s="200">
        <f>'Opera Günlük Analiz'!U9</f>
        <v/>
      </c>
      <c r="I9" s="66">
        <f>'Opera Günlük Analiz'!V9</f>
        <v/>
      </c>
      <c r="J9" s="66">
        <f>'Opera Günlük Analiz'!W9</f>
        <v/>
      </c>
      <c r="K9" s="89">
        <f>'Opera Günlük Analiz'!Y9</f>
        <v/>
      </c>
      <c r="L9" s="89">
        <f>'Opera Günlük Analiz'!AG9</f>
        <v/>
      </c>
      <c r="M9" s="200">
        <f>'Opera Günlük Analiz'!AI9</f>
        <v/>
      </c>
      <c r="N9" s="66">
        <f>'Opera Günlük Analiz'!AJ9</f>
        <v/>
      </c>
      <c r="O9" s="66">
        <f>'Opera Günlük Analiz'!AK9</f>
        <v/>
      </c>
      <c r="P9" s="89">
        <f>'Opera Günlük Analiz'!F9</f>
        <v/>
      </c>
      <c r="Q9" s="89">
        <f>'Opera Günlük Analiz'!AE9</f>
        <v/>
      </c>
      <c r="R9" s="89">
        <f>F9-K9</f>
        <v/>
      </c>
      <c r="S9" s="72">
        <f>IFERROR(R9/F9,0)</f>
        <v/>
      </c>
      <c r="T9" s="89">
        <f>G9-L9</f>
        <v/>
      </c>
      <c r="U9" s="72">
        <f>IFERROR(T9/G9,0)</f>
        <v/>
      </c>
    </row>
    <row r="10">
      <c r="A10" s="63">
        <f>A9+1</f>
        <v/>
      </c>
      <c r="B10" s="90">
        <f>'Opera Günlük Analiz'!G10</f>
        <v/>
      </c>
      <c r="C10" s="90">
        <f>'Opera Günlük Analiz'!C10</f>
        <v/>
      </c>
      <c r="D10" s="90">
        <f>'Opera Günlük Analiz'!D10</f>
        <v/>
      </c>
      <c r="E10" s="201">
        <f>'Opera Günlük Analiz'!E10</f>
        <v/>
      </c>
      <c r="F10" s="90">
        <f>'Opera Günlük Analiz'!M10</f>
        <v/>
      </c>
      <c r="G10" s="90">
        <f>'Opera Günlük Analiz'!S10</f>
        <v/>
      </c>
      <c r="H10" s="201">
        <f>'Opera Günlük Analiz'!U10</f>
        <v/>
      </c>
      <c r="I10" s="68">
        <f>'Opera Günlük Analiz'!V10</f>
        <v/>
      </c>
      <c r="J10" s="68">
        <f>'Opera Günlük Analiz'!W10</f>
        <v/>
      </c>
      <c r="K10" s="90">
        <f>'Opera Günlük Analiz'!Y10</f>
        <v/>
      </c>
      <c r="L10" s="90">
        <f>'Opera Günlük Analiz'!AG10</f>
        <v/>
      </c>
      <c r="M10" s="201">
        <f>'Opera Günlük Analiz'!AI10</f>
        <v/>
      </c>
      <c r="N10" s="68">
        <f>'Opera Günlük Analiz'!AJ10</f>
        <v/>
      </c>
      <c r="O10" s="68">
        <f>'Opera Günlük Analiz'!AK10</f>
        <v/>
      </c>
      <c r="P10" s="90">
        <f>'Opera Günlük Analiz'!F10</f>
        <v/>
      </c>
      <c r="Q10" s="90">
        <f>'Opera Günlük Analiz'!AE10</f>
        <v/>
      </c>
      <c r="R10" s="90">
        <f>F10-K10</f>
        <v/>
      </c>
      <c r="S10" s="73">
        <f>IFERROR(R10/F10,0)</f>
        <v/>
      </c>
      <c r="T10" s="90">
        <f>G10-L10</f>
        <v/>
      </c>
      <c r="U10" s="73">
        <f>IFERROR(T10/G10,0)</f>
        <v/>
      </c>
    </row>
    <row r="11">
      <c r="A11" s="63">
        <f>A10+1</f>
        <v/>
      </c>
      <c r="B11" s="89">
        <f>'Opera Günlük Analiz'!G11</f>
        <v/>
      </c>
      <c r="C11" s="89">
        <f>'Opera Günlük Analiz'!C11</f>
        <v/>
      </c>
      <c r="D11" s="89">
        <f>'Opera Günlük Analiz'!D11</f>
        <v/>
      </c>
      <c r="E11" s="200">
        <f>'Opera Günlük Analiz'!E11</f>
        <v/>
      </c>
      <c r="F11" s="89">
        <f>'Opera Günlük Analiz'!M11</f>
        <v/>
      </c>
      <c r="G11" s="89">
        <f>'Opera Günlük Analiz'!S11</f>
        <v/>
      </c>
      <c r="H11" s="200">
        <f>'Opera Günlük Analiz'!U11</f>
        <v/>
      </c>
      <c r="I11" s="66">
        <f>'Opera Günlük Analiz'!V11</f>
        <v/>
      </c>
      <c r="J11" s="66">
        <f>'Opera Günlük Analiz'!W11</f>
        <v/>
      </c>
      <c r="K11" s="89">
        <f>'Opera Günlük Analiz'!Y11</f>
        <v/>
      </c>
      <c r="L11" s="89">
        <f>'Opera Günlük Analiz'!AG11</f>
        <v/>
      </c>
      <c r="M11" s="200">
        <f>'Opera Günlük Analiz'!AI11</f>
        <v/>
      </c>
      <c r="N11" s="66">
        <f>'Opera Günlük Analiz'!AJ11</f>
        <v/>
      </c>
      <c r="O11" s="66">
        <f>'Opera Günlük Analiz'!AK11</f>
        <v/>
      </c>
      <c r="P11" s="89">
        <f>'Opera Günlük Analiz'!F11</f>
        <v/>
      </c>
      <c r="Q11" s="89">
        <f>'Opera Günlük Analiz'!AE11</f>
        <v/>
      </c>
      <c r="R11" s="89">
        <f>F11-K11</f>
        <v/>
      </c>
      <c r="S11" s="72">
        <f>IFERROR(R11/F11,0)</f>
        <v/>
      </c>
      <c r="T11" s="89">
        <f>G11-L11</f>
        <v/>
      </c>
      <c r="U11" s="72">
        <f>IFERROR(T11/G11,0)</f>
        <v/>
      </c>
    </row>
    <row r="12">
      <c r="A12" s="63">
        <f>A11+1</f>
        <v/>
      </c>
      <c r="B12" s="90">
        <f>'Opera Günlük Analiz'!G12</f>
        <v/>
      </c>
      <c r="C12" s="90">
        <f>'Opera Günlük Analiz'!C12</f>
        <v/>
      </c>
      <c r="D12" s="90">
        <f>'Opera Günlük Analiz'!D12</f>
        <v/>
      </c>
      <c r="E12" s="201">
        <f>'Opera Günlük Analiz'!E12</f>
        <v/>
      </c>
      <c r="F12" s="90">
        <f>'Opera Günlük Analiz'!M12</f>
        <v/>
      </c>
      <c r="G12" s="90">
        <f>'Opera Günlük Analiz'!S12</f>
        <v/>
      </c>
      <c r="H12" s="201">
        <f>'Opera Günlük Analiz'!U12</f>
        <v/>
      </c>
      <c r="I12" s="68">
        <f>'Opera Günlük Analiz'!V12</f>
        <v/>
      </c>
      <c r="J12" s="68">
        <f>'Opera Günlük Analiz'!W12</f>
        <v/>
      </c>
      <c r="K12" s="90">
        <f>'Opera Günlük Analiz'!Y12</f>
        <v/>
      </c>
      <c r="L12" s="90">
        <f>'Opera Günlük Analiz'!AG12</f>
        <v/>
      </c>
      <c r="M12" s="201">
        <f>'Opera Günlük Analiz'!AI12</f>
        <v/>
      </c>
      <c r="N12" s="68">
        <f>'Opera Günlük Analiz'!AJ12</f>
        <v/>
      </c>
      <c r="O12" s="68">
        <f>'Opera Günlük Analiz'!AK12</f>
        <v/>
      </c>
      <c r="P12" s="90">
        <f>'Opera Günlük Analiz'!F12</f>
        <v/>
      </c>
      <c r="Q12" s="90">
        <f>'Opera Günlük Analiz'!AE12</f>
        <v/>
      </c>
      <c r="R12" s="90">
        <f>F12-K12</f>
        <v/>
      </c>
      <c r="S12" s="73">
        <f>IFERROR(R12/F12,0)</f>
        <v/>
      </c>
      <c r="T12" s="90">
        <f>G12-L12</f>
        <v/>
      </c>
      <c r="U12" s="73">
        <f>IFERROR(T12/G12,0)</f>
        <v/>
      </c>
    </row>
    <row r="13">
      <c r="A13" s="63">
        <f>A12+1</f>
        <v/>
      </c>
      <c r="B13" s="89">
        <f>'Opera Günlük Analiz'!G13</f>
        <v/>
      </c>
      <c r="C13" s="89">
        <f>'Opera Günlük Analiz'!C13</f>
        <v/>
      </c>
      <c r="D13" s="89">
        <f>'Opera Günlük Analiz'!D13</f>
        <v/>
      </c>
      <c r="E13" s="200">
        <f>'Opera Günlük Analiz'!E13</f>
        <v/>
      </c>
      <c r="F13" s="89">
        <f>'Opera Günlük Analiz'!M13</f>
        <v/>
      </c>
      <c r="G13" s="89">
        <f>'Opera Günlük Analiz'!S13</f>
        <v/>
      </c>
      <c r="H13" s="200">
        <f>'Opera Günlük Analiz'!U13</f>
        <v/>
      </c>
      <c r="I13" s="66">
        <f>'Opera Günlük Analiz'!V13</f>
        <v/>
      </c>
      <c r="J13" s="66">
        <f>'Opera Günlük Analiz'!W13</f>
        <v/>
      </c>
      <c r="K13" s="89">
        <f>'Opera Günlük Analiz'!Y13</f>
        <v/>
      </c>
      <c r="L13" s="89">
        <f>'Opera Günlük Analiz'!AG13</f>
        <v/>
      </c>
      <c r="M13" s="200">
        <f>'Opera Günlük Analiz'!AI13</f>
        <v/>
      </c>
      <c r="N13" s="66">
        <f>'Opera Günlük Analiz'!AJ13</f>
        <v/>
      </c>
      <c r="O13" s="66">
        <f>'Opera Günlük Analiz'!AK13</f>
        <v/>
      </c>
      <c r="P13" s="89">
        <f>'Opera Günlük Analiz'!F13</f>
        <v/>
      </c>
      <c r="Q13" s="89">
        <f>'Opera Günlük Analiz'!AE13</f>
        <v/>
      </c>
      <c r="R13" s="89">
        <f>F13-K13</f>
        <v/>
      </c>
      <c r="S13" s="72">
        <f>IFERROR(R13/F13,0)</f>
        <v/>
      </c>
      <c r="T13" s="89">
        <f>G13-L13</f>
        <v/>
      </c>
      <c r="U13" s="72">
        <f>IFERROR(T13/G13,0)</f>
        <v/>
      </c>
    </row>
    <row r="14">
      <c r="A14" s="63">
        <f>A13+1</f>
        <v/>
      </c>
      <c r="B14" s="90">
        <f>'Opera Günlük Analiz'!G14</f>
        <v/>
      </c>
      <c r="C14" s="90">
        <f>'Opera Günlük Analiz'!C14</f>
        <v/>
      </c>
      <c r="D14" s="90">
        <f>'Opera Günlük Analiz'!D14</f>
        <v/>
      </c>
      <c r="E14" s="201">
        <f>'Opera Günlük Analiz'!E14</f>
        <v/>
      </c>
      <c r="F14" s="90">
        <f>'Opera Günlük Analiz'!M14</f>
        <v/>
      </c>
      <c r="G14" s="90">
        <f>'Opera Günlük Analiz'!S14</f>
        <v/>
      </c>
      <c r="H14" s="201">
        <f>'Opera Günlük Analiz'!U14</f>
        <v/>
      </c>
      <c r="I14" s="68">
        <f>'Opera Günlük Analiz'!V14</f>
        <v/>
      </c>
      <c r="J14" s="68">
        <f>'Opera Günlük Analiz'!W14</f>
        <v/>
      </c>
      <c r="K14" s="90">
        <f>'Opera Günlük Analiz'!Y14</f>
        <v/>
      </c>
      <c r="L14" s="90">
        <f>'Opera Günlük Analiz'!AG14</f>
        <v/>
      </c>
      <c r="M14" s="201">
        <f>'Opera Günlük Analiz'!AI14</f>
        <v/>
      </c>
      <c r="N14" s="68">
        <f>'Opera Günlük Analiz'!AJ14</f>
        <v/>
      </c>
      <c r="O14" s="68">
        <f>'Opera Günlük Analiz'!AK14</f>
        <v/>
      </c>
      <c r="P14" s="90">
        <f>'Opera Günlük Analiz'!F14</f>
        <v/>
      </c>
      <c r="Q14" s="90">
        <f>'Opera Günlük Analiz'!AE14</f>
        <v/>
      </c>
      <c r="R14" s="90">
        <f>F14-K14</f>
        <v/>
      </c>
      <c r="S14" s="73">
        <f>IFERROR(R14/F14,0)</f>
        <v/>
      </c>
      <c r="T14" s="90">
        <f>G14-L14</f>
        <v/>
      </c>
      <c r="U14" s="73">
        <f>IFERROR(T14/G14,0)</f>
        <v/>
      </c>
    </row>
    <row r="15">
      <c r="A15" s="63">
        <f>A14+1</f>
        <v/>
      </c>
      <c r="B15" s="89">
        <f>'Opera Günlük Analiz'!G15</f>
        <v/>
      </c>
      <c r="C15" s="89">
        <f>'Opera Günlük Analiz'!C15</f>
        <v/>
      </c>
      <c r="D15" s="89">
        <f>'Opera Günlük Analiz'!D15</f>
        <v/>
      </c>
      <c r="E15" s="200">
        <f>'Opera Günlük Analiz'!E15</f>
        <v/>
      </c>
      <c r="F15" s="89">
        <f>'Opera Günlük Analiz'!M15</f>
        <v/>
      </c>
      <c r="G15" s="89">
        <f>'Opera Günlük Analiz'!S15</f>
        <v/>
      </c>
      <c r="H15" s="200">
        <f>'Opera Günlük Analiz'!U15</f>
        <v/>
      </c>
      <c r="I15" s="66">
        <f>'Opera Günlük Analiz'!V15</f>
        <v/>
      </c>
      <c r="J15" s="66">
        <f>'Opera Günlük Analiz'!W15</f>
        <v/>
      </c>
      <c r="K15" s="89">
        <f>'Opera Günlük Analiz'!Y15</f>
        <v/>
      </c>
      <c r="L15" s="89">
        <f>'Opera Günlük Analiz'!AG15</f>
        <v/>
      </c>
      <c r="M15" s="200">
        <f>'Opera Günlük Analiz'!AI15</f>
        <v/>
      </c>
      <c r="N15" s="66">
        <f>'Opera Günlük Analiz'!AJ15</f>
        <v/>
      </c>
      <c r="O15" s="66">
        <f>'Opera Günlük Analiz'!AK15</f>
        <v/>
      </c>
      <c r="P15" s="89">
        <f>'Opera Günlük Analiz'!F15</f>
        <v/>
      </c>
      <c r="Q15" s="89">
        <f>'Opera Günlük Analiz'!AE15</f>
        <v/>
      </c>
      <c r="R15" s="89">
        <f>F15-K15</f>
        <v/>
      </c>
      <c r="S15" s="72">
        <f>IFERROR(R15/F15,0)</f>
        <v/>
      </c>
      <c r="T15" s="89">
        <f>G15-L15</f>
        <v/>
      </c>
      <c r="U15" s="72">
        <f>IFERROR(T15/G15,0)</f>
        <v/>
      </c>
    </row>
    <row r="16">
      <c r="A16" s="63">
        <f>A15+1</f>
        <v/>
      </c>
      <c r="B16" s="90">
        <f>'Opera Günlük Analiz'!G16</f>
        <v/>
      </c>
      <c r="C16" s="90">
        <f>'Opera Günlük Analiz'!C16</f>
        <v/>
      </c>
      <c r="D16" s="90">
        <f>'Opera Günlük Analiz'!D16</f>
        <v/>
      </c>
      <c r="E16" s="201">
        <f>'Opera Günlük Analiz'!E16</f>
        <v/>
      </c>
      <c r="F16" s="90">
        <f>'Opera Günlük Analiz'!M16</f>
        <v/>
      </c>
      <c r="G16" s="90">
        <f>'Opera Günlük Analiz'!S16</f>
        <v/>
      </c>
      <c r="H16" s="201">
        <f>'Opera Günlük Analiz'!U16</f>
        <v/>
      </c>
      <c r="I16" s="68">
        <f>'Opera Günlük Analiz'!V16</f>
        <v/>
      </c>
      <c r="J16" s="68">
        <f>'Opera Günlük Analiz'!W16</f>
        <v/>
      </c>
      <c r="K16" s="90">
        <f>'Opera Günlük Analiz'!Y16</f>
        <v/>
      </c>
      <c r="L16" s="90">
        <f>'Opera Günlük Analiz'!AG16</f>
        <v/>
      </c>
      <c r="M16" s="201">
        <f>'Opera Günlük Analiz'!AI16</f>
        <v/>
      </c>
      <c r="N16" s="68">
        <f>'Opera Günlük Analiz'!AJ16</f>
        <v/>
      </c>
      <c r="O16" s="68">
        <f>'Opera Günlük Analiz'!AK16</f>
        <v/>
      </c>
      <c r="P16" s="90">
        <f>'Opera Günlük Analiz'!F16</f>
        <v/>
      </c>
      <c r="Q16" s="90">
        <f>'Opera Günlük Analiz'!AE16</f>
        <v/>
      </c>
      <c r="R16" s="90">
        <f>F16-K16</f>
        <v/>
      </c>
      <c r="S16" s="73">
        <f>IFERROR(R16/F16,0)</f>
        <v/>
      </c>
      <c r="T16" s="90">
        <f>G16-L16</f>
        <v/>
      </c>
      <c r="U16" s="73">
        <f>IFERROR(T16/G16,0)</f>
        <v/>
      </c>
    </row>
    <row r="17">
      <c r="A17" s="63">
        <f>A16+1</f>
        <v/>
      </c>
      <c r="B17" s="89">
        <f>'Opera Günlük Analiz'!G17</f>
        <v/>
      </c>
      <c r="C17" s="89">
        <f>'Opera Günlük Analiz'!C17</f>
        <v/>
      </c>
      <c r="D17" s="89">
        <f>'Opera Günlük Analiz'!D17</f>
        <v/>
      </c>
      <c r="E17" s="200">
        <f>'Opera Günlük Analiz'!E17</f>
        <v/>
      </c>
      <c r="F17" s="89">
        <f>'Opera Günlük Analiz'!M17</f>
        <v/>
      </c>
      <c r="G17" s="89">
        <f>'Opera Günlük Analiz'!S17</f>
        <v/>
      </c>
      <c r="H17" s="200">
        <f>'Opera Günlük Analiz'!U17</f>
        <v/>
      </c>
      <c r="I17" s="66">
        <f>'Opera Günlük Analiz'!V17</f>
        <v/>
      </c>
      <c r="J17" s="66">
        <f>'Opera Günlük Analiz'!W17</f>
        <v/>
      </c>
      <c r="K17" s="89">
        <f>'Opera Günlük Analiz'!Y17</f>
        <v/>
      </c>
      <c r="L17" s="89">
        <f>'Opera Günlük Analiz'!AG17</f>
        <v/>
      </c>
      <c r="M17" s="200">
        <f>'Opera Günlük Analiz'!AI17</f>
        <v/>
      </c>
      <c r="N17" s="66">
        <f>'Opera Günlük Analiz'!AJ17</f>
        <v/>
      </c>
      <c r="O17" s="66">
        <f>'Opera Günlük Analiz'!AK17</f>
        <v/>
      </c>
      <c r="P17" s="89">
        <f>'Opera Günlük Analiz'!F17</f>
        <v/>
      </c>
      <c r="Q17" s="89">
        <f>'Opera Günlük Analiz'!AE17</f>
        <v/>
      </c>
      <c r="R17" s="89">
        <f>F17-K17</f>
        <v/>
      </c>
      <c r="S17" s="72">
        <f>IFERROR(R17/F17,0)</f>
        <v/>
      </c>
      <c r="T17" s="89">
        <f>G17-L17</f>
        <v/>
      </c>
      <c r="U17" s="72">
        <f>IFERROR(T17/G17,0)</f>
        <v/>
      </c>
    </row>
    <row r="18">
      <c r="A18" s="63">
        <f>A17+1</f>
        <v/>
      </c>
      <c r="B18" s="90">
        <f>'Opera Günlük Analiz'!G18</f>
        <v/>
      </c>
      <c r="C18" s="90">
        <f>'Opera Günlük Analiz'!C18</f>
        <v/>
      </c>
      <c r="D18" s="90">
        <f>'Opera Günlük Analiz'!D18</f>
        <v/>
      </c>
      <c r="E18" s="201">
        <f>'Opera Günlük Analiz'!E18</f>
        <v/>
      </c>
      <c r="F18" s="90">
        <f>'Opera Günlük Analiz'!M18</f>
        <v/>
      </c>
      <c r="G18" s="90">
        <f>'Opera Günlük Analiz'!S18</f>
        <v/>
      </c>
      <c r="H18" s="201">
        <f>'Opera Günlük Analiz'!U18</f>
        <v/>
      </c>
      <c r="I18" s="68">
        <f>'Opera Günlük Analiz'!V18</f>
        <v/>
      </c>
      <c r="J18" s="68">
        <f>'Opera Günlük Analiz'!W18</f>
        <v/>
      </c>
      <c r="K18" s="90">
        <f>'Opera Günlük Analiz'!Y18</f>
        <v/>
      </c>
      <c r="L18" s="90">
        <f>'Opera Günlük Analiz'!AG18</f>
        <v/>
      </c>
      <c r="M18" s="201">
        <f>'Opera Günlük Analiz'!AI18</f>
        <v/>
      </c>
      <c r="N18" s="68">
        <f>'Opera Günlük Analiz'!AJ18</f>
        <v/>
      </c>
      <c r="O18" s="68">
        <f>'Opera Günlük Analiz'!AK18</f>
        <v/>
      </c>
      <c r="P18" s="90">
        <f>'Opera Günlük Analiz'!F18</f>
        <v/>
      </c>
      <c r="Q18" s="90">
        <f>'Opera Günlük Analiz'!AE18</f>
        <v/>
      </c>
      <c r="R18" s="90">
        <f>F18-K18</f>
        <v/>
      </c>
      <c r="S18" s="73">
        <f>IFERROR(R18/F18,0)</f>
        <v/>
      </c>
      <c r="T18" s="90">
        <f>G18-L18</f>
        <v/>
      </c>
      <c r="U18" s="73">
        <f>IFERROR(T18/G18,0)</f>
        <v/>
      </c>
    </row>
    <row r="19">
      <c r="A19" s="63">
        <f>A18+1</f>
        <v/>
      </c>
      <c r="B19" s="89">
        <f>'Opera Günlük Analiz'!G19</f>
        <v/>
      </c>
      <c r="C19" s="89">
        <f>'Opera Günlük Analiz'!C19</f>
        <v/>
      </c>
      <c r="D19" s="89">
        <f>'Opera Günlük Analiz'!D19</f>
        <v/>
      </c>
      <c r="E19" s="200">
        <f>'Opera Günlük Analiz'!E19</f>
        <v/>
      </c>
      <c r="F19" s="89">
        <f>'Opera Günlük Analiz'!M19</f>
        <v/>
      </c>
      <c r="G19" s="89">
        <f>'Opera Günlük Analiz'!S19</f>
        <v/>
      </c>
      <c r="H19" s="200">
        <f>'Opera Günlük Analiz'!U19</f>
        <v/>
      </c>
      <c r="I19" s="66">
        <f>'Opera Günlük Analiz'!V19</f>
        <v/>
      </c>
      <c r="J19" s="66">
        <f>'Opera Günlük Analiz'!W19</f>
        <v/>
      </c>
      <c r="K19" s="89">
        <f>'Opera Günlük Analiz'!Y19</f>
        <v/>
      </c>
      <c r="L19" s="89">
        <f>'Opera Günlük Analiz'!AG19</f>
        <v/>
      </c>
      <c r="M19" s="200">
        <f>'Opera Günlük Analiz'!AI19</f>
        <v/>
      </c>
      <c r="N19" s="66">
        <f>'Opera Günlük Analiz'!AJ19</f>
        <v/>
      </c>
      <c r="O19" s="66">
        <f>'Opera Günlük Analiz'!AK19</f>
        <v/>
      </c>
      <c r="P19" s="89">
        <f>'Opera Günlük Analiz'!F19</f>
        <v/>
      </c>
      <c r="Q19" s="89">
        <f>'Opera Günlük Analiz'!AE19</f>
        <v/>
      </c>
      <c r="R19" s="89">
        <f>F19-K19</f>
        <v/>
      </c>
      <c r="S19" s="72">
        <f>IFERROR(R19/F19,0)</f>
        <v/>
      </c>
      <c r="T19" s="89">
        <f>G19-L19</f>
        <v/>
      </c>
      <c r="U19" s="72">
        <f>IFERROR(T19/G19,0)</f>
        <v/>
      </c>
    </row>
    <row r="20">
      <c r="A20" s="63">
        <f>A19+1</f>
        <v/>
      </c>
      <c r="B20" s="90">
        <f>'Opera Günlük Analiz'!G20</f>
        <v/>
      </c>
      <c r="C20" s="90">
        <f>'Opera Günlük Analiz'!C20</f>
        <v/>
      </c>
      <c r="D20" s="90">
        <f>'Opera Günlük Analiz'!D20</f>
        <v/>
      </c>
      <c r="E20" s="201">
        <f>'Opera Günlük Analiz'!E20</f>
        <v/>
      </c>
      <c r="F20" s="90">
        <f>'Opera Günlük Analiz'!M20</f>
        <v/>
      </c>
      <c r="G20" s="90">
        <f>'Opera Günlük Analiz'!S20</f>
        <v/>
      </c>
      <c r="H20" s="201">
        <f>'Opera Günlük Analiz'!U20</f>
        <v/>
      </c>
      <c r="I20" s="68">
        <f>'Opera Günlük Analiz'!V20</f>
        <v/>
      </c>
      <c r="J20" s="68">
        <f>'Opera Günlük Analiz'!W20</f>
        <v/>
      </c>
      <c r="K20" s="90">
        <f>'Opera Günlük Analiz'!Y20</f>
        <v/>
      </c>
      <c r="L20" s="90">
        <f>'Opera Günlük Analiz'!AG20</f>
        <v/>
      </c>
      <c r="M20" s="201">
        <f>'Opera Günlük Analiz'!AI20</f>
        <v/>
      </c>
      <c r="N20" s="68">
        <f>'Opera Günlük Analiz'!AJ20</f>
        <v/>
      </c>
      <c r="O20" s="68">
        <f>'Opera Günlük Analiz'!AK20</f>
        <v/>
      </c>
      <c r="P20" s="90">
        <f>'Opera Günlük Analiz'!F20</f>
        <v/>
      </c>
      <c r="Q20" s="90">
        <f>'Opera Günlük Analiz'!AE20</f>
        <v/>
      </c>
      <c r="R20" s="90">
        <f>F20-K20</f>
        <v/>
      </c>
      <c r="S20" s="73">
        <f>IFERROR(R20/F20,0)</f>
        <v/>
      </c>
      <c r="T20" s="90">
        <f>G20-L20</f>
        <v/>
      </c>
      <c r="U20" s="73">
        <f>IFERROR(T20/G20,0)</f>
        <v/>
      </c>
    </row>
    <row r="21">
      <c r="A21" s="63">
        <f>A20+1</f>
        <v/>
      </c>
      <c r="B21" s="89">
        <f>'Opera Günlük Analiz'!G21</f>
        <v/>
      </c>
      <c r="C21" s="89">
        <f>'Opera Günlük Analiz'!C21</f>
        <v/>
      </c>
      <c r="D21" s="89">
        <f>'Opera Günlük Analiz'!D21</f>
        <v/>
      </c>
      <c r="E21" s="200">
        <f>'Opera Günlük Analiz'!E21</f>
        <v/>
      </c>
      <c r="F21" s="89">
        <f>'Opera Günlük Analiz'!M21</f>
        <v/>
      </c>
      <c r="G21" s="89">
        <f>'Opera Günlük Analiz'!S21</f>
        <v/>
      </c>
      <c r="H21" s="200">
        <f>'Opera Günlük Analiz'!U21</f>
        <v/>
      </c>
      <c r="I21" s="66">
        <f>'Opera Günlük Analiz'!V21</f>
        <v/>
      </c>
      <c r="J21" s="66">
        <f>'Opera Günlük Analiz'!W21</f>
        <v/>
      </c>
      <c r="K21" s="89">
        <f>'Opera Günlük Analiz'!Y21</f>
        <v/>
      </c>
      <c r="L21" s="89">
        <f>'Opera Günlük Analiz'!AG21</f>
        <v/>
      </c>
      <c r="M21" s="200">
        <f>'Opera Günlük Analiz'!AI21</f>
        <v/>
      </c>
      <c r="N21" s="66">
        <f>'Opera Günlük Analiz'!AJ21</f>
        <v/>
      </c>
      <c r="O21" s="66">
        <f>'Opera Günlük Analiz'!AK21</f>
        <v/>
      </c>
      <c r="P21" s="89">
        <f>'Opera Günlük Analiz'!F21</f>
        <v/>
      </c>
      <c r="Q21" s="89">
        <f>'Opera Günlük Analiz'!AE21</f>
        <v/>
      </c>
      <c r="R21" s="89">
        <f>F21-K21</f>
        <v/>
      </c>
      <c r="S21" s="72">
        <f>IFERROR(R21/F21,0)</f>
        <v/>
      </c>
      <c r="T21" s="89">
        <f>G21-L21</f>
        <v/>
      </c>
      <c r="U21" s="72">
        <f>IFERROR(T21/G21,0)</f>
        <v/>
      </c>
    </row>
    <row r="22">
      <c r="A22" s="63">
        <f>A21+1</f>
        <v/>
      </c>
      <c r="B22" s="90">
        <f>'Opera Günlük Analiz'!G22</f>
        <v/>
      </c>
      <c r="C22" s="90">
        <f>'Opera Günlük Analiz'!C22</f>
        <v/>
      </c>
      <c r="D22" s="90">
        <f>'Opera Günlük Analiz'!D22</f>
        <v/>
      </c>
      <c r="E22" s="201">
        <f>'Opera Günlük Analiz'!E22</f>
        <v/>
      </c>
      <c r="F22" s="90">
        <f>'Opera Günlük Analiz'!M22</f>
        <v/>
      </c>
      <c r="G22" s="90">
        <f>'Opera Günlük Analiz'!S22</f>
        <v/>
      </c>
      <c r="H22" s="201">
        <f>'Opera Günlük Analiz'!U22</f>
        <v/>
      </c>
      <c r="I22" s="68">
        <f>'Opera Günlük Analiz'!V22</f>
        <v/>
      </c>
      <c r="J22" s="68">
        <f>'Opera Günlük Analiz'!W22</f>
        <v/>
      </c>
      <c r="K22" s="90">
        <f>'Opera Günlük Analiz'!Y22</f>
        <v/>
      </c>
      <c r="L22" s="90">
        <f>'Opera Günlük Analiz'!AG22</f>
        <v/>
      </c>
      <c r="M22" s="201">
        <f>'Opera Günlük Analiz'!AI22</f>
        <v/>
      </c>
      <c r="N22" s="68">
        <f>'Opera Günlük Analiz'!AJ22</f>
        <v/>
      </c>
      <c r="O22" s="68">
        <f>'Opera Günlük Analiz'!AK22</f>
        <v/>
      </c>
      <c r="P22" s="90">
        <f>'Opera Günlük Analiz'!F22</f>
        <v/>
      </c>
      <c r="Q22" s="90">
        <f>'Opera Günlük Analiz'!AE22</f>
        <v/>
      </c>
      <c r="R22" s="90">
        <f>F22-K22</f>
        <v/>
      </c>
      <c r="S22" s="73">
        <f>IFERROR(R22/F22,0)</f>
        <v/>
      </c>
      <c r="T22" s="90">
        <f>G22-L22</f>
        <v/>
      </c>
      <c r="U22" s="73">
        <f>IFERROR(T22/G22,0)</f>
        <v/>
      </c>
    </row>
    <row r="23">
      <c r="A23" s="63">
        <f>A22+1</f>
        <v/>
      </c>
      <c r="B23" s="89">
        <f>'Opera Günlük Analiz'!G23</f>
        <v/>
      </c>
      <c r="C23" s="89">
        <f>'Opera Günlük Analiz'!C23</f>
        <v/>
      </c>
      <c r="D23" s="89">
        <f>'Opera Günlük Analiz'!D23</f>
        <v/>
      </c>
      <c r="E23" s="200">
        <f>'Opera Günlük Analiz'!E23</f>
        <v/>
      </c>
      <c r="F23" s="89">
        <f>'Opera Günlük Analiz'!M23</f>
        <v/>
      </c>
      <c r="G23" s="89">
        <f>'Opera Günlük Analiz'!S23</f>
        <v/>
      </c>
      <c r="H23" s="200">
        <f>'Opera Günlük Analiz'!U23</f>
        <v/>
      </c>
      <c r="I23" s="66">
        <f>'Opera Günlük Analiz'!V23</f>
        <v/>
      </c>
      <c r="J23" s="66">
        <f>'Opera Günlük Analiz'!W23</f>
        <v/>
      </c>
      <c r="K23" s="89">
        <f>'Opera Günlük Analiz'!Y23</f>
        <v/>
      </c>
      <c r="L23" s="89">
        <f>'Opera Günlük Analiz'!AG23</f>
        <v/>
      </c>
      <c r="M23" s="200">
        <f>'Opera Günlük Analiz'!AI23</f>
        <v/>
      </c>
      <c r="N23" s="66">
        <f>'Opera Günlük Analiz'!AJ23</f>
        <v/>
      </c>
      <c r="O23" s="66">
        <f>'Opera Günlük Analiz'!AK23</f>
        <v/>
      </c>
      <c r="P23" s="89">
        <f>'Opera Günlük Analiz'!F23</f>
        <v/>
      </c>
      <c r="Q23" s="89">
        <f>'Opera Günlük Analiz'!AE23</f>
        <v/>
      </c>
      <c r="R23" s="89">
        <f>F23-K23</f>
        <v/>
      </c>
      <c r="S23" s="72">
        <f>IFERROR(R23/F23,0)</f>
        <v/>
      </c>
      <c r="T23" s="89">
        <f>G23-L23</f>
        <v/>
      </c>
      <c r="U23" s="72">
        <f>IFERROR(T23/G23,0)</f>
        <v/>
      </c>
    </row>
    <row r="24">
      <c r="A24" s="63">
        <f>A23+1</f>
        <v/>
      </c>
      <c r="B24" s="90">
        <f>'Opera Günlük Analiz'!G24</f>
        <v/>
      </c>
      <c r="C24" s="90">
        <f>'Opera Günlük Analiz'!C24</f>
        <v/>
      </c>
      <c r="D24" s="90">
        <f>'Opera Günlük Analiz'!D24</f>
        <v/>
      </c>
      <c r="E24" s="201">
        <f>'Opera Günlük Analiz'!E24</f>
        <v/>
      </c>
      <c r="F24" s="90">
        <f>'Opera Günlük Analiz'!M24</f>
        <v/>
      </c>
      <c r="G24" s="90">
        <f>'Opera Günlük Analiz'!S24</f>
        <v/>
      </c>
      <c r="H24" s="201">
        <f>'Opera Günlük Analiz'!U24</f>
        <v/>
      </c>
      <c r="I24" s="68">
        <f>'Opera Günlük Analiz'!V24</f>
        <v/>
      </c>
      <c r="J24" s="68">
        <f>'Opera Günlük Analiz'!W24</f>
        <v/>
      </c>
      <c r="K24" s="90">
        <f>'Opera Günlük Analiz'!Y24</f>
        <v/>
      </c>
      <c r="L24" s="90">
        <f>'Opera Günlük Analiz'!AG24</f>
        <v/>
      </c>
      <c r="M24" s="201">
        <f>'Opera Günlük Analiz'!AI24</f>
        <v/>
      </c>
      <c r="N24" s="68">
        <f>'Opera Günlük Analiz'!AJ24</f>
        <v/>
      </c>
      <c r="O24" s="68">
        <f>'Opera Günlük Analiz'!AK24</f>
        <v/>
      </c>
      <c r="P24" s="90">
        <f>'Opera Günlük Analiz'!F24</f>
        <v/>
      </c>
      <c r="Q24" s="90">
        <f>'Opera Günlük Analiz'!AE24</f>
        <v/>
      </c>
      <c r="R24" s="90">
        <f>F24-K24</f>
        <v/>
      </c>
      <c r="S24" s="73">
        <f>IFERROR(R24/F24,0)</f>
        <v/>
      </c>
      <c r="T24" s="90">
        <f>G24-L24</f>
        <v/>
      </c>
      <c r="U24" s="73">
        <f>IFERROR(T24/G24,0)</f>
        <v/>
      </c>
    </row>
    <row r="25">
      <c r="A25" s="63">
        <f>A24+1</f>
        <v/>
      </c>
      <c r="B25" s="89">
        <f>'Opera Günlük Analiz'!G25</f>
        <v/>
      </c>
      <c r="C25" s="89">
        <f>'Opera Günlük Analiz'!C25</f>
        <v/>
      </c>
      <c r="D25" s="89">
        <f>'Opera Günlük Analiz'!D25</f>
        <v/>
      </c>
      <c r="E25" s="200">
        <f>'Opera Günlük Analiz'!E25</f>
        <v/>
      </c>
      <c r="F25" s="89">
        <f>'Opera Günlük Analiz'!M25</f>
        <v/>
      </c>
      <c r="G25" s="89">
        <f>'Opera Günlük Analiz'!S25</f>
        <v/>
      </c>
      <c r="H25" s="200">
        <f>'Opera Günlük Analiz'!U25</f>
        <v/>
      </c>
      <c r="I25" s="66">
        <f>'Opera Günlük Analiz'!V25</f>
        <v/>
      </c>
      <c r="J25" s="66">
        <f>'Opera Günlük Analiz'!W25</f>
        <v/>
      </c>
      <c r="K25" s="89">
        <f>'Opera Günlük Analiz'!Y25</f>
        <v/>
      </c>
      <c r="L25" s="89">
        <f>'Opera Günlük Analiz'!AG25</f>
        <v/>
      </c>
      <c r="M25" s="200">
        <f>'Opera Günlük Analiz'!AI25</f>
        <v/>
      </c>
      <c r="N25" s="66">
        <f>'Opera Günlük Analiz'!AJ25</f>
        <v/>
      </c>
      <c r="O25" s="66">
        <f>'Opera Günlük Analiz'!AK25</f>
        <v/>
      </c>
      <c r="P25" s="89">
        <f>'Opera Günlük Analiz'!F25</f>
        <v/>
      </c>
      <c r="Q25" s="89">
        <f>'Opera Günlük Analiz'!AE25</f>
        <v/>
      </c>
      <c r="R25" s="89">
        <f>F25-K25</f>
        <v/>
      </c>
      <c r="S25" s="72">
        <f>IFERROR(R25/F25,0)</f>
        <v/>
      </c>
      <c r="T25" s="89">
        <f>G25-L25</f>
        <v/>
      </c>
      <c r="U25" s="72">
        <f>IFERROR(T25/G25,0)</f>
        <v/>
      </c>
    </row>
    <row r="26">
      <c r="A26" s="63">
        <f>A25+1</f>
        <v/>
      </c>
      <c r="B26" s="91">
        <f>'Opera Günlük Analiz'!G26</f>
        <v/>
      </c>
      <c r="C26" s="91">
        <f>'Opera Günlük Analiz'!C26</f>
        <v/>
      </c>
      <c r="D26" s="91">
        <f>'Opera Günlük Analiz'!D26</f>
        <v/>
      </c>
      <c r="E26" s="202">
        <f>'Opera Günlük Analiz'!E26</f>
        <v/>
      </c>
      <c r="F26" s="91">
        <f>'Opera Günlük Analiz'!M26</f>
        <v/>
      </c>
      <c r="G26" s="91">
        <f>'Opera Günlük Analiz'!S26</f>
        <v/>
      </c>
      <c r="H26" s="201">
        <f>'Opera Günlük Analiz'!U26</f>
        <v/>
      </c>
      <c r="I26" s="68">
        <f>'Opera Günlük Analiz'!V26</f>
        <v/>
      </c>
      <c r="J26" s="68">
        <f>'Opera Günlük Analiz'!W26</f>
        <v/>
      </c>
      <c r="K26" s="91">
        <f>'Opera Günlük Analiz'!Y26</f>
        <v/>
      </c>
      <c r="L26" s="91">
        <f>'Opera Günlük Analiz'!AG26</f>
        <v/>
      </c>
      <c r="M26" s="201">
        <f>'Opera Günlük Analiz'!AI26</f>
        <v/>
      </c>
      <c r="N26" s="68">
        <f>'Opera Günlük Analiz'!AJ26</f>
        <v/>
      </c>
      <c r="O26" s="68">
        <f>'Opera Günlük Analiz'!AK26</f>
        <v/>
      </c>
      <c r="P26" s="91">
        <f>'Opera Günlük Analiz'!F26</f>
        <v/>
      </c>
      <c r="Q26" s="91">
        <f>'Opera Günlük Analiz'!AE26</f>
        <v/>
      </c>
      <c r="R26" s="91">
        <f>F26-K26</f>
        <v/>
      </c>
      <c r="S26" s="74">
        <f>IFERROR(R26/F26,0)</f>
        <v/>
      </c>
      <c r="T26" s="91">
        <f>G26-L26</f>
        <v/>
      </c>
      <c r="U26" s="74">
        <f>IFERROR(T26/G26,0)</f>
        <v/>
      </c>
    </row>
    <row r="27">
      <c r="A27" s="63">
        <f>A26+1</f>
        <v/>
      </c>
      <c r="B27" s="92">
        <f>'Opera Günlük Analiz'!G27</f>
        <v/>
      </c>
      <c r="C27" s="92">
        <f>'Opera Günlük Analiz'!C27</f>
        <v/>
      </c>
      <c r="D27" s="92">
        <f>'Opera Günlük Analiz'!D27</f>
        <v/>
      </c>
      <c r="E27" s="203">
        <f>'Opera Günlük Analiz'!E27</f>
        <v/>
      </c>
      <c r="F27" s="92">
        <f>'Opera Günlük Analiz'!M27</f>
        <v/>
      </c>
      <c r="G27" s="92">
        <f>'Opera Günlük Analiz'!S27</f>
        <v/>
      </c>
      <c r="H27" s="200">
        <f>'Opera Günlük Analiz'!U27</f>
        <v/>
      </c>
      <c r="I27" s="66">
        <f>'Opera Günlük Analiz'!V27</f>
        <v/>
      </c>
      <c r="J27" s="66">
        <f>'Opera Günlük Analiz'!W27</f>
        <v/>
      </c>
      <c r="K27" s="92">
        <f>'Opera Günlük Analiz'!Y27</f>
        <v/>
      </c>
      <c r="L27" s="92">
        <f>'Opera Günlük Analiz'!AG27</f>
        <v/>
      </c>
      <c r="M27" s="200">
        <f>'Opera Günlük Analiz'!AI27</f>
        <v/>
      </c>
      <c r="N27" s="66">
        <f>'Opera Günlük Analiz'!AJ27</f>
        <v/>
      </c>
      <c r="O27" s="66">
        <f>'Opera Günlük Analiz'!AK27</f>
        <v/>
      </c>
      <c r="P27" s="92">
        <f>'Opera Günlük Analiz'!F27</f>
        <v/>
      </c>
      <c r="Q27" s="92">
        <f>'Opera Günlük Analiz'!AE27</f>
        <v/>
      </c>
      <c r="R27" s="92">
        <f>F27-K27</f>
        <v/>
      </c>
      <c r="S27" s="75">
        <f>IFERROR(R27/F27,0)</f>
        <v/>
      </c>
      <c r="T27" s="92">
        <f>G27-L27</f>
        <v/>
      </c>
      <c r="U27" s="75">
        <f>IFERROR(T27/G27,0)</f>
        <v/>
      </c>
    </row>
    <row r="28" customFormat="1" s="56">
      <c r="A28" s="63">
        <f>A27+1</f>
        <v/>
      </c>
      <c r="B28" s="93">
        <f>'Opera Günlük Analiz'!G28</f>
        <v/>
      </c>
      <c r="C28" s="93">
        <f>'Opera Günlük Analiz'!C28</f>
        <v/>
      </c>
      <c r="D28" s="93">
        <f>'Opera Günlük Analiz'!D28</f>
        <v/>
      </c>
      <c r="E28" s="204">
        <f>'Opera Günlük Analiz'!E28</f>
        <v/>
      </c>
      <c r="F28" s="93">
        <f>'Opera Günlük Analiz'!M28</f>
        <v/>
      </c>
      <c r="G28" s="93">
        <f>'Opera Günlük Analiz'!S28</f>
        <v/>
      </c>
      <c r="H28" s="201">
        <f>'Opera Günlük Analiz'!U28</f>
        <v/>
      </c>
      <c r="I28" s="68">
        <f>'Opera Günlük Analiz'!V28</f>
        <v/>
      </c>
      <c r="J28" s="68">
        <f>'Opera Günlük Analiz'!W28</f>
        <v/>
      </c>
      <c r="K28" s="93">
        <f>'Opera Günlük Analiz'!Y28</f>
        <v/>
      </c>
      <c r="L28" s="93">
        <f>'Opera Günlük Analiz'!AG28</f>
        <v/>
      </c>
      <c r="M28" s="201">
        <f>'Opera Günlük Analiz'!AI28</f>
        <v/>
      </c>
      <c r="N28" s="68">
        <f>'Opera Günlük Analiz'!AJ28</f>
        <v/>
      </c>
      <c r="O28" s="68">
        <f>'Opera Günlük Analiz'!AK28</f>
        <v/>
      </c>
      <c r="P28" s="93">
        <f>'Opera Günlük Analiz'!F28</f>
        <v/>
      </c>
      <c r="Q28" s="93">
        <f>'Opera Günlük Analiz'!AE28</f>
        <v/>
      </c>
      <c r="R28" s="93">
        <f>F28-K28</f>
        <v/>
      </c>
      <c r="S28" s="76">
        <f>IFERROR(R28/F28,0)</f>
        <v/>
      </c>
      <c r="T28" s="93">
        <f>G28-L28</f>
        <v/>
      </c>
      <c r="U28" s="76">
        <f>IFERROR(T28/G28,0)</f>
        <v/>
      </c>
    </row>
    <row r="29">
      <c r="A29" s="63">
        <f>A28+1</f>
        <v/>
      </c>
      <c r="B29" s="92">
        <f>'Opera Günlük Analiz'!G29</f>
        <v/>
      </c>
      <c r="C29" s="92">
        <f>'Opera Günlük Analiz'!C29</f>
        <v/>
      </c>
      <c r="D29" s="92">
        <f>'Opera Günlük Analiz'!D29</f>
        <v/>
      </c>
      <c r="E29" s="203">
        <f>'Opera Günlük Analiz'!E29</f>
        <v/>
      </c>
      <c r="F29" s="92">
        <f>'Opera Günlük Analiz'!M29</f>
        <v/>
      </c>
      <c r="G29" s="92">
        <f>'Opera Günlük Analiz'!S29</f>
        <v/>
      </c>
      <c r="H29" s="200">
        <f>'Opera Günlük Analiz'!U29</f>
        <v/>
      </c>
      <c r="I29" s="66">
        <f>'Opera Günlük Analiz'!V29</f>
        <v/>
      </c>
      <c r="J29" s="66">
        <f>'Opera Günlük Analiz'!W29</f>
        <v/>
      </c>
      <c r="K29" s="92">
        <f>'Opera Günlük Analiz'!Y29</f>
        <v/>
      </c>
      <c r="L29" s="92">
        <f>'Opera Günlük Analiz'!AG29</f>
        <v/>
      </c>
      <c r="M29" s="200">
        <f>'Opera Günlük Analiz'!AI29</f>
        <v/>
      </c>
      <c r="N29" s="66">
        <f>'Opera Günlük Analiz'!AJ29</f>
        <v/>
      </c>
      <c r="O29" s="66">
        <f>'Opera Günlük Analiz'!AK29</f>
        <v/>
      </c>
      <c r="P29" s="92">
        <f>'Opera Günlük Analiz'!F29</f>
        <v/>
      </c>
      <c r="Q29" s="92">
        <f>'Opera Günlük Analiz'!AE29</f>
        <v/>
      </c>
      <c r="R29" s="92">
        <f>F29-K29</f>
        <v/>
      </c>
      <c r="S29" s="75">
        <f>IFERROR(R29/F29,0)</f>
        <v/>
      </c>
      <c r="T29" s="92">
        <f>G29-L29</f>
        <v/>
      </c>
      <c r="U29" s="75">
        <f>IFERROR(T29/G29,0)</f>
        <v/>
      </c>
    </row>
    <row r="30" ht="15" customFormat="1" customHeight="1" s="56">
      <c r="A30" s="63">
        <f>A29+1</f>
        <v/>
      </c>
      <c r="B30" s="93">
        <f>'Opera Günlük Analiz'!G30</f>
        <v/>
      </c>
      <c r="C30" s="93">
        <f>'Opera Günlük Analiz'!C30</f>
        <v/>
      </c>
      <c r="D30" s="93">
        <f>'Opera Günlük Analiz'!D30</f>
        <v/>
      </c>
      <c r="E30" s="204">
        <f>'Opera Günlük Analiz'!E30</f>
        <v/>
      </c>
      <c r="F30" s="93">
        <f>'Opera Günlük Analiz'!M30</f>
        <v/>
      </c>
      <c r="G30" s="93">
        <f>'Opera Günlük Analiz'!S30</f>
        <v/>
      </c>
      <c r="H30" s="201">
        <f>'Opera Günlük Analiz'!U30</f>
        <v/>
      </c>
      <c r="I30" s="68">
        <f>'Opera Günlük Analiz'!V30</f>
        <v/>
      </c>
      <c r="J30" s="68">
        <f>'Opera Günlük Analiz'!W30</f>
        <v/>
      </c>
      <c r="K30" s="93">
        <f>'Opera Günlük Analiz'!Y30</f>
        <v/>
      </c>
      <c r="L30" s="93">
        <f>'Opera Günlük Analiz'!AG30</f>
        <v/>
      </c>
      <c r="M30" s="201">
        <f>'Opera Günlük Analiz'!AI30</f>
        <v/>
      </c>
      <c r="N30" s="68">
        <f>'Opera Günlük Analiz'!AJ30</f>
        <v/>
      </c>
      <c r="O30" s="68">
        <f>'Opera Günlük Analiz'!AK30</f>
        <v/>
      </c>
      <c r="P30" s="93">
        <f>'Opera Günlük Analiz'!F30</f>
        <v/>
      </c>
      <c r="Q30" s="93">
        <f>'Opera Günlük Analiz'!AE30</f>
        <v/>
      </c>
      <c r="R30" s="93">
        <f>F30-K30</f>
        <v/>
      </c>
      <c r="S30" s="76">
        <f>IFERROR(R30/F30,0)</f>
        <v/>
      </c>
      <c r="T30" s="93">
        <f>G30-L30</f>
        <v/>
      </c>
      <c r="U30" s="76">
        <f>IFERROR(T30/G30,0)</f>
        <v/>
      </c>
    </row>
    <row r="31" ht="15" customFormat="1" customHeight="1" s="56">
      <c r="A31" s="63">
        <f>A30+1</f>
        <v/>
      </c>
      <c r="B31" s="92">
        <f>'Opera Günlük Analiz'!G31</f>
        <v/>
      </c>
      <c r="C31" s="92">
        <f>'Opera Günlük Analiz'!C31</f>
        <v/>
      </c>
      <c r="D31" s="92">
        <f>'Opera Günlük Analiz'!D31</f>
        <v/>
      </c>
      <c r="E31" s="203">
        <f>'Opera Günlük Analiz'!E31</f>
        <v/>
      </c>
      <c r="F31" s="92">
        <f>'Opera Günlük Analiz'!M31</f>
        <v/>
      </c>
      <c r="G31" s="92">
        <f>'Opera Günlük Analiz'!S31</f>
        <v/>
      </c>
      <c r="H31" s="200">
        <f>'Opera Günlük Analiz'!U31</f>
        <v/>
      </c>
      <c r="I31" s="66">
        <f>'Opera Günlük Analiz'!V31</f>
        <v/>
      </c>
      <c r="J31" s="66">
        <f>'Opera Günlük Analiz'!W31</f>
        <v/>
      </c>
      <c r="K31" s="92">
        <f>'Opera Günlük Analiz'!Y31</f>
        <v/>
      </c>
      <c r="L31" s="92">
        <f>'Opera Günlük Analiz'!AG31</f>
        <v/>
      </c>
      <c r="M31" s="200">
        <f>'Opera Günlük Analiz'!AI31</f>
        <v/>
      </c>
      <c r="N31" s="66">
        <f>'Opera Günlük Analiz'!AJ31</f>
        <v/>
      </c>
      <c r="O31" s="66">
        <f>'Opera Günlük Analiz'!AK31</f>
        <v/>
      </c>
      <c r="P31" s="92">
        <f>'Opera Günlük Analiz'!F31</f>
        <v/>
      </c>
      <c r="Q31" s="92">
        <f>'Opera Günlük Analiz'!AE31</f>
        <v/>
      </c>
      <c r="R31" s="92">
        <f>F31-K31</f>
        <v/>
      </c>
      <c r="S31" s="75">
        <f>IFERROR(R31/F31,0)</f>
        <v/>
      </c>
      <c r="T31" s="92">
        <f>G31-L31</f>
        <v/>
      </c>
      <c r="U31" s="75">
        <f>IFERROR(T31/G31,0)</f>
        <v/>
      </c>
    </row>
    <row r="32" ht="15" customFormat="1" customHeight="1" s="56">
      <c r="A32" s="63">
        <f>A31+1</f>
        <v/>
      </c>
      <c r="B32" s="93">
        <f>'Opera Günlük Analiz'!G32</f>
        <v/>
      </c>
      <c r="C32" s="93">
        <f>'Opera Günlük Analiz'!C32</f>
        <v/>
      </c>
      <c r="D32" s="93">
        <f>'Opera Günlük Analiz'!D32</f>
        <v/>
      </c>
      <c r="E32" s="204">
        <f>'Opera Günlük Analiz'!E32</f>
        <v/>
      </c>
      <c r="F32" s="93">
        <f>'Opera Günlük Analiz'!M32</f>
        <v/>
      </c>
      <c r="G32" s="93">
        <f>'Opera Günlük Analiz'!S32</f>
        <v/>
      </c>
      <c r="H32" s="201">
        <f>'Opera Günlük Analiz'!U32</f>
        <v/>
      </c>
      <c r="I32" s="68">
        <f>'Opera Günlük Analiz'!V32</f>
        <v/>
      </c>
      <c r="J32" s="68">
        <f>'Opera Günlük Analiz'!W32</f>
        <v/>
      </c>
      <c r="K32" s="93">
        <f>'Opera Günlük Analiz'!Y32</f>
        <v/>
      </c>
      <c r="L32" s="93">
        <f>'Opera Günlük Analiz'!AG32</f>
        <v/>
      </c>
      <c r="M32" s="201">
        <f>'Opera Günlük Analiz'!AI32</f>
        <v/>
      </c>
      <c r="N32" s="68">
        <f>'Opera Günlük Analiz'!AJ32</f>
        <v/>
      </c>
      <c r="O32" s="68">
        <f>'Opera Günlük Analiz'!AK32</f>
        <v/>
      </c>
      <c r="P32" s="93">
        <f>'Opera Günlük Analiz'!F32</f>
        <v/>
      </c>
      <c r="Q32" s="93">
        <f>'Opera Günlük Analiz'!AE32</f>
        <v/>
      </c>
      <c r="R32" s="93">
        <f>F32-K32</f>
        <v/>
      </c>
      <c r="S32" s="76">
        <f>IFERROR(R32/F32,0)</f>
        <v/>
      </c>
      <c r="T32" s="93">
        <f>G32-L32</f>
        <v/>
      </c>
      <c r="U32" s="76">
        <f>IFERROR(T32/G32,0)</f>
        <v/>
      </c>
    </row>
    <row r="33" ht="15" customFormat="1" customHeight="1" s="56">
      <c r="A33" s="63">
        <f>A32+1</f>
        <v/>
      </c>
      <c r="B33" s="92">
        <f>'Opera Günlük Analiz'!G33</f>
        <v/>
      </c>
      <c r="C33" s="92">
        <f>'Opera Günlük Analiz'!C33</f>
        <v/>
      </c>
      <c r="D33" s="92">
        <f>'Opera Günlük Analiz'!D33</f>
        <v/>
      </c>
      <c r="E33" s="203">
        <f>'Opera Günlük Analiz'!E33</f>
        <v/>
      </c>
      <c r="F33" s="92">
        <f>'Opera Günlük Analiz'!M33</f>
        <v/>
      </c>
      <c r="G33" s="92">
        <f>'Opera Günlük Analiz'!S33</f>
        <v/>
      </c>
      <c r="H33" s="200">
        <f>'Opera Günlük Analiz'!U33</f>
        <v/>
      </c>
      <c r="I33" s="66">
        <f>'Opera Günlük Analiz'!V33</f>
        <v/>
      </c>
      <c r="J33" s="66">
        <f>'Opera Günlük Analiz'!W33</f>
        <v/>
      </c>
      <c r="K33" s="92">
        <f>'Opera Günlük Analiz'!Y33</f>
        <v/>
      </c>
      <c r="L33" s="92">
        <f>'Opera Günlük Analiz'!AG33</f>
        <v/>
      </c>
      <c r="M33" s="200">
        <f>'Opera Günlük Analiz'!AI33</f>
        <v/>
      </c>
      <c r="N33" s="66">
        <f>'Opera Günlük Analiz'!AJ33</f>
        <v/>
      </c>
      <c r="O33" s="66">
        <f>'Opera Günlük Analiz'!AK33</f>
        <v/>
      </c>
      <c r="P33" s="92">
        <f>'Opera Günlük Analiz'!F33</f>
        <v/>
      </c>
      <c r="Q33" s="92">
        <f>'Opera Günlük Analiz'!AE33</f>
        <v/>
      </c>
      <c r="R33" s="92">
        <f>F33-K33</f>
        <v/>
      </c>
      <c r="S33" s="75">
        <f>IFERROR(R33/F33,0)</f>
        <v/>
      </c>
      <c r="T33" s="92">
        <f>G33-L33</f>
        <v/>
      </c>
      <c r="U33" s="75">
        <f>IFERROR(T33/G33,0)</f>
        <v/>
      </c>
    </row>
    <row r="34">
      <c r="A34" s="96" t="inlineStr">
        <is>
          <t>Toplam</t>
        </is>
      </c>
      <c r="B34" s="96">
        <f>'Opera Aylık Analiz'!$G$3</f>
        <v/>
      </c>
      <c r="C34" s="116">
        <f>'Opera Aylık Analiz'!$C$3</f>
        <v/>
      </c>
      <c r="D34" s="116">
        <f>'Opera Aylık Analiz'!$D$3</f>
        <v/>
      </c>
      <c r="E34" s="205">
        <f>'Opera Aylık Analiz'!$E$3</f>
        <v/>
      </c>
      <c r="F34" s="115">
        <f>'Opera Aylık Analiz'!$M$3</f>
        <v/>
      </c>
      <c r="G34" s="115">
        <f>'Opera Aylık Analiz'!$S$3</f>
        <v/>
      </c>
      <c r="H34" s="206">
        <f>'Opera Aylık Analiz'!$U$3</f>
        <v/>
      </c>
      <c r="I34" s="139">
        <f>'Opera Aylık Analiz'!$V$3</f>
        <v/>
      </c>
      <c r="J34" s="85">
        <f>'Opera Aylık Analiz'!$W$3</f>
        <v/>
      </c>
      <c r="K34" s="116">
        <f>'Opera Aylık Analiz'!$Y$3</f>
        <v/>
      </c>
      <c r="L34" s="116">
        <f>'Opera Aylık Analiz'!$AG$3</f>
        <v/>
      </c>
      <c r="M34" s="205">
        <f>'Opera Aylık Analiz'!$AI$3</f>
        <v/>
      </c>
      <c r="N34" s="142">
        <f>'Opera Aylık Analiz'!$AJ$3</f>
        <v/>
      </c>
      <c r="O34" s="87">
        <f>'Opera Aylık Analiz'!$AK$3</f>
        <v/>
      </c>
      <c r="P34" s="116">
        <f>'Opera Aylık Analiz'!$F$3</f>
        <v/>
      </c>
      <c r="Q34" s="116">
        <f>'Opera Aylık Analiz'!$AE$3</f>
        <v/>
      </c>
      <c r="R34" s="116">
        <f>'Opera Aylık Analiz'!$AM$3</f>
        <v/>
      </c>
      <c r="S34" s="88">
        <f>'Opera Aylık Analiz'!$AN$3</f>
        <v/>
      </c>
      <c r="T34" s="116">
        <f>'Opera Aylık Analiz'!$AO$3</f>
        <v/>
      </c>
      <c r="U34" s="88">
        <f>'Opera Aylık Analiz'!$AP$3</f>
        <v/>
      </c>
    </row>
    <row r="38" ht="29.4" customHeight="1" s="188">
      <c r="F38" s="153" t="inlineStr">
        <is>
          <t>GİP Öncesi</t>
        </is>
      </c>
      <c r="G38" s="198" t="n"/>
      <c r="H38" s="198" t="n"/>
      <c r="I38" s="198" t="n"/>
      <c r="J38" s="199" t="n"/>
      <c r="K38" s="64" t="inlineStr">
        <is>
          <t>GİP Sonrası</t>
        </is>
      </c>
      <c r="L38" s="198" t="n"/>
      <c r="M38" s="198" t="n"/>
      <c r="N38" s="198" t="n"/>
      <c r="O38" s="199" t="n"/>
    </row>
    <row r="39" ht="57.6" customHeight="1" s="188">
      <c r="A39" s="57" t="inlineStr">
        <is>
          <t>Dönem</t>
        </is>
      </c>
      <c r="B39" s="58" t="inlineStr">
        <is>
          <t>UEVM(MWh)</t>
        </is>
      </c>
      <c r="C39" s="58" t="inlineStr">
        <is>
          <t>PTF (TL/MWh)</t>
        </is>
      </c>
      <c r="D39" s="58" t="inlineStr">
        <is>
          <t>SMF (TL/MWh)</t>
        </is>
      </c>
      <c r="E39" s="58" t="inlineStr">
        <is>
          <t>PTF (USD/MWh)</t>
        </is>
      </c>
      <c r="F39" s="153" t="inlineStr">
        <is>
          <t>İlk KUPST(TL)</t>
        </is>
      </c>
      <c r="G39" s="153" t="inlineStr">
        <is>
          <t>Toplam Maliyet(TL)</t>
        </is>
      </c>
      <c r="H39" s="153" t="inlineStr">
        <is>
          <t>Birim Maliyet(TL/MWh)</t>
        </is>
      </c>
      <c r="I39" s="153" t="inlineStr">
        <is>
          <t>Birim Maliyet(%)</t>
        </is>
      </c>
      <c r="J39" s="153" t="inlineStr">
        <is>
          <t>Dengesizlik Oranı (%)</t>
        </is>
      </c>
      <c r="K39" s="64" t="inlineStr">
        <is>
          <t>Son KUPST(TL)</t>
        </is>
      </c>
      <c r="L39" s="64" t="inlineStr">
        <is>
          <t>Toplam Maliyet(TL)</t>
        </is>
      </c>
      <c r="M39" s="64" t="inlineStr">
        <is>
          <t>Birim Maliyet(TL/MWh)</t>
        </is>
      </c>
      <c r="N39" s="64" t="inlineStr">
        <is>
          <t>Birim Maliyet(%)</t>
        </is>
      </c>
      <c r="O39" s="64" t="inlineStr">
        <is>
          <t>Dengesizlik Oranı (%)</t>
        </is>
      </c>
      <c r="P39" s="60" t="inlineStr">
        <is>
          <t> </t>
        </is>
      </c>
      <c r="Q39" s="60" t="inlineStr">
        <is>
          <t>Net Kazanılan Tutar(TL)</t>
        </is>
      </c>
      <c r="R39" s="61" t="inlineStr">
        <is>
          <t>KUPST Fayda(TL)</t>
        </is>
      </c>
      <c r="S39" s="62" t="inlineStr">
        <is>
          <t>GİP Sonrası KUPST İyileştirme Oranı(%)</t>
        </is>
      </c>
      <c r="T39" s="61" t="inlineStr">
        <is>
          <t>GİP Sonrası Toplam Fayda(TL)</t>
        </is>
      </c>
      <c r="U39" s="62" t="inlineStr">
        <is>
          <t>GİP Sonrası İyileştirme Oranı(%)</t>
        </is>
      </c>
    </row>
    <row r="40">
      <c r="A40" s="207" t="n">
        <v>46023</v>
      </c>
      <c r="B40" s="129" t="n">
        <v>4729.760000000007</v>
      </c>
      <c r="C40" s="129" t="n">
        <v>2894.92069892473</v>
      </c>
      <c r="D40" s="129" t="n">
        <v>2760.639287634408</v>
      </c>
      <c r="E40" s="208" t="n">
        <v>67.20053763440862</v>
      </c>
      <c r="F40" s="129" t="n">
        <v>144921.453915</v>
      </c>
      <c r="G40" s="129" t="n">
        <v>557801.2309939787</v>
      </c>
      <c r="H40" s="208" t="n">
        <v>117.9343626302345</v>
      </c>
      <c r="I40" s="131" t="n">
        <v>0.04029501945363025</v>
      </c>
      <c r="J40" s="131" t="n">
        <v>0.2378513920368049</v>
      </c>
      <c r="K40" s="129" t="n">
        <v>36768.62243499998</v>
      </c>
      <c r="L40" s="129" t="n">
        <v>157309.377363978</v>
      </c>
      <c r="M40" s="208" t="n">
        <v>33.25948406768583</v>
      </c>
      <c r="N40" s="131" t="n">
        <v>0.0113638767161279</v>
      </c>
      <c r="O40" s="131" t="n">
        <v>0.03802729948242609</v>
      </c>
      <c r="P40" s="129" t="n">
        <v>13842932.41589998</v>
      </c>
      <c r="Q40" s="129" t="n">
        <v>13685623.038536</v>
      </c>
      <c r="R40" s="129" t="n">
        <v>108152.83148</v>
      </c>
      <c r="S40" s="132" t="n">
        <v>0.7462858573267855</v>
      </c>
      <c r="T40" s="129" t="n">
        <v>400491.8536300007</v>
      </c>
      <c r="U40" s="132" t="n">
        <v>0.7179830939353448</v>
      </c>
      <c r="V40" s="209" t="n"/>
    </row>
    <row r="41">
      <c r="A41" s="207" t="n">
        <v>46054</v>
      </c>
      <c r="B41" s="129" t="n">
        <v>18430.50000000001</v>
      </c>
      <c r="C41" s="129" t="n">
        <v>2078.194999999998</v>
      </c>
      <c r="D41" s="129" t="n">
        <v>1865.893437499999</v>
      </c>
      <c r="E41" s="208" t="n">
        <v>47.72869047619049</v>
      </c>
      <c r="F41" s="129" t="n">
        <v>426549.2030775002</v>
      </c>
      <c r="G41" s="129" t="n">
        <v>3110222.679917499</v>
      </c>
      <c r="H41" s="208" t="n">
        <v>168.7541130147038</v>
      </c>
      <c r="I41" s="131" t="n">
        <v>0.07462042366310093</v>
      </c>
      <c r="J41" s="131" t="n">
        <v>0.229296003906568</v>
      </c>
      <c r="K41" s="129" t="n">
        <v>85820.79282750002</v>
      </c>
      <c r="L41" s="129" t="n">
        <v>873077.2633275017</v>
      </c>
      <c r="M41" s="208" t="n">
        <v>47.37132814234564</v>
      </c>
      <c r="N41" s="131" t="n">
        <v>0.02094685878949575</v>
      </c>
      <c r="O41" s="131" t="n">
        <v>0.03654594286644416</v>
      </c>
      <c r="P41" s="129" t="n">
        <v>41680581.90019999</v>
      </c>
      <c r="Q41" s="129" t="n">
        <v>40807504.63687249</v>
      </c>
      <c r="R41" s="129" t="n">
        <v>340728.4102500002</v>
      </c>
      <c r="S41" s="132" t="n">
        <v>0.7988021259720719</v>
      </c>
      <c r="T41" s="129" t="n">
        <v>2237145.416589998</v>
      </c>
      <c r="U41" s="132" t="n">
        <v>0.7192878603307399</v>
      </c>
      <c r="V41" s="209" t="n"/>
    </row>
    <row r="42">
      <c r="A42" s="207" t="n">
        <v>46082</v>
      </c>
      <c r="B42" s="129" t="n">
        <v>15270.74999999999</v>
      </c>
      <c r="C42" s="129" t="n">
        <v>1620.324287634408</v>
      </c>
      <c r="D42" s="129" t="n">
        <v>1687.617405913979</v>
      </c>
      <c r="E42" s="208" t="n">
        <v>36.80889784946238</v>
      </c>
      <c r="F42" s="129" t="n">
        <v>290732.7447999998</v>
      </c>
      <c r="G42" s="129" t="n">
        <v>1671137.118163027</v>
      </c>
      <c r="H42" s="208" t="n">
        <v>109.4338600371971</v>
      </c>
      <c r="I42" s="131" t="n">
        <v>0.06288735999082141</v>
      </c>
      <c r="J42" s="131" t="n">
        <v>0.227102794558224</v>
      </c>
      <c r="K42" s="129" t="n">
        <v>33224.97058749999</v>
      </c>
      <c r="L42" s="129" t="n">
        <v>269969.6464125216</v>
      </c>
      <c r="M42" s="208" t="n">
        <v>17.67887277393198</v>
      </c>
      <c r="N42" s="131" t="n">
        <v>0.01015935685708512</v>
      </c>
      <c r="O42" s="131" t="n">
        <v>0.0184162532946974</v>
      </c>
      <c r="P42" s="129" t="n">
        <v>26573497.73320002</v>
      </c>
      <c r="Q42" s="129" t="n">
        <v>26303528.0867875</v>
      </c>
      <c r="R42" s="129" t="n">
        <v>257507.7742124998</v>
      </c>
      <c r="S42" s="132" t="n">
        <v>0.8857198881730504</v>
      </c>
      <c r="T42" s="129" t="n">
        <v>1401167.471750505</v>
      </c>
      <c r="U42" s="132" t="n">
        <v>0.8384515289150648</v>
      </c>
      <c r="V42" s="209" t="n"/>
    </row>
    <row r="43">
      <c r="A43" s="207" t="n">
        <v>46113</v>
      </c>
      <c r="B43" s="129" t="n">
        <v>16987.24999999998</v>
      </c>
      <c r="C43" s="129" t="n">
        <v>921.0565694444448</v>
      </c>
      <c r="D43" s="129" t="n">
        <v>1185.860972222222</v>
      </c>
      <c r="E43" s="208" t="n">
        <v>20.65506944444444</v>
      </c>
      <c r="F43" s="129" t="n">
        <v>214516.6579825</v>
      </c>
      <c r="G43" s="129" t="n">
        <v>1250898.635084502</v>
      </c>
      <c r="H43" s="208" t="n">
        <v>73.63750077761284</v>
      </c>
      <c r="I43" s="131" t="n">
        <v>0.06247449151202364</v>
      </c>
      <c r="J43" s="131" t="n">
        <v>0.1604244359740395</v>
      </c>
      <c r="K43" s="129" t="n">
        <v>41503.6826075</v>
      </c>
      <c r="L43" s="129" t="n">
        <v>307869.477419503</v>
      </c>
      <c r="M43" s="208" t="n">
        <v>18.12356193141935</v>
      </c>
      <c r="N43" s="131" t="n">
        <v>0.01537613721399302</v>
      </c>
      <c r="O43" s="131" t="n">
        <v>0.02480154233322054</v>
      </c>
      <c r="P43" s="129" t="n">
        <v>20022550.081</v>
      </c>
      <c r="Q43" s="129" t="n">
        <v>19714680.60358049</v>
      </c>
      <c r="R43" s="129" t="n">
        <v>173012.975375</v>
      </c>
      <c r="S43" s="132" t="n">
        <v>0.8065246634091894</v>
      </c>
      <c r="T43" s="129" t="n">
        <v>943029.1576649994</v>
      </c>
      <c r="U43" s="132" t="n">
        <v>0.7538813547440594</v>
      </c>
      <c r="V43" s="209" t="n"/>
    </row>
    <row r="44">
      <c r="A44" s="207" t="n">
        <v>46143</v>
      </c>
      <c r="B44" s="129" t="n">
        <v>13232.71</v>
      </c>
      <c r="C44" s="129" t="n">
        <v>590.8999865591401</v>
      </c>
      <c r="D44" s="129" t="n">
        <v>875.2954032258064</v>
      </c>
      <c r="E44" s="208" t="n">
        <v>13.04786290322582</v>
      </c>
      <c r="F44" s="129" t="n">
        <v>299608.6002850002</v>
      </c>
      <c r="G44" s="129" t="n">
        <v>2123120.911824007</v>
      </c>
      <c r="H44" s="208" t="n">
        <v>160.4449059810127</v>
      </c>
      <c r="I44" s="131" t="n">
        <v>0.1282648553628392</v>
      </c>
      <c r="J44" s="131" t="n">
        <v>0.2684582372016012</v>
      </c>
      <c r="K44" s="129" t="n">
        <v>58086.09221499998</v>
      </c>
      <c r="L44" s="129" t="n">
        <v>228774.5901810024</v>
      </c>
      <c r="M44" s="208" t="n">
        <v>17.28856675473145</v>
      </c>
      <c r="N44" s="131" t="n">
        <v>0.01382104031703471</v>
      </c>
      <c r="O44" s="131" t="n">
        <v>0.03659794554554582</v>
      </c>
      <c r="P44" s="129" t="n">
        <v>16552631.70739999</v>
      </c>
      <c r="Q44" s="129" t="n">
        <v>16323857.11721899</v>
      </c>
      <c r="R44" s="129" t="n">
        <v>241522.5080700002</v>
      </c>
      <c r="S44" s="132" t="n">
        <v>0.8061267528377154</v>
      </c>
      <c r="T44" s="129" t="n">
        <v>1894346.321643004</v>
      </c>
      <c r="U44" s="132" t="n">
        <v>0.8922460850406967</v>
      </c>
      <c r="V44" s="209" t="n"/>
    </row>
    <row r="45">
      <c r="A45" s="207" t="n">
        <v>46174</v>
      </c>
      <c r="B45" s="129" t="n">
        <v>20294</v>
      </c>
      <c r="C45" s="129" t="n">
        <v>1240</v>
      </c>
      <c r="D45" s="129" t="n">
        <v>1761</v>
      </c>
      <c r="E45" s="208" t="n">
        <v>26.89</v>
      </c>
      <c r="F45" s="129" t="n">
        <v>223160</v>
      </c>
      <c r="G45" s="129" t="n">
        <v>1395216</v>
      </c>
      <c r="H45" s="208" t="n">
        <v>68.75</v>
      </c>
      <c r="I45" s="131" t="n">
        <v>0.0424</v>
      </c>
      <c r="J45" s="131" t="n">
        <v>0.1451</v>
      </c>
      <c r="K45" s="129" t="n">
        <v>22997</v>
      </c>
      <c r="L45" s="129" t="n">
        <v>-267679</v>
      </c>
      <c r="M45" s="208" t="n">
        <v>-13.19</v>
      </c>
      <c r="N45" s="131" t="n">
        <v>-0.0081</v>
      </c>
      <c r="O45" s="131" t="n">
        <v>0.0165</v>
      </c>
      <c r="P45" s="129" t="n">
        <v>32923516</v>
      </c>
      <c r="Q45" s="129" t="n">
        <v>33191195</v>
      </c>
      <c r="R45" s="129" t="n">
        <v>200163</v>
      </c>
      <c r="S45" s="132" t="n">
        <v>0.9</v>
      </c>
      <c r="T45" s="129" t="n">
        <v>1662894</v>
      </c>
      <c r="U45" s="132" t="n">
        <v>1.19</v>
      </c>
      <c r="V45" s="209" t="n"/>
    </row>
    <row r="46">
      <c r="A46" s="207" t="n">
        <v>46204</v>
      </c>
      <c r="B46" s="129">
        <f>B34</f>
        <v/>
      </c>
      <c r="C46" s="129">
        <f>C34</f>
        <v/>
      </c>
      <c r="D46" s="129">
        <f>D34</f>
        <v/>
      </c>
      <c r="E46" s="208">
        <f>E34</f>
        <v/>
      </c>
      <c r="F46" s="129">
        <f>F34</f>
        <v/>
      </c>
      <c r="G46" s="129">
        <f>G34</f>
        <v/>
      </c>
      <c r="H46" s="208">
        <f>H34</f>
        <v/>
      </c>
      <c r="I46" s="131">
        <f>I34</f>
        <v/>
      </c>
      <c r="J46" s="131">
        <f>J34</f>
        <v/>
      </c>
      <c r="K46" s="129">
        <f>K34</f>
        <v/>
      </c>
      <c r="L46" s="129">
        <f>L34</f>
        <v/>
      </c>
      <c r="M46" s="208">
        <f>M34</f>
        <v/>
      </c>
      <c r="N46" s="131">
        <f>N34</f>
        <v/>
      </c>
      <c r="O46" s="131">
        <f>O34</f>
        <v/>
      </c>
      <c r="P46" s="129">
        <f>P34</f>
        <v/>
      </c>
      <c r="Q46" s="129">
        <f>Q34</f>
        <v/>
      </c>
      <c r="R46" s="129">
        <f>R34</f>
        <v/>
      </c>
      <c r="S46" s="132">
        <f>S34</f>
        <v/>
      </c>
      <c r="T46" s="129">
        <f>T34</f>
        <v/>
      </c>
      <c r="U46" s="132">
        <f>U34</f>
        <v/>
      </c>
    </row>
  </sheetData>
  <mergeCells count="4">
    <mergeCell ref="F1:J1"/>
    <mergeCell ref="K1:O1"/>
    <mergeCell ref="F38:J38"/>
    <mergeCell ref="K38:O38"/>
  </mergeCells>
  <conditionalFormatting sqref="J1:J29">
    <cfRule type="cellIs" priority="22" operator="lessThan" dxfId="3">
      <formula>0</formula>
    </cfRule>
  </conditionalFormatting>
  <conditionalFormatting sqref="J36:J39 J41:J45 J47:J1048576">
    <cfRule type="cellIs" priority="18" operator="lessThan" dxfId="3">
      <formula>0</formula>
    </cfRule>
  </conditionalFormatting>
  <conditionalFormatting sqref="P1:Q1">
    <cfRule type="cellIs" priority="38" operator="lessThan" dxfId="3">
      <formula>0</formula>
    </cfRule>
  </conditionalFormatting>
  <conditionalFormatting sqref="P38:Q38">
    <cfRule type="cellIs" priority="34" operator="lessThan" dxfId="3">
      <formula>0</formula>
    </cfRule>
  </conditionalFormatting>
  <conditionalFormatting sqref="R2 T2">
    <cfRule type="cellIs" priority="37" operator="lessThan" dxfId="0">
      <formula>0</formula>
    </cfRule>
  </conditionalFormatting>
  <conditionalFormatting sqref="R39 T39">
    <cfRule type="cellIs" priority="33" operator="lessThan" dxfId="0">
      <formula>0</formula>
    </cfRule>
  </conditionalFormatting>
  <conditionalFormatting sqref="R1:S1 R34:U34">
    <cfRule type="cellIs" priority="39" operator="lessThan" dxfId="0">
      <formula>0</formula>
    </cfRule>
  </conditionalFormatting>
  <conditionalFormatting sqref="R36:S38">
    <cfRule type="cellIs" priority="35" operator="lessThan" dxfId="0">
      <formula>0</formula>
    </cfRule>
  </conditionalFormatting>
  <conditionalFormatting sqref="R41:S45 R47:S1048576">
    <cfRule type="cellIs" priority="17" operator="lessThan" dxfId="0">
      <formula>0</formula>
    </cfRule>
  </conditionalFormatting>
  <conditionalFormatting sqref="R3:T29">
    <cfRule type="cellIs" priority="21" operator="lessThan" dxfId="0">
      <formula>0</formula>
    </cfRule>
  </conditionalFormatting>
  <conditionalFormatting sqref="J40">
    <cfRule type="cellIs" priority="16" operator="lessThan" dxfId="3">
      <formula>0</formula>
    </cfRule>
  </conditionalFormatting>
  <conditionalFormatting sqref="R40:S40">
    <cfRule type="cellIs" priority="15" operator="lessThan" dxfId="0">
      <formula>0</formula>
    </cfRule>
  </conditionalFormatting>
  <conditionalFormatting sqref="J30:J31">
    <cfRule type="cellIs" priority="10" operator="lessThan" dxfId="3">
      <formula>0</formula>
    </cfRule>
  </conditionalFormatting>
  <conditionalFormatting sqref="R30:T31">
    <cfRule type="cellIs" priority="9" operator="lessThan" dxfId="0">
      <formula>0</formula>
    </cfRule>
  </conditionalFormatting>
  <conditionalFormatting sqref="J32 J34">
    <cfRule type="cellIs" priority="8" operator="lessThan" dxfId="3">
      <formula>0</formula>
    </cfRule>
  </conditionalFormatting>
  <conditionalFormatting sqref="R32:T32 R34:T34">
    <cfRule type="cellIs" priority="7" operator="lessThan" dxfId="0">
      <formula>0</formula>
    </cfRule>
  </conditionalFormatting>
  <conditionalFormatting sqref="J46">
    <cfRule type="cellIs" priority="4" operator="lessThan" dxfId="3">
      <formula>0</formula>
    </cfRule>
  </conditionalFormatting>
  <conditionalFormatting sqref="R46:S46">
    <cfRule type="cellIs" priority="3" operator="lessThan" dxfId="0">
      <formula>0</formula>
    </cfRule>
  </conditionalFormatting>
  <conditionalFormatting sqref="J33">
    <cfRule type="cellIs" priority="2" operator="lessThan" dxfId="3">
      <formula>0</formula>
    </cfRule>
  </conditionalFormatting>
  <conditionalFormatting sqref="R33:T33">
    <cfRule type="cellIs" priority="1" operator="lessThan" dxfId="0">
      <formula>0</formula>
    </cfRule>
  </conditionalFormatting>
  <pageMargins left="0.7" right="0.7" top="0.75" bottom="0.75" header="0.3" footer="0.3"/>
  <pageSetup orientation="landscape" paperSize="9" scale="4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44"/>
  <sheetViews>
    <sheetView showGridLines="0" workbookViewId="0">
      <selection activeCell="T13" sqref="T13"/>
    </sheetView>
  </sheetViews>
  <sheetFormatPr baseColWidth="8" defaultRowHeight="14.4"/>
  <cols>
    <col width="10.109375" bestFit="1" customWidth="1" style="188" min="1" max="2"/>
    <col width="9.109375" bestFit="1" customWidth="1" style="188" min="3" max="3"/>
    <col width="8.21875" bestFit="1" customWidth="1" style="188" min="4" max="4"/>
    <col width="10.109375" bestFit="1" customWidth="1" style="188" min="13" max="13"/>
    <col width="14.33203125" customWidth="1" style="188" min="14" max="14"/>
    <col width="10.77734375" bestFit="1" customWidth="1" style="188" min="15" max="15"/>
    <col width="11.21875" customWidth="1" style="188" min="16" max="16"/>
    <col width="4.33203125" bestFit="1" customWidth="1" style="188" min="19" max="19"/>
    <col width="13.88671875" bestFit="1" customWidth="1" style="188" min="20" max="20"/>
    <col width="11.33203125" bestFit="1" customWidth="1" style="188" min="21" max="21"/>
    <col width="10.77734375" bestFit="1" customWidth="1" style="188" min="22" max="22"/>
  </cols>
  <sheetData>
    <row r="1" ht="28.8" customHeight="1" s="188">
      <c r="A1" s="210" t="inlineStr">
        <is>
          <t>Tarih</t>
        </is>
      </c>
      <c r="B1" s="2" t="inlineStr">
        <is>
          <t>Saat</t>
        </is>
      </c>
      <c r="C1" s="210" t="inlineStr">
        <is>
          <t>GÜN</t>
        </is>
      </c>
      <c r="D1" s="210" t="inlineStr">
        <is>
          <t>AY</t>
        </is>
      </c>
      <c r="E1" s="210" t="inlineStr">
        <is>
          <t>Üretim Miktarı</t>
        </is>
      </c>
      <c r="F1" s="170" t="inlineStr">
        <is>
          <t>PTF (TL/MWh)</t>
        </is>
      </c>
      <c r="G1" s="171" t="inlineStr">
        <is>
          <t>PTF (USD/MWh)</t>
        </is>
      </c>
      <c r="H1" s="171" t="inlineStr">
        <is>
          <t>Tutar (TL)</t>
        </is>
      </c>
      <c r="I1" s="171" t="inlineStr">
        <is>
          <t>Tutar (USD)</t>
        </is>
      </c>
      <c r="M1" s="57" t="inlineStr">
        <is>
          <t>Tarih</t>
        </is>
      </c>
      <c r="N1" s="58" t="inlineStr">
        <is>
          <t>UEVM(MWh)</t>
        </is>
      </c>
      <c r="O1" s="58" t="inlineStr">
        <is>
          <t>Tutar (TL)</t>
        </is>
      </c>
      <c r="P1" s="58" t="inlineStr">
        <is>
          <t>Tutar (USD)</t>
        </is>
      </c>
    </row>
    <row r="2">
      <c r="A2" s="29">
        <f>[1]FİYATLAR!A2</f>
        <v/>
      </c>
      <c r="B2" s="29">
        <f>[1]FİYATLAR!B2</f>
        <v/>
      </c>
      <c r="C2" s="35">
        <f>INT(A2)</f>
        <v/>
      </c>
      <c r="D2" s="36">
        <f>MONTH(A2)</f>
        <v/>
      </c>
      <c r="E2" t="n">
        <v>0</v>
      </c>
      <c r="F2" s="30">
        <f>[1]FİYATLAR!C2</f>
        <v/>
      </c>
      <c r="G2" s="30">
        <f>[1]FİYATLAR!D2</f>
        <v/>
      </c>
      <c r="H2">
        <f>E2*F2</f>
        <v/>
      </c>
      <c r="I2">
        <f>E2*G2</f>
        <v/>
      </c>
      <c r="M2" s="63" t="n">
        <v>46204</v>
      </c>
      <c r="N2" s="89">
        <f>SUMIF(C:C,M2,E:E)</f>
        <v/>
      </c>
      <c r="O2" s="89">
        <f>SUMIF(C:C,M2,H:H)</f>
        <v/>
      </c>
      <c r="P2" s="89">
        <f>SUMIF(C:C,M2,I:I)</f>
        <v/>
      </c>
      <c r="T2" s="187" t="inlineStr">
        <is>
          <t>Üretim Miktarı</t>
        </is>
      </c>
      <c r="U2" s="187" t="inlineStr">
        <is>
          <t>Tutar (TL)</t>
        </is>
      </c>
      <c r="V2" s="187" t="inlineStr">
        <is>
          <t>Tutar (USD)</t>
        </is>
      </c>
    </row>
    <row r="3">
      <c r="A3" s="29">
        <f>[1]FİYATLAR!A3</f>
        <v/>
      </c>
      <c r="B3" s="29">
        <f>[1]FİYATLAR!B3</f>
        <v/>
      </c>
      <c r="C3" s="35">
        <f>INT(A3)</f>
        <v/>
      </c>
      <c r="D3" s="36">
        <f>MONTH(A3)</f>
        <v/>
      </c>
      <c r="E3" t="n">
        <v>0</v>
      </c>
      <c r="F3" s="30">
        <f>[1]FİYATLAR!C3</f>
        <v/>
      </c>
      <c r="G3" s="30">
        <f>[1]FİYATLAR!D3</f>
        <v/>
      </c>
      <c r="H3">
        <f>E3*F3</f>
        <v/>
      </c>
      <c r="I3">
        <f>E3*G3</f>
        <v/>
      </c>
      <c r="M3" s="63">
        <f>M2+1</f>
        <v/>
      </c>
      <c r="N3" s="89">
        <f>SUMIF(C:C,M3,E:E)</f>
        <v/>
      </c>
      <c r="O3" s="89">
        <f>SUMIF(C:C,M3,H:H)</f>
        <v/>
      </c>
      <c r="P3" s="89">
        <f>SUMIF(C:C,M3,I:I)</f>
        <v/>
      </c>
      <c r="S3" s="187" t="inlineStr">
        <is>
          <t>GES</t>
        </is>
      </c>
      <c r="T3" s="211">
        <f>'GES Üretim'!N33</f>
        <v/>
      </c>
      <c r="U3" s="211">
        <f>'GES Üretim'!O33</f>
        <v/>
      </c>
      <c r="V3" s="211">
        <f>'GES Üretim'!P33</f>
        <v/>
      </c>
    </row>
    <row r="4">
      <c r="A4" s="29">
        <f>[1]FİYATLAR!A4</f>
        <v/>
      </c>
      <c r="B4" s="29">
        <f>[1]FİYATLAR!B4</f>
        <v/>
      </c>
      <c r="C4" s="35">
        <f>INT(A4)</f>
        <v/>
      </c>
      <c r="D4" s="36">
        <f>MONTH(A4)</f>
        <v/>
      </c>
      <c r="E4" t="n">
        <v>0</v>
      </c>
      <c r="F4" s="30">
        <f>[1]FİYATLAR!C4</f>
        <v/>
      </c>
      <c r="G4" s="30">
        <f>[1]FİYATLAR!D4</f>
        <v/>
      </c>
      <c r="H4">
        <f>E4*F4</f>
        <v/>
      </c>
      <c r="I4">
        <f>E4*G4</f>
        <v/>
      </c>
      <c r="M4" s="63">
        <f>M3+1</f>
        <v/>
      </c>
      <c r="N4" s="89">
        <f>SUMIF(C:C,M4,E:E)</f>
        <v/>
      </c>
      <c r="O4" s="89">
        <f>SUMIF(C:C,M4,H:H)</f>
        <v/>
      </c>
      <c r="P4" s="89">
        <f>SUMIF(C:C,M4,I:I)</f>
        <v/>
      </c>
    </row>
    <row r="5">
      <c r="A5" s="29">
        <f>[1]FİYATLAR!A5</f>
        <v/>
      </c>
      <c r="B5" s="29">
        <f>[1]FİYATLAR!B5</f>
        <v/>
      </c>
      <c r="C5" s="35">
        <f>INT(A5)</f>
        <v/>
      </c>
      <c r="D5" s="36">
        <f>MONTH(A5)</f>
        <v/>
      </c>
      <c r="E5" t="n">
        <v>0</v>
      </c>
      <c r="F5" s="30">
        <f>[1]FİYATLAR!C5</f>
        <v/>
      </c>
      <c r="G5" s="30">
        <f>[1]FİYATLAR!D5</f>
        <v/>
      </c>
      <c r="H5">
        <f>E5*F5</f>
        <v/>
      </c>
      <c r="I5">
        <f>E5*G5</f>
        <v/>
      </c>
      <c r="M5" s="63">
        <f>M4+1</f>
        <v/>
      </c>
      <c r="N5" s="89">
        <f>SUMIF(C:C,M5,E:E)</f>
        <v/>
      </c>
      <c r="O5" s="89">
        <f>SUMIF(C:C,M5,H:H)</f>
        <v/>
      </c>
      <c r="P5" s="89">
        <f>SUMIF(C:C,M5,I:I)</f>
        <v/>
      </c>
    </row>
    <row r="6">
      <c r="A6" s="29">
        <f>[1]FİYATLAR!A6</f>
        <v/>
      </c>
      <c r="B6" s="29">
        <f>[1]FİYATLAR!B6</f>
        <v/>
      </c>
      <c r="C6" s="35">
        <f>INT(A6)</f>
        <v/>
      </c>
      <c r="D6" s="36">
        <f>MONTH(A6)</f>
        <v/>
      </c>
      <c r="E6" t="n">
        <v>0</v>
      </c>
      <c r="F6" s="30">
        <f>[1]FİYATLAR!C6</f>
        <v/>
      </c>
      <c r="G6" s="30">
        <f>[1]FİYATLAR!D6</f>
        <v/>
      </c>
      <c r="H6">
        <f>E6*F6</f>
        <v/>
      </c>
      <c r="I6">
        <f>E6*G6</f>
        <v/>
      </c>
      <c r="M6" s="63">
        <f>M5+1</f>
        <v/>
      </c>
      <c r="N6" s="89">
        <f>SUMIF(C:C,M6,E:E)</f>
        <v/>
      </c>
      <c r="O6" s="89">
        <f>SUMIF(C:C,M6,H:H)</f>
        <v/>
      </c>
      <c r="P6" s="89">
        <f>SUMIF(C:C,M6,I:I)</f>
        <v/>
      </c>
    </row>
    <row r="7">
      <c r="A7" s="29">
        <f>[1]FİYATLAR!A7</f>
        <v/>
      </c>
      <c r="B7" s="29">
        <f>[1]FİYATLAR!B7</f>
        <v/>
      </c>
      <c r="C7" s="35">
        <f>INT(A7)</f>
        <v/>
      </c>
      <c r="D7" s="36">
        <f>MONTH(A7)</f>
        <v/>
      </c>
      <c r="E7" t="n">
        <v>0</v>
      </c>
      <c r="F7" s="30">
        <f>[1]FİYATLAR!C7</f>
        <v/>
      </c>
      <c r="G7" s="30">
        <f>[1]FİYATLAR!D7</f>
        <v/>
      </c>
      <c r="H7">
        <f>E7*F7</f>
        <v/>
      </c>
      <c r="I7">
        <f>E7*G7</f>
        <v/>
      </c>
      <c r="M7" s="63">
        <f>M6+1</f>
        <v/>
      </c>
      <c r="N7" s="89">
        <f>SUMIF(C:C,M7,E:E)</f>
        <v/>
      </c>
      <c r="O7" s="89">
        <f>SUMIF(C:C,M7,H:H)</f>
        <v/>
      </c>
      <c r="P7" s="89">
        <f>SUMIF(C:C,M7,I:I)</f>
        <v/>
      </c>
    </row>
    <row r="8">
      <c r="A8" s="29">
        <f>[1]FİYATLAR!A8</f>
        <v/>
      </c>
      <c r="B8" s="29">
        <f>[1]FİYATLAR!B8</f>
        <v/>
      </c>
      <c r="C8" s="35">
        <f>INT(A8)</f>
        <v/>
      </c>
      <c r="D8" s="36">
        <f>MONTH(A8)</f>
        <v/>
      </c>
      <c r="E8" t="n">
        <v>0.06</v>
      </c>
      <c r="F8" s="30">
        <f>[1]FİYATLAR!C8</f>
        <v/>
      </c>
      <c r="G8" s="30">
        <f>[1]FİYATLAR!D8</f>
        <v/>
      </c>
      <c r="H8">
        <f>E8*F8</f>
        <v/>
      </c>
      <c r="I8">
        <f>E8*G8</f>
        <v/>
      </c>
      <c r="M8" s="63">
        <f>M7+1</f>
        <v/>
      </c>
      <c r="N8" s="89">
        <f>SUMIF(C:C,M8,E:E)</f>
        <v/>
      </c>
      <c r="O8" s="89">
        <f>SUMIF(C:C,M8,H:H)</f>
        <v/>
      </c>
      <c r="P8" s="89">
        <f>SUMIF(C:C,M8,I:I)</f>
        <v/>
      </c>
    </row>
    <row r="9">
      <c r="A9" s="29">
        <f>[1]FİYATLAR!A9</f>
        <v/>
      </c>
      <c r="B9" s="29">
        <f>[1]FİYATLAR!B9</f>
        <v/>
      </c>
      <c r="C9" s="35">
        <f>INT(A9)</f>
        <v/>
      </c>
      <c r="D9" s="36">
        <f>MONTH(A9)</f>
        <v/>
      </c>
      <c r="E9" t="n">
        <v>0.42</v>
      </c>
      <c r="F9" s="30">
        <f>[1]FİYATLAR!C9</f>
        <v/>
      </c>
      <c r="G9" s="30">
        <f>[1]FİYATLAR!D9</f>
        <v/>
      </c>
      <c r="H9">
        <f>E9*F9</f>
        <v/>
      </c>
      <c r="I9">
        <f>E9*G9</f>
        <v/>
      </c>
      <c r="M9" s="63">
        <f>M8+1</f>
        <v/>
      </c>
      <c r="N9" s="89">
        <f>SUMIF(C:C,M9,E:E)</f>
        <v/>
      </c>
      <c r="O9" s="89">
        <f>SUMIF(C:C,M9,H:H)</f>
        <v/>
      </c>
      <c r="P9" s="89">
        <f>SUMIF(C:C,M9,I:I)</f>
        <v/>
      </c>
    </row>
    <row r="10">
      <c r="A10" s="29">
        <f>[1]FİYATLAR!A10</f>
        <v/>
      </c>
      <c r="B10" s="29">
        <f>[1]FİYATLAR!B10</f>
        <v/>
      </c>
      <c r="C10" s="35">
        <f>INT(A10)</f>
        <v/>
      </c>
      <c r="D10" s="36">
        <f>MONTH(A10)</f>
        <v/>
      </c>
      <c r="E10" t="n">
        <v>0.87</v>
      </c>
      <c r="F10" s="30">
        <f>[1]FİYATLAR!C10</f>
        <v/>
      </c>
      <c r="G10" s="30">
        <f>[1]FİYATLAR!D10</f>
        <v/>
      </c>
      <c r="H10">
        <f>E10*F10</f>
        <v/>
      </c>
      <c r="I10">
        <f>E10*G10</f>
        <v/>
      </c>
      <c r="M10" s="63">
        <f>M9+1</f>
        <v/>
      </c>
      <c r="N10" s="89">
        <f>SUMIF(C:C,M10,E:E)</f>
        <v/>
      </c>
      <c r="O10" s="89">
        <f>SUMIF(C:C,M10,H:H)</f>
        <v/>
      </c>
      <c r="P10" s="89">
        <f>SUMIF(C:C,M10,I:I)</f>
        <v/>
      </c>
    </row>
    <row r="11">
      <c r="A11" s="29">
        <f>[1]FİYATLAR!A11</f>
        <v/>
      </c>
      <c r="B11" s="29">
        <f>[1]FİYATLAR!B11</f>
        <v/>
      </c>
      <c r="C11" s="35">
        <f>INT(A11)</f>
        <v/>
      </c>
      <c r="D11" s="36">
        <f>MONTH(A11)</f>
        <v/>
      </c>
      <c r="E11" t="n">
        <v>1.26</v>
      </c>
      <c r="F11" s="30">
        <f>[1]FİYATLAR!C11</f>
        <v/>
      </c>
      <c r="G11" s="30">
        <f>[1]FİYATLAR!D11</f>
        <v/>
      </c>
      <c r="H11">
        <f>E11*F11</f>
        <v/>
      </c>
      <c r="I11">
        <f>E11*G11</f>
        <v/>
      </c>
      <c r="M11" s="63">
        <f>M10+1</f>
        <v/>
      </c>
      <c r="N11" s="89">
        <f>SUMIF(C:C,M11,E:E)</f>
        <v/>
      </c>
      <c r="O11" s="89">
        <f>SUMIF(C:C,M11,H:H)</f>
        <v/>
      </c>
      <c r="P11" s="89">
        <f>SUMIF(C:C,M11,I:I)</f>
        <v/>
      </c>
    </row>
    <row r="12">
      <c r="A12" s="29">
        <f>[1]FİYATLAR!A12</f>
        <v/>
      </c>
      <c r="B12" s="29">
        <f>[1]FİYATLAR!B12</f>
        <v/>
      </c>
      <c r="C12" s="35">
        <f>INT(A12)</f>
        <v/>
      </c>
      <c r="D12" s="36">
        <f>MONTH(A12)</f>
        <v/>
      </c>
      <c r="E12" t="n">
        <v>1.56</v>
      </c>
      <c r="F12" s="30">
        <f>[1]FİYATLAR!C12</f>
        <v/>
      </c>
      <c r="G12" s="30">
        <f>[1]FİYATLAR!D12</f>
        <v/>
      </c>
      <c r="H12">
        <f>E12*F12</f>
        <v/>
      </c>
      <c r="I12">
        <f>E12*G12</f>
        <v/>
      </c>
      <c r="M12" s="63">
        <f>M11+1</f>
        <v/>
      </c>
      <c r="N12" s="89">
        <f>SUMIF(C:C,M12,E:E)</f>
        <v/>
      </c>
      <c r="O12" s="89">
        <f>SUMIF(C:C,M12,H:H)</f>
        <v/>
      </c>
      <c r="P12" s="89">
        <f>SUMIF(C:C,M12,I:I)</f>
        <v/>
      </c>
    </row>
    <row r="13">
      <c r="A13" s="29">
        <f>[1]FİYATLAR!A13</f>
        <v/>
      </c>
      <c r="B13" s="29">
        <f>[1]FİYATLAR!B13</f>
        <v/>
      </c>
      <c r="C13" s="35">
        <f>INT(A13)</f>
        <v/>
      </c>
      <c r="D13" s="36">
        <f>MONTH(A13)</f>
        <v/>
      </c>
      <c r="E13" t="n">
        <v>1.74</v>
      </c>
      <c r="F13" s="30">
        <f>[1]FİYATLAR!C13</f>
        <v/>
      </c>
      <c r="G13" s="30">
        <f>[1]FİYATLAR!D13</f>
        <v/>
      </c>
      <c r="H13">
        <f>E13*F13</f>
        <v/>
      </c>
      <c r="I13">
        <f>E13*G13</f>
        <v/>
      </c>
      <c r="M13" s="63">
        <f>M12+1</f>
        <v/>
      </c>
      <c r="N13" s="89">
        <f>SUMIF(C:C,M13,E:E)</f>
        <v/>
      </c>
      <c r="O13" s="89">
        <f>SUMIF(C:C,M13,H:H)</f>
        <v/>
      </c>
      <c r="P13" s="89">
        <f>SUMIF(C:C,M13,I:I)</f>
        <v/>
      </c>
    </row>
    <row r="14">
      <c r="A14" s="29">
        <f>[1]FİYATLAR!A14</f>
        <v/>
      </c>
      <c r="B14" s="29">
        <f>[1]FİYATLAR!B14</f>
        <v/>
      </c>
      <c r="C14" s="35">
        <f>INT(A14)</f>
        <v/>
      </c>
      <c r="D14" s="36">
        <f>MONTH(A14)</f>
        <v/>
      </c>
      <c r="E14" t="n">
        <v>1.81</v>
      </c>
      <c r="F14" s="30">
        <f>[1]FİYATLAR!C14</f>
        <v/>
      </c>
      <c r="G14" s="30">
        <f>[1]FİYATLAR!D14</f>
        <v/>
      </c>
      <c r="H14">
        <f>E14*F14</f>
        <v/>
      </c>
      <c r="I14">
        <f>E14*G14</f>
        <v/>
      </c>
      <c r="M14" s="63">
        <f>M13+1</f>
        <v/>
      </c>
      <c r="N14" s="89">
        <f>SUMIF(C:C,M14,E:E)</f>
        <v/>
      </c>
      <c r="O14" s="89">
        <f>SUMIF(C:C,M14,H:H)</f>
        <v/>
      </c>
      <c r="P14" s="89">
        <f>SUMIF(C:C,M14,I:I)</f>
        <v/>
      </c>
    </row>
    <row r="15">
      <c r="A15" s="29">
        <f>[1]FİYATLAR!A15</f>
        <v/>
      </c>
      <c r="B15" s="29">
        <f>[1]FİYATLAR!B15</f>
        <v/>
      </c>
      <c r="C15" s="35">
        <f>INT(A15)</f>
        <v/>
      </c>
      <c r="D15" s="36">
        <f>MONTH(A15)</f>
        <v/>
      </c>
      <c r="E15" t="n">
        <v>1.78</v>
      </c>
      <c r="F15" s="30">
        <f>[1]FİYATLAR!C15</f>
        <v/>
      </c>
      <c r="G15" s="30">
        <f>[1]FİYATLAR!D15</f>
        <v/>
      </c>
      <c r="H15">
        <f>E15*F15</f>
        <v/>
      </c>
      <c r="I15">
        <f>E15*G15</f>
        <v/>
      </c>
      <c r="M15" s="63">
        <f>M14+1</f>
        <v/>
      </c>
      <c r="N15" s="89">
        <f>SUMIF(C:C,M15,E:E)</f>
        <v/>
      </c>
      <c r="O15" s="89">
        <f>SUMIF(C:C,M15,H:H)</f>
        <v/>
      </c>
      <c r="P15" s="89">
        <f>SUMIF(C:C,M15,I:I)</f>
        <v/>
      </c>
    </row>
    <row r="16">
      <c r="A16" s="29">
        <f>[1]FİYATLAR!A16</f>
        <v/>
      </c>
      <c r="B16" s="29">
        <f>[1]FİYATLAR!B16</f>
        <v/>
      </c>
      <c r="C16" s="35">
        <f>INT(A16)</f>
        <v/>
      </c>
      <c r="D16" s="36">
        <f>MONTH(A16)</f>
        <v/>
      </c>
      <c r="E16" t="n">
        <v>1.52</v>
      </c>
      <c r="F16" s="30">
        <f>[1]FİYATLAR!C16</f>
        <v/>
      </c>
      <c r="G16" s="30">
        <f>[1]FİYATLAR!D16</f>
        <v/>
      </c>
      <c r="H16">
        <f>E16*F16</f>
        <v/>
      </c>
      <c r="I16">
        <f>E16*G16</f>
        <v/>
      </c>
      <c r="M16" s="63">
        <f>M15+1</f>
        <v/>
      </c>
      <c r="N16" s="89">
        <f>SUMIF(C:C,M16,E:E)</f>
        <v/>
      </c>
      <c r="O16" s="89">
        <f>SUMIF(C:C,M16,H:H)</f>
        <v/>
      </c>
      <c r="P16" s="89">
        <f>SUMIF(C:C,M16,I:I)</f>
        <v/>
      </c>
    </row>
    <row r="17">
      <c r="A17" s="29">
        <f>[1]FİYATLAR!A17</f>
        <v/>
      </c>
      <c r="B17" s="29">
        <f>[1]FİYATLAR!B17</f>
        <v/>
      </c>
      <c r="C17" s="35">
        <f>INT(A17)</f>
        <v/>
      </c>
      <c r="D17" s="36">
        <f>MONTH(A17)</f>
        <v/>
      </c>
      <c r="E17" t="n">
        <v>1.3</v>
      </c>
      <c r="F17" s="30">
        <f>[1]FİYATLAR!C17</f>
        <v/>
      </c>
      <c r="G17" s="30">
        <f>[1]FİYATLAR!D17</f>
        <v/>
      </c>
      <c r="H17">
        <f>E17*F17</f>
        <v/>
      </c>
      <c r="I17">
        <f>E17*G17</f>
        <v/>
      </c>
      <c r="M17" s="63">
        <f>M16+1</f>
        <v/>
      </c>
      <c r="N17" s="89">
        <f>SUMIF(C:C,M17,E:E)</f>
        <v/>
      </c>
      <c r="O17" s="89">
        <f>SUMIF(C:C,M17,H:H)</f>
        <v/>
      </c>
      <c r="P17" s="89">
        <f>SUMIF(C:C,M17,I:I)</f>
        <v/>
      </c>
    </row>
    <row r="18">
      <c r="A18" s="29">
        <f>[1]FİYATLAR!A18</f>
        <v/>
      </c>
      <c r="B18" s="29">
        <f>[1]FİYATLAR!B18</f>
        <v/>
      </c>
      <c r="C18" s="35">
        <f>INT(A18)</f>
        <v/>
      </c>
      <c r="D18" s="36">
        <f>MONTH(A18)</f>
        <v/>
      </c>
      <c r="E18" t="n">
        <v>1.08</v>
      </c>
      <c r="F18" s="30">
        <f>[1]FİYATLAR!C18</f>
        <v/>
      </c>
      <c r="G18" s="30">
        <f>[1]FİYATLAR!D18</f>
        <v/>
      </c>
      <c r="H18">
        <f>E18*F18</f>
        <v/>
      </c>
      <c r="I18">
        <f>E18*G18</f>
        <v/>
      </c>
      <c r="M18" s="63">
        <f>M17+1</f>
        <v/>
      </c>
      <c r="N18" s="89">
        <f>SUMIF(C:C,M18,E:E)</f>
        <v/>
      </c>
      <c r="O18" s="89">
        <f>SUMIF(C:C,M18,H:H)</f>
        <v/>
      </c>
      <c r="P18" s="89">
        <f>SUMIF(C:C,M18,I:I)</f>
        <v/>
      </c>
    </row>
    <row r="19">
      <c r="A19" s="29">
        <f>[1]FİYATLAR!A19</f>
        <v/>
      </c>
      <c r="B19" s="29">
        <f>[1]FİYATLAR!B19</f>
        <v/>
      </c>
      <c r="C19" s="35">
        <f>INT(A19)</f>
        <v/>
      </c>
      <c r="D19" s="36">
        <f>MONTH(A19)</f>
        <v/>
      </c>
      <c r="E19" t="n">
        <v>0.66</v>
      </c>
      <c r="F19" s="30">
        <f>[1]FİYATLAR!C19</f>
        <v/>
      </c>
      <c r="G19" s="30">
        <f>[1]FİYATLAR!D19</f>
        <v/>
      </c>
      <c r="H19">
        <f>E19*F19</f>
        <v/>
      </c>
      <c r="I19">
        <f>E19*G19</f>
        <v/>
      </c>
      <c r="M19" s="63">
        <f>M18+1</f>
        <v/>
      </c>
      <c r="N19" s="89">
        <f>SUMIF(C:C,M19,E:E)</f>
        <v/>
      </c>
      <c r="O19" s="89">
        <f>SUMIF(C:C,M19,H:H)</f>
        <v/>
      </c>
      <c r="P19" s="89">
        <f>SUMIF(C:C,M19,I:I)</f>
        <v/>
      </c>
    </row>
    <row r="20">
      <c r="A20" s="29">
        <f>[1]FİYATLAR!A20</f>
        <v/>
      </c>
      <c r="B20" s="29">
        <f>[1]FİYATLAR!B20</f>
        <v/>
      </c>
      <c r="C20" s="35">
        <f>INT(A20)</f>
        <v/>
      </c>
      <c r="D20" s="36">
        <f>MONTH(A20)</f>
        <v/>
      </c>
      <c r="E20" t="n">
        <v>0.23</v>
      </c>
      <c r="F20" s="30">
        <f>[1]FİYATLAR!C20</f>
        <v/>
      </c>
      <c r="G20" s="30">
        <f>[1]FİYATLAR!D20</f>
        <v/>
      </c>
      <c r="H20">
        <f>E20*F20</f>
        <v/>
      </c>
      <c r="I20">
        <f>E20*G20</f>
        <v/>
      </c>
      <c r="M20" s="63">
        <f>M19+1</f>
        <v/>
      </c>
      <c r="N20" s="89">
        <f>SUMIF(C:C,M20,E:E)</f>
        <v/>
      </c>
      <c r="O20" s="89">
        <f>SUMIF(C:C,M20,H:H)</f>
        <v/>
      </c>
      <c r="P20" s="89">
        <f>SUMIF(C:C,M20,I:I)</f>
        <v/>
      </c>
    </row>
    <row r="21">
      <c r="A21" s="29">
        <f>[1]FİYATLAR!A21</f>
        <v/>
      </c>
      <c r="B21" s="29">
        <f>[1]FİYATLAR!B21</f>
        <v/>
      </c>
      <c r="C21" s="35">
        <f>INT(A21)</f>
        <v/>
      </c>
      <c r="D21" s="36">
        <f>MONTH(A21)</f>
        <v/>
      </c>
      <c r="E21" t="n">
        <v>0.02</v>
      </c>
      <c r="F21" s="30">
        <f>[1]FİYATLAR!C21</f>
        <v/>
      </c>
      <c r="G21" s="30">
        <f>[1]FİYATLAR!D21</f>
        <v/>
      </c>
      <c r="H21">
        <f>E21*F21</f>
        <v/>
      </c>
      <c r="I21">
        <f>E21*G21</f>
        <v/>
      </c>
      <c r="M21" s="63">
        <f>M20+1</f>
        <v/>
      </c>
      <c r="N21" s="89">
        <f>SUMIF(C:C,M21,E:E)</f>
        <v/>
      </c>
      <c r="O21" s="89">
        <f>SUMIF(C:C,M21,H:H)</f>
        <v/>
      </c>
      <c r="P21" s="89">
        <f>SUMIF(C:C,M21,I:I)</f>
        <v/>
      </c>
    </row>
    <row r="22">
      <c r="A22" s="29">
        <f>[1]FİYATLAR!A22</f>
        <v/>
      </c>
      <c r="B22" s="29">
        <f>[1]FİYATLAR!B22</f>
        <v/>
      </c>
      <c r="C22" s="35">
        <f>INT(A22)</f>
        <v/>
      </c>
      <c r="D22" s="36">
        <f>MONTH(A22)</f>
        <v/>
      </c>
      <c r="E22" t="n">
        <v>0</v>
      </c>
      <c r="F22" s="30">
        <f>[1]FİYATLAR!C22</f>
        <v/>
      </c>
      <c r="G22" s="30">
        <f>[1]FİYATLAR!D22</f>
        <v/>
      </c>
      <c r="H22">
        <f>E22*F22</f>
        <v/>
      </c>
      <c r="I22">
        <f>E22*G22</f>
        <v/>
      </c>
      <c r="M22" s="63">
        <f>M21+1</f>
        <v/>
      </c>
      <c r="N22" s="89">
        <f>SUMIF(C:C,M22,E:E)</f>
        <v/>
      </c>
      <c r="O22" s="89">
        <f>SUMIF(C:C,M22,H:H)</f>
        <v/>
      </c>
      <c r="P22" s="89">
        <f>SUMIF(C:C,M22,I:I)</f>
        <v/>
      </c>
    </row>
    <row r="23">
      <c r="A23" s="29">
        <f>[1]FİYATLAR!A23</f>
        <v/>
      </c>
      <c r="B23" s="29">
        <f>[1]FİYATLAR!B23</f>
        <v/>
      </c>
      <c r="C23" s="35">
        <f>INT(A23)</f>
        <v/>
      </c>
      <c r="D23" s="36">
        <f>MONTH(A23)</f>
        <v/>
      </c>
      <c r="E23" t="n">
        <v>0</v>
      </c>
      <c r="F23" s="30">
        <f>[1]FİYATLAR!C23</f>
        <v/>
      </c>
      <c r="G23" s="30">
        <f>[1]FİYATLAR!D23</f>
        <v/>
      </c>
      <c r="H23">
        <f>E23*F23</f>
        <v/>
      </c>
      <c r="I23">
        <f>E23*G23</f>
        <v/>
      </c>
      <c r="M23" s="63">
        <f>M22+1</f>
        <v/>
      </c>
      <c r="N23" s="89">
        <f>SUMIF(C:C,M23,E:E)</f>
        <v/>
      </c>
      <c r="O23" s="89">
        <f>SUMIF(C:C,M23,H:H)</f>
        <v/>
      </c>
      <c r="P23" s="89">
        <f>SUMIF(C:C,M23,I:I)</f>
        <v/>
      </c>
    </row>
    <row r="24">
      <c r="A24" s="29">
        <f>[1]FİYATLAR!A24</f>
        <v/>
      </c>
      <c r="B24" s="29">
        <f>[1]FİYATLAR!B24</f>
        <v/>
      </c>
      <c r="C24" s="35">
        <f>INT(A24)</f>
        <v/>
      </c>
      <c r="D24" s="36">
        <f>MONTH(A24)</f>
        <v/>
      </c>
      <c r="E24" t="n">
        <v>0</v>
      </c>
      <c r="F24" s="30">
        <f>[1]FİYATLAR!C24</f>
        <v/>
      </c>
      <c r="G24" s="30">
        <f>[1]FİYATLAR!D24</f>
        <v/>
      </c>
      <c r="H24">
        <f>E24*F24</f>
        <v/>
      </c>
      <c r="I24">
        <f>E24*G24</f>
        <v/>
      </c>
      <c r="M24" s="63">
        <f>M23+1</f>
        <v/>
      </c>
      <c r="N24" s="89">
        <f>SUMIF(C:C,M24,E:E)</f>
        <v/>
      </c>
      <c r="O24" s="89">
        <f>SUMIF(C:C,M24,H:H)</f>
        <v/>
      </c>
      <c r="P24" s="89">
        <f>SUMIF(C:C,M24,I:I)</f>
        <v/>
      </c>
    </row>
    <row r="25">
      <c r="A25" s="29">
        <f>[1]FİYATLAR!A25</f>
        <v/>
      </c>
      <c r="B25" s="29">
        <f>[1]FİYATLAR!B25</f>
        <v/>
      </c>
      <c r="C25" s="35">
        <f>INT(A25)</f>
        <v/>
      </c>
      <c r="D25" s="36">
        <f>MONTH(A25)</f>
        <v/>
      </c>
      <c r="E25" t="n">
        <v>0</v>
      </c>
      <c r="F25" s="30">
        <f>[1]FİYATLAR!C25</f>
        <v/>
      </c>
      <c r="G25" s="30">
        <f>[1]FİYATLAR!D25</f>
        <v/>
      </c>
      <c r="H25">
        <f>E25*F25</f>
        <v/>
      </c>
      <c r="I25">
        <f>E25*G25</f>
        <v/>
      </c>
      <c r="M25" s="63">
        <f>M24+1</f>
        <v/>
      </c>
      <c r="N25" s="89">
        <f>SUMIF(C:C,M25,E:E)</f>
        <v/>
      </c>
      <c r="O25" s="89">
        <f>SUMIF(C:C,M25,H:H)</f>
        <v/>
      </c>
      <c r="P25" s="89">
        <f>SUMIF(C:C,M25,I:I)</f>
        <v/>
      </c>
    </row>
    <row r="26">
      <c r="A26" s="29">
        <f>[1]FİYATLAR!A26</f>
        <v/>
      </c>
      <c r="B26" s="29">
        <f>[1]FİYATLAR!B26</f>
        <v/>
      </c>
      <c r="C26" s="35">
        <f>INT(A26)</f>
        <v/>
      </c>
      <c r="D26" s="36">
        <f>MONTH(A26)</f>
        <v/>
      </c>
      <c r="E26" t="n">
        <v>0</v>
      </c>
      <c r="F26" s="30">
        <f>[1]FİYATLAR!C26</f>
        <v/>
      </c>
      <c r="G26" s="30">
        <f>[1]FİYATLAR!D26</f>
        <v/>
      </c>
      <c r="H26">
        <f>E26*F26</f>
        <v/>
      </c>
      <c r="I26">
        <f>E26*G26</f>
        <v/>
      </c>
      <c r="M26" s="63">
        <f>M25+1</f>
        <v/>
      </c>
      <c r="N26" s="89">
        <f>SUMIF(C:C,M26,E:E)</f>
        <v/>
      </c>
      <c r="O26" s="89">
        <f>SUMIF(C:C,M26,H:H)</f>
        <v/>
      </c>
      <c r="P26" s="89">
        <f>SUMIF(C:C,M26,I:I)</f>
        <v/>
      </c>
    </row>
    <row r="27">
      <c r="A27" s="29">
        <f>[1]FİYATLAR!A27</f>
        <v/>
      </c>
      <c r="B27" s="29">
        <f>[1]FİYATLAR!B27</f>
        <v/>
      </c>
      <c r="C27" s="35">
        <f>INT(A27)</f>
        <v/>
      </c>
      <c r="D27" s="36">
        <f>MONTH(A27)</f>
        <v/>
      </c>
      <c r="E27" t="n">
        <v>0</v>
      </c>
      <c r="F27" s="30">
        <f>[1]FİYATLAR!C27</f>
        <v/>
      </c>
      <c r="G27" s="30">
        <f>[1]FİYATLAR!D27</f>
        <v/>
      </c>
      <c r="H27">
        <f>E27*F27</f>
        <v/>
      </c>
      <c r="I27">
        <f>E27*G27</f>
        <v/>
      </c>
      <c r="M27" s="63">
        <f>M26+1</f>
        <v/>
      </c>
      <c r="N27" s="89">
        <f>SUMIF(C:C,M27,E:E)</f>
        <v/>
      </c>
      <c r="O27" s="89">
        <f>SUMIF(C:C,M27,H:H)</f>
        <v/>
      </c>
      <c r="P27" s="89">
        <f>SUMIF(C:C,M27,I:I)</f>
        <v/>
      </c>
    </row>
    <row r="28">
      <c r="A28" s="29">
        <f>[1]FİYATLAR!A28</f>
        <v/>
      </c>
      <c r="B28" s="29">
        <f>[1]FİYATLAR!B28</f>
        <v/>
      </c>
      <c r="C28" s="35">
        <f>INT(A28)</f>
        <v/>
      </c>
      <c r="D28" s="36">
        <f>MONTH(A28)</f>
        <v/>
      </c>
      <c r="E28" t="n">
        <v>0</v>
      </c>
      <c r="F28" s="30">
        <f>[1]FİYATLAR!C28</f>
        <v/>
      </c>
      <c r="G28" s="30">
        <f>[1]FİYATLAR!D28</f>
        <v/>
      </c>
      <c r="H28">
        <f>E28*F28</f>
        <v/>
      </c>
      <c r="I28">
        <f>E28*G28</f>
        <v/>
      </c>
      <c r="M28" s="63">
        <f>M27+1</f>
        <v/>
      </c>
      <c r="N28" s="89">
        <f>SUMIF(C:C,M28,E:E)</f>
        <v/>
      </c>
      <c r="O28" s="89">
        <f>SUMIF(C:C,M28,H:H)</f>
        <v/>
      </c>
      <c r="P28" s="89">
        <f>SUMIF(C:C,M28,I:I)</f>
        <v/>
      </c>
    </row>
    <row r="29">
      <c r="A29" s="29">
        <f>[1]FİYATLAR!A29</f>
        <v/>
      </c>
      <c r="B29" s="29">
        <f>[1]FİYATLAR!B29</f>
        <v/>
      </c>
      <c r="C29" s="35">
        <f>INT(A29)</f>
        <v/>
      </c>
      <c r="D29" s="36">
        <f>MONTH(A29)</f>
        <v/>
      </c>
      <c r="E29" t="n">
        <v>0</v>
      </c>
      <c r="F29" s="30">
        <f>[1]FİYATLAR!C29</f>
        <v/>
      </c>
      <c r="G29" s="30">
        <f>[1]FİYATLAR!D29</f>
        <v/>
      </c>
      <c r="H29">
        <f>E29*F29</f>
        <v/>
      </c>
      <c r="I29">
        <f>E29*G29</f>
        <v/>
      </c>
      <c r="M29" s="63">
        <f>M28+1</f>
        <v/>
      </c>
      <c r="N29" s="89">
        <f>SUMIF(C:C,M29,E:E)</f>
        <v/>
      </c>
      <c r="O29" s="89">
        <f>SUMIF(C:C,M29,H:H)</f>
        <v/>
      </c>
      <c r="P29" s="89">
        <f>SUMIF(C:C,M29,I:I)</f>
        <v/>
      </c>
    </row>
    <row r="30">
      <c r="A30" s="29">
        <f>[1]FİYATLAR!A30</f>
        <v/>
      </c>
      <c r="B30" s="29">
        <f>[1]FİYATLAR!B30</f>
        <v/>
      </c>
      <c r="C30" s="35">
        <f>INT(A30)</f>
        <v/>
      </c>
      <c r="D30" s="36">
        <f>MONTH(A30)</f>
        <v/>
      </c>
      <c r="E30" t="n">
        <v>0</v>
      </c>
      <c r="F30" s="30">
        <f>[1]FİYATLAR!C30</f>
        <v/>
      </c>
      <c r="G30" s="30">
        <f>[1]FİYATLAR!D30</f>
        <v/>
      </c>
      <c r="H30">
        <f>E30*F30</f>
        <v/>
      </c>
      <c r="I30">
        <f>E30*G30</f>
        <v/>
      </c>
      <c r="M30" s="63">
        <f>M29+1</f>
        <v/>
      </c>
      <c r="N30" s="89">
        <f>SUMIF(C:C,M30,E:E)</f>
        <v/>
      </c>
      <c r="O30" s="89">
        <f>SUMIF(C:C,M30,H:H)</f>
        <v/>
      </c>
      <c r="P30" s="89">
        <f>SUMIF(C:C,M30,I:I)</f>
        <v/>
      </c>
    </row>
    <row r="31">
      <c r="A31" s="29">
        <f>[1]FİYATLAR!A31</f>
        <v/>
      </c>
      <c r="B31" s="29">
        <f>[1]FİYATLAR!B31</f>
        <v/>
      </c>
      <c r="C31" s="35">
        <f>INT(A31)</f>
        <v/>
      </c>
      <c r="D31" s="36">
        <f>MONTH(A31)</f>
        <v/>
      </c>
      <c r="E31" t="n">
        <v>0</v>
      </c>
      <c r="F31" s="30">
        <f>[1]FİYATLAR!C31</f>
        <v/>
      </c>
      <c r="G31" s="30">
        <f>[1]FİYATLAR!D31</f>
        <v/>
      </c>
      <c r="H31">
        <f>E31*F31</f>
        <v/>
      </c>
      <c r="I31">
        <f>E31*G31</f>
        <v/>
      </c>
      <c r="M31" s="63">
        <f>M30+1</f>
        <v/>
      </c>
      <c r="N31" s="89">
        <f>SUMIF(C:C,M31,E:E)</f>
        <v/>
      </c>
      <c r="O31" s="89">
        <f>SUMIF(C:C,M31,H:H)</f>
        <v/>
      </c>
      <c r="P31" s="89">
        <f>SUMIF(C:C,M31,I:I)</f>
        <v/>
      </c>
    </row>
    <row r="32">
      <c r="A32" s="29">
        <f>[1]FİYATLAR!A32</f>
        <v/>
      </c>
      <c r="B32" s="29">
        <f>[1]FİYATLAR!B32</f>
        <v/>
      </c>
      <c r="C32" s="35">
        <f>INT(A32)</f>
        <v/>
      </c>
      <c r="D32" s="36">
        <f>MONTH(A32)</f>
        <v/>
      </c>
      <c r="E32" t="n">
        <v>0.08</v>
      </c>
      <c r="F32" s="30">
        <f>[1]FİYATLAR!C32</f>
        <v/>
      </c>
      <c r="G32" s="30">
        <f>[1]FİYATLAR!D32</f>
        <v/>
      </c>
      <c r="H32">
        <f>E32*F32</f>
        <v/>
      </c>
      <c r="I32">
        <f>E32*G32</f>
        <v/>
      </c>
      <c r="M32" s="63">
        <f>M31+1</f>
        <v/>
      </c>
      <c r="N32" s="89">
        <f>SUMIF(C:C,M32,E:E)</f>
        <v/>
      </c>
      <c r="O32" s="89">
        <f>SUMIF(C:C,M32,H:H)</f>
        <v/>
      </c>
      <c r="P32" s="89">
        <f>SUMIF(C:C,M32,I:I)</f>
        <v/>
      </c>
    </row>
    <row r="33">
      <c r="A33" s="29">
        <f>[1]FİYATLAR!A33</f>
        <v/>
      </c>
      <c r="B33" s="29">
        <f>[1]FİYATLAR!B33</f>
        <v/>
      </c>
      <c r="C33" s="35">
        <f>INT(A33)</f>
        <v/>
      </c>
      <c r="D33" s="36">
        <f>MONTH(A33)</f>
        <v/>
      </c>
      <c r="E33" t="n">
        <v>0.43</v>
      </c>
      <c r="F33" s="30">
        <f>[1]FİYATLAR!C33</f>
        <v/>
      </c>
      <c r="G33" s="30">
        <f>[1]FİYATLAR!D33</f>
        <v/>
      </c>
      <c r="H33">
        <f>E33*F33</f>
        <v/>
      </c>
      <c r="I33">
        <f>E33*G33</f>
        <v/>
      </c>
      <c r="M33" s="172" t="inlineStr">
        <is>
          <t>Toplam</t>
        </is>
      </c>
      <c r="N33" s="173">
        <f>SUM(N2:N32)</f>
        <v/>
      </c>
      <c r="O33" s="173">
        <f>SUM(O2:O32)</f>
        <v/>
      </c>
      <c r="P33" s="173">
        <f>SUM(P2:P32)</f>
        <v/>
      </c>
    </row>
    <row r="34">
      <c r="A34" s="29">
        <f>[1]FİYATLAR!A34</f>
        <v/>
      </c>
      <c r="B34" s="29">
        <f>[1]FİYATLAR!B34</f>
        <v/>
      </c>
      <c r="C34" s="35">
        <f>INT(A34)</f>
        <v/>
      </c>
      <c r="D34" s="36">
        <f>MONTH(A34)</f>
        <v/>
      </c>
      <c r="E34" t="n">
        <v>0.89</v>
      </c>
      <c r="F34" s="30">
        <f>[1]FİYATLAR!C34</f>
        <v/>
      </c>
      <c r="G34" s="30">
        <f>[1]FİYATLAR!D34</f>
        <v/>
      </c>
      <c r="H34">
        <f>E34*F34</f>
        <v/>
      </c>
      <c r="I34">
        <f>E34*G34</f>
        <v/>
      </c>
    </row>
    <row r="35">
      <c r="A35" s="29">
        <f>[1]FİYATLAR!A35</f>
        <v/>
      </c>
      <c r="B35" s="29">
        <f>[1]FİYATLAR!B35</f>
        <v/>
      </c>
      <c r="C35" s="35">
        <f>INT(A35)</f>
        <v/>
      </c>
      <c r="D35" s="36">
        <f>MONTH(A35)</f>
        <v/>
      </c>
      <c r="E35" t="n">
        <v>1.27</v>
      </c>
      <c r="F35" s="30">
        <f>[1]FİYATLAR!C35</f>
        <v/>
      </c>
      <c r="G35" s="30">
        <f>[1]FİYATLAR!D35</f>
        <v/>
      </c>
      <c r="H35">
        <f>E35*F35</f>
        <v/>
      </c>
      <c r="I35">
        <f>E35*G35</f>
        <v/>
      </c>
    </row>
    <row r="36">
      <c r="A36" s="29">
        <f>[1]FİYATLAR!A36</f>
        <v/>
      </c>
      <c r="B36" s="29">
        <f>[1]FİYATLAR!B36</f>
        <v/>
      </c>
      <c r="C36" s="35">
        <f>INT(A36)</f>
        <v/>
      </c>
      <c r="D36" s="36">
        <f>MONTH(A36)</f>
        <v/>
      </c>
      <c r="E36" t="n">
        <v>1.54</v>
      </c>
      <c r="F36" s="30">
        <f>[1]FİYATLAR!C36</f>
        <v/>
      </c>
      <c r="G36" s="30">
        <f>[1]FİYATLAR!D36</f>
        <v/>
      </c>
      <c r="H36">
        <f>E36*F36</f>
        <v/>
      </c>
      <c r="I36">
        <f>E36*G36</f>
        <v/>
      </c>
    </row>
    <row r="37">
      <c r="A37" s="29">
        <f>[1]FİYATLAR!A37</f>
        <v/>
      </c>
      <c r="B37" s="29">
        <f>[1]FİYATLAR!B37</f>
        <v/>
      </c>
      <c r="C37" s="35">
        <f>INT(A37)</f>
        <v/>
      </c>
      <c r="D37" s="36">
        <f>MONTH(A37)</f>
        <v/>
      </c>
      <c r="E37" t="n">
        <v>1.71</v>
      </c>
      <c r="F37" s="30">
        <f>[1]FİYATLAR!C37</f>
        <v/>
      </c>
      <c r="G37" s="30">
        <f>[1]FİYATLAR!D37</f>
        <v/>
      </c>
      <c r="H37">
        <f>E37*F37</f>
        <v/>
      </c>
      <c r="I37">
        <f>E37*G37</f>
        <v/>
      </c>
    </row>
    <row r="38">
      <c r="A38" s="29">
        <f>[1]FİYATLAR!A38</f>
        <v/>
      </c>
      <c r="B38" s="29">
        <f>[1]FİYATLAR!B38</f>
        <v/>
      </c>
      <c r="C38" s="35">
        <f>INT(A38)</f>
        <v/>
      </c>
      <c r="D38" s="36">
        <f>MONTH(A38)</f>
        <v/>
      </c>
      <c r="E38" t="n">
        <v>1.78</v>
      </c>
      <c r="F38" s="30">
        <f>[1]FİYATLAR!C38</f>
        <v/>
      </c>
      <c r="G38" s="30">
        <f>[1]FİYATLAR!D38</f>
        <v/>
      </c>
      <c r="H38">
        <f>E38*F38</f>
        <v/>
      </c>
      <c r="I38">
        <f>E38*G38</f>
        <v/>
      </c>
    </row>
    <row r="39">
      <c r="A39" s="29">
        <f>[1]FİYATLAR!A39</f>
        <v/>
      </c>
      <c r="B39" s="29">
        <f>[1]FİYATLAR!B39</f>
        <v/>
      </c>
      <c r="C39" s="35">
        <f>INT(A39)</f>
        <v/>
      </c>
      <c r="D39" s="36">
        <f>MONTH(A39)</f>
        <v/>
      </c>
      <c r="E39" t="n">
        <v>1.74</v>
      </c>
      <c r="F39" s="30">
        <f>[1]FİYATLAR!C39</f>
        <v/>
      </c>
      <c r="G39" s="30">
        <f>[1]FİYATLAR!D39</f>
        <v/>
      </c>
      <c r="H39">
        <f>E39*F39</f>
        <v/>
      </c>
      <c r="I39">
        <f>E39*G39</f>
        <v/>
      </c>
    </row>
    <row r="40">
      <c r="A40" s="29">
        <f>[1]FİYATLAR!A40</f>
        <v/>
      </c>
      <c r="B40" s="29">
        <f>[1]FİYATLAR!B40</f>
        <v/>
      </c>
      <c r="C40" s="35">
        <f>INT(A40)</f>
        <v/>
      </c>
      <c r="D40" s="36">
        <f>MONTH(A40)</f>
        <v/>
      </c>
      <c r="E40" t="n">
        <v>1.61</v>
      </c>
      <c r="F40" s="30">
        <f>[1]FİYATLAR!C40</f>
        <v/>
      </c>
      <c r="G40" s="30">
        <f>[1]FİYATLAR!D40</f>
        <v/>
      </c>
      <c r="H40">
        <f>E40*F40</f>
        <v/>
      </c>
      <c r="I40">
        <f>E40*G40</f>
        <v/>
      </c>
    </row>
    <row r="41">
      <c r="A41" s="29">
        <f>[1]FİYATLAR!A41</f>
        <v/>
      </c>
      <c r="B41" s="29">
        <f>[1]FİYATLAR!B41</f>
        <v/>
      </c>
      <c r="C41" s="35">
        <f>INT(A41)</f>
        <v/>
      </c>
      <c r="D41" s="36">
        <f>MONTH(A41)</f>
        <v/>
      </c>
      <c r="E41" t="n">
        <v>1.38</v>
      </c>
      <c r="F41" s="30">
        <f>[1]FİYATLAR!C41</f>
        <v/>
      </c>
      <c r="G41" s="30">
        <f>[1]FİYATLAR!D41</f>
        <v/>
      </c>
      <c r="H41">
        <f>E41*F41</f>
        <v/>
      </c>
      <c r="I41">
        <f>E41*G41</f>
        <v/>
      </c>
    </row>
    <row r="42">
      <c r="A42" s="29">
        <f>[1]FİYATLAR!A42</f>
        <v/>
      </c>
      <c r="B42" s="29">
        <f>[1]FİYATLAR!B42</f>
        <v/>
      </c>
      <c r="C42" s="35">
        <f>INT(A42)</f>
        <v/>
      </c>
      <c r="D42" s="36">
        <f>MONTH(A42)</f>
        <v/>
      </c>
      <c r="E42" t="n">
        <v>1.04</v>
      </c>
      <c r="F42" s="30">
        <f>[1]FİYATLAR!C42</f>
        <v/>
      </c>
      <c r="G42" s="30">
        <f>[1]FİYATLAR!D42</f>
        <v/>
      </c>
      <c r="H42">
        <f>E42*F42</f>
        <v/>
      </c>
      <c r="I42">
        <f>E42*G42</f>
        <v/>
      </c>
    </row>
    <row r="43">
      <c r="A43" s="29">
        <f>[1]FİYATLAR!A43</f>
        <v/>
      </c>
      <c r="B43" s="29">
        <f>[1]FİYATLAR!B43</f>
        <v/>
      </c>
      <c r="C43" s="35">
        <f>INT(A43)</f>
        <v/>
      </c>
      <c r="D43" s="36">
        <f>MONTH(A43)</f>
        <v/>
      </c>
      <c r="E43" t="n">
        <v>0.61</v>
      </c>
      <c r="F43" s="30">
        <f>[1]FİYATLAR!C43</f>
        <v/>
      </c>
      <c r="G43" s="30">
        <f>[1]FİYATLAR!D43</f>
        <v/>
      </c>
      <c r="H43">
        <f>E43*F43</f>
        <v/>
      </c>
      <c r="I43">
        <f>E43*G43</f>
        <v/>
      </c>
    </row>
    <row r="44">
      <c r="A44" s="29">
        <f>[1]FİYATLAR!A44</f>
        <v/>
      </c>
      <c r="B44" s="29">
        <f>[1]FİYATLAR!B44</f>
        <v/>
      </c>
      <c r="C44" s="35">
        <f>INT(A44)</f>
        <v/>
      </c>
      <c r="D44" s="36">
        <f>MONTH(A44)</f>
        <v/>
      </c>
      <c r="E44" t="n">
        <v>0.22</v>
      </c>
      <c r="F44" s="30">
        <f>[1]FİYATLAR!C44</f>
        <v/>
      </c>
      <c r="G44" s="30">
        <f>[1]FİYATLAR!D44</f>
        <v/>
      </c>
      <c r="H44">
        <f>E44*F44</f>
        <v/>
      </c>
      <c r="I44">
        <f>E44*G44</f>
        <v/>
      </c>
    </row>
    <row r="45">
      <c r="A45" s="29">
        <f>[1]FİYATLAR!A45</f>
        <v/>
      </c>
      <c r="B45" s="29">
        <f>[1]FİYATLAR!B45</f>
        <v/>
      </c>
      <c r="C45" s="35">
        <f>INT(A45)</f>
        <v/>
      </c>
      <c r="D45" s="36">
        <f>MONTH(A45)</f>
        <v/>
      </c>
      <c r="E45" t="n">
        <v>0.01</v>
      </c>
      <c r="F45" s="30">
        <f>[1]FİYATLAR!C45</f>
        <v/>
      </c>
      <c r="G45" s="30">
        <f>[1]FİYATLAR!D45</f>
        <v/>
      </c>
      <c r="H45">
        <f>E45*F45</f>
        <v/>
      </c>
      <c r="I45">
        <f>E45*G45</f>
        <v/>
      </c>
    </row>
    <row r="46">
      <c r="A46" s="29">
        <f>[1]FİYATLAR!A46</f>
        <v/>
      </c>
      <c r="B46" s="29">
        <f>[1]FİYATLAR!B46</f>
        <v/>
      </c>
      <c r="C46" s="35">
        <f>INT(A46)</f>
        <v/>
      </c>
      <c r="D46" s="36">
        <f>MONTH(A46)</f>
        <v/>
      </c>
      <c r="E46" t="n">
        <v>0</v>
      </c>
      <c r="F46" s="30">
        <f>[1]FİYATLAR!C46</f>
        <v/>
      </c>
      <c r="G46" s="30">
        <f>[1]FİYATLAR!D46</f>
        <v/>
      </c>
      <c r="H46">
        <f>E46*F46</f>
        <v/>
      </c>
      <c r="I46">
        <f>E46*G46</f>
        <v/>
      </c>
    </row>
    <row r="47">
      <c r="A47" s="29">
        <f>[1]FİYATLAR!A47</f>
        <v/>
      </c>
      <c r="B47" s="29">
        <f>[1]FİYATLAR!B47</f>
        <v/>
      </c>
      <c r="C47" s="35">
        <f>INT(A47)</f>
        <v/>
      </c>
      <c r="D47" s="36">
        <f>MONTH(A47)</f>
        <v/>
      </c>
      <c r="E47" t="n">
        <v>0</v>
      </c>
      <c r="F47" s="30">
        <f>[1]FİYATLAR!C47</f>
        <v/>
      </c>
      <c r="G47" s="30">
        <f>[1]FİYATLAR!D47</f>
        <v/>
      </c>
      <c r="H47">
        <f>E47*F47</f>
        <v/>
      </c>
      <c r="I47">
        <f>E47*G47</f>
        <v/>
      </c>
    </row>
    <row r="48">
      <c r="A48" s="29">
        <f>[1]FİYATLAR!A48</f>
        <v/>
      </c>
      <c r="B48" s="29">
        <f>[1]FİYATLAR!B48</f>
        <v/>
      </c>
      <c r="C48" s="35">
        <f>INT(A48)</f>
        <v/>
      </c>
      <c r="D48" s="36">
        <f>MONTH(A48)</f>
        <v/>
      </c>
      <c r="E48" t="n">
        <v>0</v>
      </c>
      <c r="F48" s="30">
        <f>[1]FİYATLAR!C48</f>
        <v/>
      </c>
      <c r="G48" s="30">
        <f>[1]FİYATLAR!D48</f>
        <v/>
      </c>
      <c r="H48">
        <f>E48*F48</f>
        <v/>
      </c>
      <c r="I48">
        <f>E48*G48</f>
        <v/>
      </c>
    </row>
    <row r="49">
      <c r="A49" s="29">
        <f>[1]FİYATLAR!A49</f>
        <v/>
      </c>
      <c r="B49" s="29">
        <f>[1]FİYATLAR!B49</f>
        <v/>
      </c>
      <c r="C49" s="35">
        <f>INT(A49)</f>
        <v/>
      </c>
      <c r="D49" s="36">
        <f>MONTH(A49)</f>
        <v/>
      </c>
      <c r="E49" t="n">
        <v>0</v>
      </c>
      <c r="F49" s="30">
        <f>[1]FİYATLAR!C49</f>
        <v/>
      </c>
      <c r="G49" s="30">
        <f>[1]FİYATLAR!D49</f>
        <v/>
      </c>
      <c r="H49">
        <f>E49*F49</f>
        <v/>
      </c>
      <c r="I49">
        <f>E49*G49</f>
        <v/>
      </c>
    </row>
    <row r="50">
      <c r="A50" s="29">
        <f>[1]FİYATLAR!A50</f>
        <v/>
      </c>
      <c r="B50" s="29">
        <f>[1]FİYATLAR!B50</f>
        <v/>
      </c>
      <c r="C50" s="35">
        <f>INT(A50)</f>
        <v/>
      </c>
      <c r="D50" s="36">
        <f>MONTH(A50)</f>
        <v/>
      </c>
      <c r="E50" t="n">
        <v>0</v>
      </c>
      <c r="F50" s="30">
        <f>[1]FİYATLAR!C50</f>
        <v/>
      </c>
      <c r="G50" s="30">
        <f>[1]FİYATLAR!D50</f>
        <v/>
      </c>
      <c r="H50">
        <f>E50*F50</f>
        <v/>
      </c>
      <c r="I50">
        <f>E50*G50</f>
        <v/>
      </c>
    </row>
    <row r="51">
      <c r="A51" s="29">
        <f>[1]FİYATLAR!A51</f>
        <v/>
      </c>
      <c r="B51" s="29">
        <f>[1]FİYATLAR!B51</f>
        <v/>
      </c>
      <c r="C51" s="35">
        <f>INT(A51)</f>
        <v/>
      </c>
      <c r="D51" s="36">
        <f>MONTH(A51)</f>
        <v/>
      </c>
      <c r="E51" t="n">
        <v>0</v>
      </c>
      <c r="F51" s="30">
        <f>[1]FİYATLAR!C51</f>
        <v/>
      </c>
      <c r="G51" s="30">
        <f>[1]FİYATLAR!D51</f>
        <v/>
      </c>
      <c r="H51">
        <f>E51*F51</f>
        <v/>
      </c>
      <c r="I51">
        <f>E51*G51</f>
        <v/>
      </c>
    </row>
    <row r="52">
      <c r="A52" s="29">
        <f>[1]FİYATLAR!A52</f>
        <v/>
      </c>
      <c r="B52" s="29">
        <f>[1]FİYATLAR!B52</f>
        <v/>
      </c>
      <c r="C52" s="35">
        <f>INT(A52)</f>
        <v/>
      </c>
      <c r="D52" s="36">
        <f>MONTH(A52)</f>
        <v/>
      </c>
      <c r="E52" t="n">
        <v>0</v>
      </c>
      <c r="F52" s="30">
        <f>[1]FİYATLAR!C52</f>
        <v/>
      </c>
      <c r="G52" s="30">
        <f>[1]FİYATLAR!D52</f>
        <v/>
      </c>
      <c r="H52">
        <f>E52*F52</f>
        <v/>
      </c>
      <c r="I52">
        <f>E52*G52</f>
        <v/>
      </c>
    </row>
    <row r="53">
      <c r="A53" s="29">
        <f>[1]FİYATLAR!A53</f>
        <v/>
      </c>
      <c r="B53" s="29">
        <f>[1]FİYATLAR!B53</f>
        <v/>
      </c>
      <c r="C53" s="35">
        <f>INT(A53)</f>
        <v/>
      </c>
      <c r="D53" s="36">
        <f>MONTH(A53)</f>
        <v/>
      </c>
      <c r="E53" t="n">
        <v>0</v>
      </c>
      <c r="F53" s="30">
        <f>[1]FİYATLAR!C53</f>
        <v/>
      </c>
      <c r="G53" s="30">
        <f>[1]FİYATLAR!D53</f>
        <v/>
      </c>
      <c r="H53">
        <f>E53*F53</f>
        <v/>
      </c>
      <c r="I53">
        <f>E53*G53</f>
        <v/>
      </c>
    </row>
    <row r="54">
      <c r="A54" s="29">
        <f>[1]FİYATLAR!A54</f>
        <v/>
      </c>
      <c r="B54" s="29">
        <f>[1]FİYATLAR!B54</f>
        <v/>
      </c>
      <c r="C54" s="35">
        <f>INT(A54)</f>
        <v/>
      </c>
      <c r="D54" s="36">
        <f>MONTH(A54)</f>
        <v/>
      </c>
      <c r="E54" t="n">
        <v>0</v>
      </c>
      <c r="F54" s="30">
        <f>[1]FİYATLAR!C54</f>
        <v/>
      </c>
      <c r="G54" s="30">
        <f>[1]FİYATLAR!D54</f>
        <v/>
      </c>
      <c r="H54">
        <f>E54*F54</f>
        <v/>
      </c>
      <c r="I54">
        <f>E54*G54</f>
        <v/>
      </c>
    </row>
    <row r="55">
      <c r="A55" s="29">
        <f>[1]FİYATLAR!A55</f>
        <v/>
      </c>
      <c r="B55" s="29">
        <f>[1]FİYATLAR!B55</f>
        <v/>
      </c>
      <c r="C55" s="35">
        <f>INT(A55)</f>
        <v/>
      </c>
      <c r="D55" s="36">
        <f>MONTH(A55)</f>
        <v/>
      </c>
      <c r="E55" t="n">
        <v>0.02</v>
      </c>
      <c r="F55" s="30">
        <f>[1]FİYATLAR!C55</f>
        <v/>
      </c>
      <c r="G55" s="30">
        <f>[1]FİYATLAR!D55</f>
        <v/>
      </c>
      <c r="H55">
        <f>E55*F55</f>
        <v/>
      </c>
      <c r="I55">
        <f>E55*G55</f>
        <v/>
      </c>
    </row>
    <row r="56">
      <c r="A56" s="29">
        <f>[1]FİYATLAR!A56</f>
        <v/>
      </c>
      <c r="B56" s="29">
        <f>[1]FİYATLAR!B56</f>
        <v/>
      </c>
      <c r="C56" s="35">
        <f>INT(A56)</f>
        <v/>
      </c>
      <c r="D56" s="36">
        <f>MONTH(A56)</f>
        <v/>
      </c>
      <c r="E56" t="n">
        <v>0.19</v>
      </c>
      <c r="F56" s="30">
        <f>[1]FİYATLAR!C56</f>
        <v/>
      </c>
      <c r="G56" s="30">
        <f>[1]FİYATLAR!D56</f>
        <v/>
      </c>
      <c r="H56">
        <f>E56*F56</f>
        <v/>
      </c>
      <c r="I56">
        <f>E56*G56</f>
        <v/>
      </c>
    </row>
    <row r="57">
      <c r="A57" s="29">
        <f>[1]FİYATLAR!A57</f>
        <v/>
      </c>
      <c r="B57" s="29">
        <f>[1]FİYATLAR!B57</f>
        <v/>
      </c>
      <c r="C57" s="35">
        <f>INT(A57)</f>
        <v/>
      </c>
      <c r="D57" s="36">
        <f>MONTH(A57)</f>
        <v/>
      </c>
      <c r="E57" t="n">
        <v>0.07000000000000001</v>
      </c>
      <c r="F57" s="30">
        <f>[1]FİYATLAR!C57</f>
        <v/>
      </c>
      <c r="G57" s="30">
        <f>[1]FİYATLAR!D57</f>
        <v/>
      </c>
      <c r="H57">
        <f>E57*F57</f>
        <v/>
      </c>
      <c r="I57">
        <f>E57*G57</f>
        <v/>
      </c>
    </row>
    <row r="58">
      <c r="A58" s="29">
        <f>[1]FİYATLAR!A58</f>
        <v/>
      </c>
      <c r="B58" s="29">
        <f>[1]FİYATLAR!B58</f>
        <v/>
      </c>
      <c r="C58" s="35">
        <f>INT(A58)</f>
        <v/>
      </c>
      <c r="D58" s="36">
        <f>MONTH(A58)</f>
        <v/>
      </c>
      <c r="E58" t="n">
        <v>0.15</v>
      </c>
      <c r="F58" s="30">
        <f>[1]FİYATLAR!C58</f>
        <v/>
      </c>
      <c r="G58" s="30">
        <f>[1]FİYATLAR!D58</f>
        <v/>
      </c>
      <c r="H58">
        <f>E58*F58</f>
        <v/>
      </c>
      <c r="I58">
        <f>E58*G58</f>
        <v/>
      </c>
    </row>
    <row r="59">
      <c r="A59" s="29">
        <f>[1]FİYATLAR!A59</f>
        <v/>
      </c>
      <c r="B59" s="29">
        <f>[1]FİYATLAR!B59</f>
        <v/>
      </c>
      <c r="C59" s="35">
        <f>INT(A59)</f>
        <v/>
      </c>
      <c r="D59" s="36">
        <f>MONTH(A59)</f>
        <v/>
      </c>
      <c r="E59" t="n">
        <v>0.37</v>
      </c>
      <c r="F59" s="30">
        <f>[1]FİYATLAR!C59</f>
        <v/>
      </c>
      <c r="G59" s="30">
        <f>[1]FİYATLAR!D59</f>
        <v/>
      </c>
      <c r="H59">
        <f>E59*F59</f>
        <v/>
      </c>
      <c r="I59">
        <f>E59*G59</f>
        <v/>
      </c>
    </row>
    <row r="60">
      <c r="A60" s="29">
        <f>[1]FİYATLAR!A60</f>
        <v/>
      </c>
      <c r="B60" s="29">
        <f>[1]FİYATLAR!B60</f>
        <v/>
      </c>
      <c r="C60" s="35">
        <f>INT(A60)</f>
        <v/>
      </c>
      <c r="D60" s="36">
        <f>MONTH(A60)</f>
        <v/>
      </c>
      <c r="E60" t="n">
        <v>1.37</v>
      </c>
      <c r="F60" s="30">
        <f>[1]FİYATLAR!C60</f>
        <v/>
      </c>
      <c r="G60" s="30">
        <f>[1]FİYATLAR!D60</f>
        <v/>
      </c>
      <c r="H60">
        <f>E60*F60</f>
        <v/>
      </c>
      <c r="I60">
        <f>E60*G60</f>
        <v/>
      </c>
    </row>
    <row r="61">
      <c r="A61" s="29">
        <f>[1]FİYATLAR!A61</f>
        <v/>
      </c>
      <c r="B61" s="29">
        <f>[1]FİYATLAR!B61</f>
        <v/>
      </c>
      <c r="C61" s="35">
        <f>INT(A61)</f>
        <v/>
      </c>
      <c r="D61" s="36">
        <f>MONTH(A61)</f>
        <v/>
      </c>
      <c r="E61" t="n">
        <v>1.54</v>
      </c>
      <c r="F61" s="30">
        <f>[1]FİYATLAR!C61</f>
        <v/>
      </c>
      <c r="G61" s="30">
        <f>[1]FİYATLAR!D61</f>
        <v/>
      </c>
      <c r="H61">
        <f>E61*F61</f>
        <v/>
      </c>
      <c r="I61">
        <f>E61*G61</f>
        <v/>
      </c>
    </row>
    <row r="62">
      <c r="A62" s="29">
        <f>[1]FİYATLAR!A62</f>
        <v/>
      </c>
      <c r="B62" s="29">
        <f>[1]FİYATLAR!B62</f>
        <v/>
      </c>
      <c r="C62" s="35">
        <f>INT(A62)</f>
        <v/>
      </c>
      <c r="D62" s="36">
        <f>MONTH(A62)</f>
        <v/>
      </c>
      <c r="E62" t="n">
        <v>1.73</v>
      </c>
      <c r="F62" s="30">
        <f>[1]FİYATLAR!C62</f>
        <v/>
      </c>
      <c r="G62" s="30">
        <f>[1]FİYATLAR!D62</f>
        <v/>
      </c>
      <c r="H62">
        <f>E62*F62</f>
        <v/>
      </c>
      <c r="I62">
        <f>E62*G62</f>
        <v/>
      </c>
    </row>
    <row r="63">
      <c r="A63" s="29">
        <f>[1]FİYATLAR!A63</f>
        <v/>
      </c>
      <c r="B63" s="29">
        <f>[1]FİYATLAR!B63</f>
        <v/>
      </c>
      <c r="C63" s="35">
        <f>INT(A63)</f>
        <v/>
      </c>
      <c r="D63" s="36">
        <f>MONTH(A63)</f>
        <v/>
      </c>
      <c r="E63" t="n">
        <v>1.37</v>
      </c>
      <c r="F63" s="30">
        <f>[1]FİYATLAR!C63</f>
        <v/>
      </c>
      <c r="G63" s="30">
        <f>[1]FİYATLAR!D63</f>
        <v/>
      </c>
      <c r="H63">
        <f>E63*F63</f>
        <v/>
      </c>
      <c r="I63">
        <f>E63*G63</f>
        <v/>
      </c>
    </row>
    <row r="64">
      <c r="A64" s="29">
        <f>[1]FİYATLAR!A64</f>
        <v/>
      </c>
      <c r="B64" s="29">
        <f>[1]FİYATLAR!B64</f>
        <v/>
      </c>
      <c r="C64" s="35">
        <f>INT(A64)</f>
        <v/>
      </c>
      <c r="D64" s="36">
        <f>MONTH(A64)</f>
        <v/>
      </c>
      <c r="E64" t="n">
        <v>0.4</v>
      </c>
      <c r="F64" s="30">
        <f>[1]FİYATLAR!C64</f>
        <v/>
      </c>
      <c r="G64" s="30">
        <f>[1]FİYATLAR!D64</f>
        <v/>
      </c>
      <c r="H64">
        <f>E64*F64</f>
        <v/>
      </c>
      <c r="I64">
        <f>E64*G64</f>
        <v/>
      </c>
    </row>
    <row r="65">
      <c r="A65" s="29">
        <f>[1]FİYATLAR!A65</f>
        <v/>
      </c>
      <c r="B65" s="29">
        <f>[1]FİYATLAR!B65</f>
        <v/>
      </c>
      <c r="C65" s="35">
        <f>INT(A65)</f>
        <v/>
      </c>
      <c r="D65" s="36">
        <f>MONTH(A65)</f>
        <v/>
      </c>
      <c r="E65" t="n">
        <v>1.19</v>
      </c>
      <c r="F65" s="30">
        <f>[1]FİYATLAR!C65</f>
        <v/>
      </c>
      <c r="G65" s="30">
        <f>[1]FİYATLAR!D65</f>
        <v/>
      </c>
      <c r="H65">
        <f>E65*F65</f>
        <v/>
      </c>
      <c r="I65">
        <f>E65*G65</f>
        <v/>
      </c>
    </row>
    <row r="66">
      <c r="A66" s="29">
        <f>[1]FİYATLAR!A66</f>
        <v/>
      </c>
      <c r="B66" s="29">
        <f>[1]FİYATLAR!B66</f>
        <v/>
      </c>
      <c r="C66" s="35">
        <f>INT(A66)</f>
        <v/>
      </c>
      <c r="D66" s="36">
        <f>MONTH(A66)</f>
        <v/>
      </c>
      <c r="E66" t="n">
        <v>1.07</v>
      </c>
      <c r="F66" s="30">
        <f>[1]FİYATLAR!C66</f>
        <v/>
      </c>
      <c r="G66" s="30">
        <f>[1]FİYATLAR!D66</f>
        <v/>
      </c>
      <c r="H66">
        <f>E66*F66</f>
        <v/>
      </c>
      <c r="I66">
        <f>E66*G66</f>
        <v/>
      </c>
    </row>
    <row r="67">
      <c r="A67" s="29">
        <f>[1]FİYATLAR!A67</f>
        <v/>
      </c>
      <c r="B67" s="29">
        <f>[1]FİYATLAR!B67</f>
        <v/>
      </c>
      <c r="C67" s="35">
        <f>INT(A67)</f>
        <v/>
      </c>
      <c r="D67" s="36">
        <f>MONTH(A67)</f>
        <v/>
      </c>
      <c r="E67" t="n">
        <v>0.62</v>
      </c>
      <c r="F67" s="30">
        <f>[1]FİYATLAR!C67</f>
        <v/>
      </c>
      <c r="G67" s="30">
        <f>[1]FİYATLAR!D67</f>
        <v/>
      </c>
      <c r="H67">
        <f>E67*F67</f>
        <v/>
      </c>
      <c r="I67">
        <f>E67*G67</f>
        <v/>
      </c>
    </row>
    <row r="68">
      <c r="A68" s="29">
        <f>[1]FİYATLAR!A68</f>
        <v/>
      </c>
      <c r="B68" s="29">
        <f>[1]FİYATLAR!B68</f>
        <v/>
      </c>
      <c r="C68" s="35">
        <f>INT(A68)</f>
        <v/>
      </c>
      <c r="D68" s="36">
        <f>MONTH(A68)</f>
        <v/>
      </c>
      <c r="E68" t="n">
        <v>0.24</v>
      </c>
      <c r="F68" s="30">
        <f>[1]FİYATLAR!C68</f>
        <v/>
      </c>
      <c r="G68" s="30">
        <f>[1]FİYATLAR!D68</f>
        <v/>
      </c>
      <c r="H68">
        <f>E68*F68</f>
        <v/>
      </c>
      <c r="I68">
        <f>E68*G68</f>
        <v/>
      </c>
    </row>
    <row r="69">
      <c r="A69" s="29">
        <f>[1]FİYATLAR!A69</f>
        <v/>
      </c>
      <c r="B69" s="29">
        <f>[1]FİYATLAR!B69</f>
        <v/>
      </c>
      <c r="C69" s="35">
        <f>INT(A69)</f>
        <v/>
      </c>
      <c r="D69" s="36">
        <f>MONTH(A69)</f>
        <v/>
      </c>
      <c r="E69" t="n">
        <v>0</v>
      </c>
      <c r="F69" s="30">
        <f>[1]FİYATLAR!C69</f>
        <v/>
      </c>
      <c r="G69" s="30">
        <f>[1]FİYATLAR!D69</f>
        <v/>
      </c>
      <c r="H69">
        <f>E69*F69</f>
        <v/>
      </c>
      <c r="I69">
        <f>E69*G69</f>
        <v/>
      </c>
    </row>
    <row r="70">
      <c r="A70" s="29">
        <f>[1]FİYATLAR!A70</f>
        <v/>
      </c>
      <c r="B70" s="29">
        <f>[1]FİYATLAR!B70</f>
        <v/>
      </c>
      <c r="C70" s="35">
        <f>INT(A70)</f>
        <v/>
      </c>
      <c r="D70" s="36">
        <f>MONTH(A70)</f>
        <v/>
      </c>
      <c r="E70" t="n">
        <v>0</v>
      </c>
      <c r="F70" s="30">
        <f>[1]FİYATLAR!C70</f>
        <v/>
      </c>
      <c r="G70" s="30">
        <f>[1]FİYATLAR!D70</f>
        <v/>
      </c>
      <c r="H70">
        <f>E70*F70</f>
        <v/>
      </c>
      <c r="I70">
        <f>E70*G70</f>
        <v/>
      </c>
    </row>
    <row r="71">
      <c r="A71" s="29">
        <f>[1]FİYATLAR!A71</f>
        <v/>
      </c>
      <c r="B71" s="29">
        <f>[1]FİYATLAR!B71</f>
        <v/>
      </c>
      <c r="C71" s="35">
        <f>INT(A71)</f>
        <v/>
      </c>
      <c r="D71" s="36">
        <f>MONTH(A71)</f>
        <v/>
      </c>
      <c r="E71" t="n">
        <v>0</v>
      </c>
      <c r="F71" s="30">
        <f>[1]FİYATLAR!C71</f>
        <v/>
      </c>
      <c r="G71" s="30">
        <f>[1]FİYATLAR!D71</f>
        <v/>
      </c>
      <c r="H71">
        <f>E71*F71</f>
        <v/>
      </c>
      <c r="I71">
        <f>E71*G71</f>
        <v/>
      </c>
    </row>
    <row r="72">
      <c r="A72" s="29">
        <f>[1]FİYATLAR!A72</f>
        <v/>
      </c>
      <c r="B72" s="29">
        <f>[1]FİYATLAR!B72</f>
        <v/>
      </c>
      <c r="C72" s="35">
        <f>INT(A72)</f>
        <v/>
      </c>
      <c r="D72" s="36">
        <f>MONTH(A72)</f>
        <v/>
      </c>
      <c r="E72" t="n">
        <v>0</v>
      </c>
      <c r="F72" s="30">
        <f>[1]FİYATLAR!C72</f>
        <v/>
      </c>
      <c r="G72" s="30">
        <f>[1]FİYATLAR!D72</f>
        <v/>
      </c>
      <c r="H72">
        <f>E72*F72</f>
        <v/>
      </c>
      <c r="I72">
        <f>E72*G72</f>
        <v/>
      </c>
    </row>
    <row r="73">
      <c r="A73" s="29">
        <f>[1]FİYATLAR!A73</f>
        <v/>
      </c>
      <c r="B73" s="29">
        <f>[1]FİYATLAR!B73</f>
        <v/>
      </c>
      <c r="C73" s="35">
        <f>INT(A73)</f>
        <v/>
      </c>
      <c r="D73" s="36">
        <f>MONTH(A73)</f>
        <v/>
      </c>
      <c r="E73" t="n">
        <v>0</v>
      </c>
      <c r="F73" s="30">
        <f>[1]FİYATLAR!C73</f>
        <v/>
      </c>
      <c r="G73" s="30">
        <f>[1]FİYATLAR!D73</f>
        <v/>
      </c>
      <c r="H73">
        <f>E73*F73</f>
        <v/>
      </c>
      <c r="I73">
        <f>E73*G73</f>
        <v/>
      </c>
    </row>
    <row r="74">
      <c r="A74" s="29">
        <f>[1]FİYATLAR!A74</f>
        <v/>
      </c>
      <c r="B74" s="29">
        <f>[1]FİYATLAR!B74</f>
        <v/>
      </c>
      <c r="C74" s="35">
        <f>INT(A74)</f>
        <v/>
      </c>
      <c r="D74" s="36">
        <f>MONTH(A74)</f>
        <v/>
      </c>
      <c r="E74" t="n">
        <v>0</v>
      </c>
      <c r="F74" s="30">
        <f>[1]FİYATLAR!C74</f>
        <v/>
      </c>
      <c r="G74" s="30">
        <f>[1]FİYATLAR!D74</f>
        <v/>
      </c>
      <c r="H74">
        <f>E74*F74</f>
        <v/>
      </c>
      <c r="I74">
        <f>E74*G74</f>
        <v/>
      </c>
    </row>
    <row r="75">
      <c r="A75" s="29">
        <f>[1]FİYATLAR!A75</f>
        <v/>
      </c>
      <c r="B75" s="29">
        <f>[1]FİYATLAR!B75</f>
        <v/>
      </c>
      <c r="C75" s="35">
        <f>INT(A75)</f>
        <v/>
      </c>
      <c r="D75" s="36">
        <f>MONTH(A75)</f>
        <v/>
      </c>
      <c r="E75" t="n">
        <v>0</v>
      </c>
      <c r="F75" s="30">
        <f>[1]FİYATLAR!C75</f>
        <v/>
      </c>
      <c r="G75" s="30">
        <f>[1]FİYATLAR!D75</f>
        <v/>
      </c>
      <c r="H75">
        <f>E75*F75</f>
        <v/>
      </c>
      <c r="I75">
        <f>E75*G75</f>
        <v/>
      </c>
    </row>
    <row r="76">
      <c r="A76" s="29">
        <f>[1]FİYATLAR!A76</f>
        <v/>
      </c>
      <c r="B76" s="29">
        <f>[1]FİYATLAR!B76</f>
        <v/>
      </c>
      <c r="C76" s="35">
        <f>INT(A76)</f>
        <v/>
      </c>
      <c r="D76" s="36">
        <f>MONTH(A76)</f>
        <v/>
      </c>
      <c r="E76" t="n">
        <v>0</v>
      </c>
      <c r="F76" s="30">
        <f>[1]FİYATLAR!C76</f>
        <v/>
      </c>
      <c r="G76" s="30">
        <f>[1]FİYATLAR!D76</f>
        <v/>
      </c>
      <c r="H76">
        <f>E76*F76</f>
        <v/>
      </c>
      <c r="I76">
        <f>E76*G76</f>
        <v/>
      </c>
    </row>
    <row r="77">
      <c r="A77" s="29">
        <f>[1]FİYATLAR!A77</f>
        <v/>
      </c>
      <c r="B77" s="29">
        <f>[1]FİYATLAR!B77</f>
        <v/>
      </c>
      <c r="C77" s="35">
        <f>INT(A77)</f>
        <v/>
      </c>
      <c r="D77" s="36">
        <f>MONTH(A77)</f>
        <v/>
      </c>
      <c r="E77" t="n">
        <v>0</v>
      </c>
      <c r="F77" s="30">
        <f>[1]FİYATLAR!C77</f>
        <v/>
      </c>
      <c r="G77" s="30">
        <f>[1]FİYATLAR!D77</f>
        <v/>
      </c>
      <c r="H77">
        <f>E77*F77</f>
        <v/>
      </c>
      <c r="I77">
        <f>E77*G77</f>
        <v/>
      </c>
    </row>
    <row r="78">
      <c r="A78" s="29">
        <f>[1]FİYATLAR!A78</f>
        <v/>
      </c>
      <c r="B78" s="29">
        <f>[1]FİYATLAR!B78</f>
        <v/>
      </c>
      <c r="C78" s="35">
        <f>INT(A78)</f>
        <v/>
      </c>
      <c r="D78" s="36">
        <f>MONTH(A78)</f>
        <v/>
      </c>
      <c r="E78" t="n">
        <v>0</v>
      </c>
      <c r="F78" s="30">
        <f>[1]FİYATLAR!C78</f>
        <v/>
      </c>
      <c r="G78" s="30">
        <f>[1]FİYATLAR!D78</f>
        <v/>
      </c>
      <c r="H78">
        <f>E78*F78</f>
        <v/>
      </c>
      <c r="I78">
        <f>E78*G78</f>
        <v/>
      </c>
    </row>
    <row r="79">
      <c r="A79" s="29">
        <f>[1]FİYATLAR!A79</f>
        <v/>
      </c>
      <c r="B79" s="29">
        <f>[1]FİYATLAR!B79</f>
        <v/>
      </c>
      <c r="C79" s="35">
        <f>INT(A79)</f>
        <v/>
      </c>
      <c r="D79" s="36">
        <f>MONTH(A79)</f>
        <v/>
      </c>
      <c r="E79" t="n">
        <v>0.02</v>
      </c>
      <c r="F79" s="30">
        <f>[1]FİYATLAR!C79</f>
        <v/>
      </c>
      <c r="G79" s="30">
        <f>[1]FİYATLAR!D79</f>
        <v/>
      </c>
      <c r="H79">
        <f>E79*F79</f>
        <v/>
      </c>
      <c r="I79">
        <f>E79*G79</f>
        <v/>
      </c>
    </row>
    <row r="80">
      <c r="A80" s="29">
        <f>[1]FİYATLAR!A80</f>
        <v/>
      </c>
      <c r="B80" s="29">
        <f>[1]FİYATLAR!B80</f>
        <v/>
      </c>
      <c r="C80" s="35">
        <f>INT(A80)</f>
        <v/>
      </c>
      <c r="D80" s="36">
        <f>MONTH(A80)</f>
        <v/>
      </c>
      <c r="E80" t="n">
        <v>0.14</v>
      </c>
      <c r="F80" s="30">
        <f>[1]FİYATLAR!C80</f>
        <v/>
      </c>
      <c r="G80" s="30">
        <f>[1]FİYATLAR!D80</f>
        <v/>
      </c>
      <c r="H80">
        <f>E80*F80</f>
        <v/>
      </c>
      <c r="I80">
        <f>E80*G80</f>
        <v/>
      </c>
    </row>
    <row r="81">
      <c r="A81" s="29">
        <f>[1]FİYATLAR!A81</f>
        <v/>
      </c>
      <c r="B81" s="29">
        <f>[1]FİYATLAR!B81</f>
        <v/>
      </c>
      <c r="C81" s="35">
        <f>INT(A81)</f>
        <v/>
      </c>
      <c r="D81" s="36">
        <f>MONTH(A81)</f>
        <v/>
      </c>
      <c r="E81" t="n">
        <v>0.39</v>
      </c>
      <c r="F81" s="30">
        <f>[1]FİYATLAR!C81</f>
        <v/>
      </c>
      <c r="G81" s="30">
        <f>[1]FİYATLAR!D81</f>
        <v/>
      </c>
      <c r="H81">
        <f>E81*F81</f>
        <v/>
      </c>
      <c r="I81">
        <f>E81*G81</f>
        <v/>
      </c>
    </row>
    <row r="82">
      <c r="A82" s="29">
        <f>[1]FİYATLAR!A82</f>
        <v/>
      </c>
      <c r="B82" s="29">
        <f>[1]FİYATLAR!B82</f>
        <v/>
      </c>
      <c r="C82" s="35">
        <f>INT(A82)</f>
        <v/>
      </c>
      <c r="D82" s="36">
        <f>MONTH(A82)</f>
        <v/>
      </c>
      <c r="E82" t="n">
        <v>0.83</v>
      </c>
      <c r="F82" s="30">
        <f>[1]FİYATLAR!C82</f>
        <v/>
      </c>
      <c r="G82" s="30">
        <f>[1]FİYATLAR!D82</f>
        <v/>
      </c>
      <c r="H82">
        <f>E82*F82</f>
        <v/>
      </c>
      <c r="I82">
        <f>E82*G82</f>
        <v/>
      </c>
    </row>
    <row r="83">
      <c r="A83" s="29">
        <f>[1]FİYATLAR!A83</f>
        <v/>
      </c>
      <c r="B83" s="29">
        <f>[1]FİYATLAR!B83</f>
        <v/>
      </c>
      <c r="C83" s="35">
        <f>INT(A83)</f>
        <v/>
      </c>
      <c r="D83" s="36">
        <f>MONTH(A83)</f>
        <v/>
      </c>
      <c r="E83" t="n">
        <v>1.22</v>
      </c>
      <c r="F83" s="30">
        <f>[1]FİYATLAR!C83</f>
        <v/>
      </c>
      <c r="G83" s="30">
        <f>[1]FİYATLAR!D83</f>
        <v/>
      </c>
      <c r="H83">
        <f>E83*F83</f>
        <v/>
      </c>
      <c r="I83">
        <f>E83*G83</f>
        <v/>
      </c>
    </row>
    <row r="84">
      <c r="A84" s="29">
        <f>[1]FİYATLAR!A84</f>
        <v/>
      </c>
      <c r="B84" s="29">
        <f>[1]FİYATLAR!B84</f>
        <v/>
      </c>
      <c r="C84" s="35">
        <f>INT(A84)</f>
        <v/>
      </c>
      <c r="D84" s="36">
        <f>MONTH(A84)</f>
        <v/>
      </c>
      <c r="E84" t="n">
        <v>1.39</v>
      </c>
      <c r="F84" s="30">
        <f>[1]FİYATLAR!C84</f>
        <v/>
      </c>
      <c r="G84" s="30">
        <f>[1]FİYATLAR!D84</f>
        <v/>
      </c>
      <c r="H84">
        <f>E84*F84</f>
        <v/>
      </c>
      <c r="I84">
        <f>E84*G84</f>
        <v/>
      </c>
    </row>
    <row r="85">
      <c r="A85" s="29">
        <f>[1]FİYATLAR!A85</f>
        <v/>
      </c>
      <c r="B85" s="29">
        <f>[1]FİYATLAR!B85</f>
        <v/>
      </c>
      <c r="C85" s="35">
        <f>INT(A85)</f>
        <v/>
      </c>
      <c r="D85" s="36">
        <f>MONTH(A85)</f>
        <v/>
      </c>
      <c r="E85" t="n">
        <v>1.73</v>
      </c>
      <c r="F85" s="30">
        <f>[1]FİYATLAR!C85</f>
        <v/>
      </c>
      <c r="G85" s="30">
        <f>[1]FİYATLAR!D85</f>
        <v/>
      </c>
      <c r="H85">
        <f>E85*F85</f>
        <v/>
      </c>
      <c r="I85">
        <f>E85*G85</f>
        <v/>
      </c>
    </row>
    <row r="86">
      <c r="A86" s="29">
        <f>[1]FİYATLAR!A86</f>
        <v/>
      </c>
      <c r="B86" s="29">
        <f>[1]FİYATLAR!B86</f>
        <v/>
      </c>
      <c r="C86" s="35">
        <f>INT(A86)</f>
        <v/>
      </c>
      <c r="D86" s="36">
        <f>MONTH(A86)</f>
        <v/>
      </c>
      <c r="E86" t="n">
        <v>1.78</v>
      </c>
      <c r="F86" s="30">
        <f>[1]FİYATLAR!C86</f>
        <v/>
      </c>
      <c r="G86" s="30">
        <f>[1]FİYATLAR!D86</f>
        <v/>
      </c>
      <c r="H86">
        <f>E86*F86</f>
        <v/>
      </c>
      <c r="I86">
        <f>E86*G86</f>
        <v/>
      </c>
    </row>
    <row r="87">
      <c r="A87" s="29">
        <f>[1]FİYATLAR!A87</f>
        <v/>
      </c>
      <c r="B87" s="29">
        <f>[1]FİYATLAR!B87</f>
        <v/>
      </c>
      <c r="C87" s="35">
        <f>INT(A87)</f>
        <v/>
      </c>
      <c r="D87" s="36">
        <f>MONTH(A87)</f>
        <v/>
      </c>
      <c r="E87" t="n">
        <v>1.36</v>
      </c>
      <c r="F87" s="30">
        <f>[1]FİYATLAR!C87</f>
        <v/>
      </c>
      <c r="G87" s="30">
        <f>[1]FİYATLAR!D87</f>
        <v/>
      </c>
      <c r="H87">
        <f>E87*F87</f>
        <v/>
      </c>
      <c r="I87">
        <f>E87*G87</f>
        <v/>
      </c>
    </row>
    <row r="88">
      <c r="A88" s="29">
        <f>[1]FİYATLAR!A88</f>
        <v/>
      </c>
      <c r="B88" s="29">
        <f>[1]FİYATLAR!B88</f>
        <v/>
      </c>
      <c r="C88" s="35">
        <f>INT(A88)</f>
        <v/>
      </c>
      <c r="D88" s="36">
        <f>MONTH(A88)</f>
        <v/>
      </c>
      <c r="E88" t="n">
        <v>1.7</v>
      </c>
      <c r="F88" s="30">
        <f>[1]FİYATLAR!C88</f>
        <v/>
      </c>
      <c r="G88" s="30">
        <f>[1]FİYATLAR!D88</f>
        <v/>
      </c>
      <c r="H88">
        <f>E88*F88</f>
        <v/>
      </c>
      <c r="I88">
        <f>E88*G88</f>
        <v/>
      </c>
    </row>
    <row r="89">
      <c r="A89" s="29">
        <f>[1]FİYATLAR!A89</f>
        <v/>
      </c>
      <c r="B89" s="29">
        <f>[1]FİYATLAR!B89</f>
        <v/>
      </c>
      <c r="C89" s="35">
        <f>INT(A89)</f>
        <v/>
      </c>
      <c r="D89" s="36">
        <f>MONTH(A89)</f>
        <v/>
      </c>
      <c r="E89" t="n">
        <v>1.43</v>
      </c>
      <c r="F89" s="30">
        <f>[1]FİYATLAR!C89</f>
        <v/>
      </c>
      <c r="G89" s="30">
        <f>[1]FİYATLAR!D89</f>
        <v/>
      </c>
      <c r="H89">
        <f>E89*F89</f>
        <v/>
      </c>
      <c r="I89">
        <f>E89*G89</f>
        <v/>
      </c>
    </row>
    <row r="90">
      <c r="A90" s="29">
        <f>[1]FİYATLAR!A90</f>
        <v/>
      </c>
      <c r="B90" s="29">
        <f>[1]FİYATLAR!B90</f>
        <v/>
      </c>
      <c r="C90" s="35">
        <f>INT(A90)</f>
        <v/>
      </c>
      <c r="D90" s="36">
        <f>MONTH(A90)</f>
        <v/>
      </c>
      <c r="E90" t="n">
        <v>0.75</v>
      </c>
      <c r="F90" s="30">
        <f>[1]FİYATLAR!C90</f>
        <v/>
      </c>
      <c r="G90" s="30">
        <f>[1]FİYATLAR!D90</f>
        <v/>
      </c>
      <c r="H90">
        <f>E90*F90</f>
        <v/>
      </c>
      <c r="I90">
        <f>E90*G90</f>
        <v/>
      </c>
    </row>
    <row r="91">
      <c r="A91" s="29">
        <f>[1]FİYATLAR!A91</f>
        <v/>
      </c>
      <c r="B91" s="29">
        <f>[1]FİYATLAR!B91</f>
        <v/>
      </c>
      <c r="C91" s="35">
        <f>INT(A91)</f>
        <v/>
      </c>
      <c r="D91" s="36">
        <f>MONTH(A91)</f>
        <v/>
      </c>
      <c r="E91" t="n">
        <v>0.5600000000000001</v>
      </c>
      <c r="F91" s="30">
        <f>[1]FİYATLAR!C91</f>
        <v/>
      </c>
      <c r="G91" s="30">
        <f>[1]FİYATLAR!D91</f>
        <v/>
      </c>
      <c r="H91">
        <f>E91*F91</f>
        <v/>
      </c>
      <c r="I91">
        <f>E91*G91</f>
        <v/>
      </c>
    </row>
    <row r="92">
      <c r="A92" s="29">
        <f>[1]FİYATLAR!A92</f>
        <v/>
      </c>
      <c r="B92" s="29">
        <f>[1]FİYATLAR!B92</f>
        <v/>
      </c>
      <c r="C92" s="35">
        <f>INT(A92)</f>
        <v/>
      </c>
      <c r="D92" s="36">
        <f>MONTH(A92)</f>
        <v/>
      </c>
      <c r="E92" t="n">
        <v>0.23</v>
      </c>
      <c r="F92" s="30">
        <f>[1]FİYATLAR!C92</f>
        <v/>
      </c>
      <c r="G92" s="30">
        <f>[1]FİYATLAR!D92</f>
        <v/>
      </c>
      <c r="H92">
        <f>E92*F92</f>
        <v/>
      </c>
      <c r="I92">
        <f>E92*G92</f>
        <v/>
      </c>
    </row>
    <row r="93">
      <c r="A93" s="29">
        <f>[1]FİYATLAR!A93</f>
        <v/>
      </c>
      <c r="B93" s="29">
        <f>[1]FİYATLAR!B93</f>
        <v/>
      </c>
      <c r="C93" s="35">
        <f>INT(A93)</f>
        <v/>
      </c>
      <c r="D93" s="36">
        <f>MONTH(A93)</f>
        <v/>
      </c>
      <c r="E93" t="n">
        <v>0</v>
      </c>
      <c r="F93" s="30">
        <f>[1]FİYATLAR!C93</f>
        <v/>
      </c>
      <c r="G93" s="30">
        <f>[1]FİYATLAR!D93</f>
        <v/>
      </c>
      <c r="H93">
        <f>E93*F93</f>
        <v/>
      </c>
      <c r="I93">
        <f>E93*G93</f>
        <v/>
      </c>
    </row>
    <row r="94">
      <c r="A94" s="29">
        <f>[1]FİYATLAR!A94</f>
        <v/>
      </c>
      <c r="B94" s="29">
        <f>[1]FİYATLAR!B94</f>
        <v/>
      </c>
      <c r="C94" s="35">
        <f>INT(A94)</f>
        <v/>
      </c>
      <c r="D94" s="36">
        <f>MONTH(A94)</f>
        <v/>
      </c>
      <c r="E94" t="n">
        <v>0</v>
      </c>
      <c r="F94" s="30">
        <f>[1]FİYATLAR!C94</f>
        <v/>
      </c>
      <c r="G94" s="30">
        <f>[1]FİYATLAR!D94</f>
        <v/>
      </c>
      <c r="H94">
        <f>E94*F94</f>
        <v/>
      </c>
      <c r="I94">
        <f>E94*G94</f>
        <v/>
      </c>
    </row>
    <row r="95">
      <c r="A95" s="29">
        <f>[1]FİYATLAR!A95</f>
        <v/>
      </c>
      <c r="B95" s="29">
        <f>[1]FİYATLAR!B95</f>
        <v/>
      </c>
      <c r="C95" s="35">
        <f>INT(A95)</f>
        <v/>
      </c>
      <c r="D95" s="36">
        <f>MONTH(A95)</f>
        <v/>
      </c>
      <c r="E95" t="n">
        <v>0</v>
      </c>
      <c r="F95" s="30">
        <f>[1]FİYATLAR!C95</f>
        <v/>
      </c>
      <c r="G95" s="30">
        <f>[1]FİYATLAR!D95</f>
        <v/>
      </c>
      <c r="H95">
        <f>E95*F95</f>
        <v/>
      </c>
      <c r="I95">
        <f>E95*G95</f>
        <v/>
      </c>
    </row>
    <row r="96">
      <c r="A96" s="29">
        <f>[1]FİYATLAR!A96</f>
        <v/>
      </c>
      <c r="B96" s="29">
        <f>[1]FİYATLAR!B96</f>
        <v/>
      </c>
      <c r="C96" s="35">
        <f>INT(A96)</f>
        <v/>
      </c>
      <c r="D96" s="36">
        <f>MONTH(A96)</f>
        <v/>
      </c>
      <c r="E96" t="n">
        <v>0</v>
      </c>
      <c r="F96" s="30">
        <f>[1]FİYATLAR!C96</f>
        <v/>
      </c>
      <c r="G96" s="30">
        <f>[1]FİYATLAR!D96</f>
        <v/>
      </c>
      <c r="H96">
        <f>E96*F96</f>
        <v/>
      </c>
      <c r="I96">
        <f>E96*G96</f>
        <v/>
      </c>
    </row>
    <row r="97">
      <c r="A97" s="29">
        <f>[1]FİYATLAR!A97</f>
        <v/>
      </c>
      <c r="B97" s="29">
        <f>[1]FİYATLAR!B97</f>
        <v/>
      </c>
      <c r="C97" s="35">
        <f>INT(A97)</f>
        <v/>
      </c>
      <c r="D97" s="36">
        <f>MONTH(A97)</f>
        <v/>
      </c>
      <c r="E97" t="n">
        <v>0</v>
      </c>
      <c r="F97" s="30">
        <f>[1]FİYATLAR!C97</f>
        <v/>
      </c>
      <c r="G97" s="30">
        <f>[1]FİYATLAR!D97</f>
        <v/>
      </c>
      <c r="H97">
        <f>E97*F97</f>
        <v/>
      </c>
      <c r="I97">
        <f>E97*G97</f>
        <v/>
      </c>
    </row>
    <row r="98">
      <c r="A98" s="29">
        <f>[1]FİYATLAR!A98</f>
        <v/>
      </c>
      <c r="B98" s="29">
        <f>[1]FİYATLAR!B98</f>
        <v/>
      </c>
      <c r="C98" s="35">
        <f>INT(A98)</f>
        <v/>
      </c>
      <c r="D98" s="36">
        <f>MONTH(A98)</f>
        <v/>
      </c>
      <c r="E98" t="n">
        <v>0</v>
      </c>
      <c r="F98" s="30">
        <f>[1]FİYATLAR!C98</f>
        <v/>
      </c>
      <c r="G98" s="30">
        <f>[1]FİYATLAR!D98</f>
        <v/>
      </c>
      <c r="H98">
        <f>E98*F98</f>
        <v/>
      </c>
      <c r="I98">
        <f>E98*G98</f>
        <v/>
      </c>
    </row>
    <row r="99">
      <c r="A99" s="29">
        <f>[1]FİYATLAR!A99</f>
        <v/>
      </c>
      <c r="B99" s="29">
        <f>[1]FİYATLAR!B99</f>
        <v/>
      </c>
      <c r="C99" s="35">
        <f>INT(A99)</f>
        <v/>
      </c>
      <c r="D99" s="36">
        <f>MONTH(A99)</f>
        <v/>
      </c>
      <c r="E99" t="n">
        <v>0</v>
      </c>
      <c r="F99" s="30">
        <f>[1]FİYATLAR!C99</f>
        <v/>
      </c>
      <c r="G99" s="30">
        <f>[1]FİYATLAR!D99</f>
        <v/>
      </c>
      <c r="H99">
        <f>E99*F99</f>
        <v/>
      </c>
      <c r="I99">
        <f>E99*G99</f>
        <v/>
      </c>
    </row>
    <row r="100">
      <c r="A100" s="29">
        <f>[1]FİYATLAR!A100</f>
        <v/>
      </c>
      <c r="B100" s="29">
        <f>[1]FİYATLAR!B100</f>
        <v/>
      </c>
      <c r="C100" s="35">
        <f>INT(A100)</f>
        <v/>
      </c>
      <c r="D100" s="36">
        <f>MONTH(A100)</f>
        <v/>
      </c>
      <c r="E100" t="n">
        <v>0</v>
      </c>
      <c r="F100" s="30">
        <f>[1]FİYATLAR!C100</f>
        <v/>
      </c>
      <c r="G100" s="30">
        <f>[1]FİYATLAR!D100</f>
        <v/>
      </c>
      <c r="H100">
        <f>E100*F100</f>
        <v/>
      </c>
      <c r="I100">
        <f>E100*G100</f>
        <v/>
      </c>
    </row>
    <row r="101">
      <c r="A101" s="29">
        <f>[1]FİYATLAR!A101</f>
        <v/>
      </c>
      <c r="B101" s="29">
        <f>[1]FİYATLAR!B101</f>
        <v/>
      </c>
      <c r="C101" s="35">
        <f>INT(A101)</f>
        <v/>
      </c>
      <c r="D101" s="36">
        <f>MONTH(A101)</f>
        <v/>
      </c>
      <c r="E101" t="n">
        <v>0</v>
      </c>
      <c r="F101" s="30">
        <f>[1]FİYATLAR!C101</f>
        <v/>
      </c>
      <c r="G101" s="30">
        <f>[1]FİYATLAR!D101</f>
        <v/>
      </c>
      <c r="H101">
        <f>E101*F101</f>
        <v/>
      </c>
      <c r="I101">
        <f>E101*G101</f>
        <v/>
      </c>
    </row>
    <row r="102">
      <c r="A102" s="29">
        <f>[1]FİYATLAR!A102</f>
        <v/>
      </c>
      <c r="B102" s="29">
        <f>[1]FİYATLAR!B102</f>
        <v/>
      </c>
      <c r="C102" s="35">
        <f>INT(A102)</f>
        <v/>
      </c>
      <c r="D102" s="36">
        <f>MONTH(A102)</f>
        <v/>
      </c>
      <c r="E102" t="n">
        <v>0</v>
      </c>
      <c r="F102" s="30">
        <f>[1]FİYATLAR!C102</f>
        <v/>
      </c>
      <c r="G102" s="30">
        <f>[1]FİYATLAR!D102</f>
        <v/>
      </c>
      <c r="H102">
        <f>E102*F102</f>
        <v/>
      </c>
      <c r="I102">
        <f>E102*G102</f>
        <v/>
      </c>
    </row>
    <row r="103">
      <c r="A103" s="29">
        <f>[1]FİYATLAR!A103</f>
        <v/>
      </c>
      <c r="B103" s="29">
        <f>[1]FİYATLAR!B103</f>
        <v/>
      </c>
      <c r="C103" s="35">
        <f>INT(A103)</f>
        <v/>
      </c>
      <c r="D103" s="36">
        <f>MONTH(A103)</f>
        <v/>
      </c>
      <c r="E103" t="n">
        <v>0.01</v>
      </c>
      <c r="F103" s="30">
        <f>[1]FİYATLAR!C103</f>
        <v/>
      </c>
      <c r="G103" s="30">
        <f>[1]FİYATLAR!D103</f>
        <v/>
      </c>
      <c r="H103">
        <f>E103*F103</f>
        <v/>
      </c>
      <c r="I103">
        <f>E103*G103</f>
        <v/>
      </c>
    </row>
    <row r="104">
      <c r="A104" s="29">
        <f>[1]FİYATLAR!A104</f>
        <v/>
      </c>
      <c r="B104" s="29">
        <f>[1]FİYATLAR!B104</f>
        <v/>
      </c>
      <c r="C104" s="35">
        <f>INT(A104)</f>
        <v/>
      </c>
      <c r="D104" s="36">
        <f>MONTH(A104)</f>
        <v/>
      </c>
      <c r="E104" t="n">
        <v>0.08</v>
      </c>
      <c r="F104" s="30">
        <f>[1]FİYATLAR!C104</f>
        <v/>
      </c>
      <c r="G104" s="30">
        <f>[1]FİYATLAR!D104</f>
        <v/>
      </c>
      <c r="H104">
        <f>E104*F104</f>
        <v/>
      </c>
      <c r="I104">
        <f>E104*G104</f>
        <v/>
      </c>
    </row>
    <row r="105">
      <c r="A105" s="29">
        <f>[1]FİYATLAR!A105</f>
        <v/>
      </c>
      <c r="B105" s="29">
        <f>[1]FİYATLAR!B105</f>
        <v/>
      </c>
      <c r="C105" s="35">
        <f>INT(A105)</f>
        <v/>
      </c>
      <c r="D105" s="36">
        <f>MONTH(A105)</f>
        <v/>
      </c>
      <c r="E105" t="n">
        <v>0.16</v>
      </c>
      <c r="F105" s="30">
        <f>[1]FİYATLAR!C105</f>
        <v/>
      </c>
      <c r="G105" s="30">
        <f>[1]FİYATLAR!D105</f>
        <v/>
      </c>
      <c r="H105">
        <f>E105*F105</f>
        <v/>
      </c>
      <c r="I105">
        <f>E105*G105</f>
        <v/>
      </c>
    </row>
    <row r="106">
      <c r="A106" s="29">
        <f>[1]FİYATLAR!A106</f>
        <v/>
      </c>
      <c r="B106" s="29">
        <f>[1]FİYATLAR!B106</f>
        <v/>
      </c>
      <c r="C106" s="35">
        <f>INT(A106)</f>
        <v/>
      </c>
      <c r="D106" s="36">
        <f>MONTH(A106)</f>
        <v/>
      </c>
      <c r="E106" t="n">
        <v>0</v>
      </c>
      <c r="F106" s="30">
        <f>[1]FİYATLAR!C106</f>
        <v/>
      </c>
      <c r="G106" s="30">
        <f>[1]FİYATLAR!D106</f>
        <v/>
      </c>
      <c r="H106">
        <f>E106*F106</f>
        <v/>
      </c>
      <c r="I106">
        <f>E106*G106</f>
        <v/>
      </c>
    </row>
    <row r="107">
      <c r="A107" s="29">
        <f>[1]FİYATLAR!A107</f>
        <v/>
      </c>
      <c r="B107" s="29">
        <f>[1]FİYATLAR!B107</f>
        <v/>
      </c>
      <c r="C107" s="35">
        <f>INT(A107)</f>
        <v/>
      </c>
      <c r="D107" s="36">
        <f>MONTH(A107)</f>
        <v/>
      </c>
      <c r="E107" t="n">
        <v>0</v>
      </c>
      <c r="F107" s="30">
        <f>[1]FİYATLAR!C107</f>
        <v/>
      </c>
      <c r="G107" s="30">
        <f>[1]FİYATLAR!D107</f>
        <v/>
      </c>
      <c r="H107">
        <f>E107*F107</f>
        <v/>
      </c>
      <c r="I107">
        <f>E107*G107</f>
        <v/>
      </c>
    </row>
    <row r="108">
      <c r="A108" s="29">
        <f>[1]FİYATLAR!A108</f>
        <v/>
      </c>
      <c r="B108" s="29">
        <f>[1]FİYATLAR!B108</f>
        <v/>
      </c>
      <c r="C108" s="35">
        <f>INT(A108)</f>
        <v/>
      </c>
      <c r="D108" s="36">
        <f>MONTH(A108)</f>
        <v/>
      </c>
      <c r="E108" t="n">
        <v>0</v>
      </c>
      <c r="F108" s="30">
        <f>[1]FİYATLAR!C108</f>
        <v/>
      </c>
      <c r="G108" s="30">
        <f>[1]FİYATLAR!D108</f>
        <v/>
      </c>
      <c r="H108">
        <f>E108*F108</f>
        <v/>
      </c>
      <c r="I108">
        <f>E108*G108</f>
        <v/>
      </c>
    </row>
    <row r="109">
      <c r="A109" s="29">
        <f>[1]FİYATLAR!A109</f>
        <v/>
      </c>
      <c r="B109" s="29">
        <f>[1]FİYATLAR!B109</f>
        <v/>
      </c>
      <c r="C109" s="35">
        <f>INT(A109)</f>
        <v/>
      </c>
      <c r="D109" s="36">
        <f>MONTH(A109)</f>
        <v/>
      </c>
      <c r="E109" t="n">
        <v>0</v>
      </c>
      <c r="F109" s="30">
        <f>[1]FİYATLAR!C109</f>
        <v/>
      </c>
      <c r="G109" s="30">
        <f>[1]FİYATLAR!D109</f>
        <v/>
      </c>
      <c r="H109">
        <f>E109*F109</f>
        <v/>
      </c>
      <c r="I109">
        <f>E109*G109</f>
        <v/>
      </c>
    </row>
    <row r="110">
      <c r="A110" s="29">
        <f>[1]FİYATLAR!A110</f>
        <v/>
      </c>
      <c r="B110" s="29">
        <f>[1]FİYATLAR!B110</f>
        <v/>
      </c>
      <c r="C110" s="35">
        <f>INT(A110)</f>
        <v/>
      </c>
      <c r="D110" s="36">
        <f>MONTH(A110)</f>
        <v/>
      </c>
      <c r="E110" t="n">
        <v>0</v>
      </c>
      <c r="F110" s="30">
        <f>[1]FİYATLAR!C110</f>
        <v/>
      </c>
      <c r="G110" s="30">
        <f>[1]FİYATLAR!D110</f>
        <v/>
      </c>
      <c r="H110">
        <f>E110*F110</f>
        <v/>
      </c>
      <c r="I110">
        <f>E110*G110</f>
        <v/>
      </c>
    </row>
    <row r="111">
      <c r="A111" s="29">
        <f>[1]FİYATLAR!A111</f>
        <v/>
      </c>
      <c r="B111" s="29">
        <f>[1]FİYATLAR!B111</f>
        <v/>
      </c>
      <c r="C111" s="35">
        <f>INT(A111)</f>
        <v/>
      </c>
      <c r="D111" s="36">
        <f>MONTH(A111)</f>
        <v/>
      </c>
      <c r="E111" t="n">
        <v>0</v>
      </c>
      <c r="F111" s="30">
        <f>[1]FİYATLAR!C111</f>
        <v/>
      </c>
      <c r="G111" s="30">
        <f>[1]FİYATLAR!D111</f>
        <v/>
      </c>
      <c r="H111">
        <f>E111*F111</f>
        <v/>
      </c>
      <c r="I111">
        <f>E111*G111</f>
        <v/>
      </c>
    </row>
    <row r="112">
      <c r="A112" s="29">
        <f>[1]FİYATLAR!A112</f>
        <v/>
      </c>
      <c r="B112" s="29">
        <f>[1]FİYATLAR!B112</f>
        <v/>
      </c>
      <c r="C112" s="35">
        <f>INT(A112)</f>
        <v/>
      </c>
      <c r="D112" s="36">
        <f>MONTH(A112)</f>
        <v/>
      </c>
      <c r="E112" t="n">
        <v>0</v>
      </c>
      <c r="F112" s="30">
        <f>[1]FİYATLAR!C112</f>
        <v/>
      </c>
      <c r="G112" s="30">
        <f>[1]FİYATLAR!D112</f>
        <v/>
      </c>
      <c r="H112">
        <f>E112*F112</f>
        <v/>
      </c>
      <c r="I112">
        <f>E112*G112</f>
        <v/>
      </c>
    </row>
    <row r="113">
      <c r="A113" s="29">
        <f>[1]FİYATLAR!A113</f>
        <v/>
      </c>
      <c r="B113" s="29">
        <f>[1]FİYATLAR!B113</f>
        <v/>
      </c>
      <c r="C113" s="35">
        <f>INT(A113)</f>
        <v/>
      </c>
      <c r="D113" s="36">
        <f>MONTH(A113)</f>
        <v/>
      </c>
      <c r="E113" t="n">
        <v>0</v>
      </c>
      <c r="F113" s="30">
        <f>[1]FİYATLAR!C113</f>
        <v/>
      </c>
      <c r="G113" s="30">
        <f>[1]FİYATLAR!D113</f>
        <v/>
      </c>
      <c r="H113">
        <f>E113*F113</f>
        <v/>
      </c>
      <c r="I113">
        <f>E113*G113</f>
        <v/>
      </c>
    </row>
    <row r="114">
      <c r="A114" s="29">
        <f>[1]FİYATLAR!A114</f>
        <v/>
      </c>
      <c r="B114" s="29">
        <f>[1]FİYATLAR!B114</f>
        <v/>
      </c>
      <c r="C114" s="35">
        <f>INT(A114)</f>
        <v/>
      </c>
      <c r="D114" s="36">
        <f>MONTH(A114)</f>
        <v/>
      </c>
      <c r="E114" t="n">
        <v>0</v>
      </c>
      <c r="F114" s="30">
        <f>[1]FİYATLAR!C114</f>
        <v/>
      </c>
      <c r="G114" s="30">
        <f>[1]FİYATLAR!D114</f>
        <v/>
      </c>
      <c r="H114">
        <f>E114*F114</f>
        <v/>
      </c>
      <c r="I114">
        <f>E114*G114</f>
        <v/>
      </c>
    </row>
    <row r="115">
      <c r="A115" s="29">
        <f>[1]FİYATLAR!A115</f>
        <v/>
      </c>
      <c r="B115" s="29">
        <f>[1]FİYATLAR!B115</f>
        <v/>
      </c>
      <c r="C115" s="35">
        <f>INT(A115)</f>
        <v/>
      </c>
      <c r="D115" s="36">
        <f>MONTH(A115)</f>
        <v/>
      </c>
      <c r="E115" t="n">
        <v>0</v>
      </c>
      <c r="F115" s="30">
        <f>[1]FİYATLAR!C115</f>
        <v/>
      </c>
      <c r="G115" s="30">
        <f>[1]FİYATLAR!D115</f>
        <v/>
      </c>
      <c r="H115">
        <f>E115*F115</f>
        <v/>
      </c>
      <c r="I115">
        <f>E115*G115</f>
        <v/>
      </c>
    </row>
    <row r="116">
      <c r="A116" s="29">
        <f>[1]FİYATLAR!A116</f>
        <v/>
      </c>
      <c r="B116" s="29">
        <f>[1]FİYATLAR!B116</f>
        <v/>
      </c>
      <c r="C116" s="35">
        <f>INT(A116)</f>
        <v/>
      </c>
      <c r="D116" s="36">
        <f>MONTH(A116)</f>
        <v/>
      </c>
      <c r="E116" t="n">
        <v>0</v>
      </c>
      <c r="F116" s="30">
        <f>[1]FİYATLAR!C116</f>
        <v/>
      </c>
      <c r="G116" s="30">
        <f>[1]FİYATLAR!D116</f>
        <v/>
      </c>
      <c r="H116">
        <f>E116*F116</f>
        <v/>
      </c>
      <c r="I116">
        <f>E116*G116</f>
        <v/>
      </c>
    </row>
    <row r="117">
      <c r="A117" s="29">
        <f>[1]FİYATLAR!A117</f>
        <v/>
      </c>
      <c r="B117" s="29">
        <f>[1]FİYATLAR!B117</f>
        <v/>
      </c>
      <c r="C117" s="35">
        <f>INT(A117)</f>
        <v/>
      </c>
      <c r="D117" s="36">
        <f>MONTH(A117)</f>
        <v/>
      </c>
      <c r="E117" t="n">
        <v>0</v>
      </c>
      <c r="F117" s="30">
        <f>[1]FİYATLAR!C117</f>
        <v/>
      </c>
      <c r="G117" s="30">
        <f>[1]FİYATLAR!D117</f>
        <v/>
      </c>
      <c r="H117">
        <f>E117*F117</f>
        <v/>
      </c>
      <c r="I117">
        <f>E117*G117</f>
        <v/>
      </c>
    </row>
    <row r="118">
      <c r="A118" s="29">
        <f>[1]FİYATLAR!A118</f>
        <v/>
      </c>
      <c r="B118" s="29">
        <f>[1]FİYATLAR!B118</f>
        <v/>
      </c>
      <c r="C118" s="35">
        <f>INT(A118)</f>
        <v/>
      </c>
      <c r="D118" s="36">
        <f>MONTH(A118)</f>
        <v/>
      </c>
      <c r="E118" t="n">
        <v>0</v>
      </c>
      <c r="F118" s="30">
        <f>[1]FİYATLAR!C118</f>
        <v/>
      </c>
      <c r="G118" s="30">
        <f>[1]FİYATLAR!D118</f>
        <v/>
      </c>
      <c r="H118">
        <f>E118*F118</f>
        <v/>
      </c>
      <c r="I118">
        <f>E118*G118</f>
        <v/>
      </c>
    </row>
    <row r="119">
      <c r="A119" s="29">
        <f>[1]FİYATLAR!A119</f>
        <v/>
      </c>
      <c r="B119" s="29">
        <f>[1]FİYATLAR!B119</f>
        <v/>
      </c>
      <c r="C119" s="35">
        <f>INT(A119)</f>
        <v/>
      </c>
      <c r="D119" s="36">
        <f>MONTH(A119)</f>
        <v/>
      </c>
      <c r="E119" t="n">
        <v>0</v>
      </c>
      <c r="F119" s="30">
        <f>[1]FİYATLAR!C119</f>
        <v/>
      </c>
      <c r="G119" s="30">
        <f>[1]FİYATLAR!D119</f>
        <v/>
      </c>
      <c r="H119">
        <f>E119*F119</f>
        <v/>
      </c>
      <c r="I119">
        <f>E119*G119</f>
        <v/>
      </c>
    </row>
    <row r="120">
      <c r="A120" s="29">
        <f>[1]FİYATLAR!A120</f>
        <v/>
      </c>
      <c r="B120" s="29">
        <f>[1]FİYATLAR!B120</f>
        <v/>
      </c>
      <c r="C120" s="35">
        <f>INT(A120)</f>
        <v/>
      </c>
      <c r="D120" s="36">
        <f>MONTH(A120)</f>
        <v/>
      </c>
      <c r="E120" t="n">
        <v>0</v>
      </c>
      <c r="F120" s="30">
        <f>[1]FİYATLAR!C120</f>
        <v/>
      </c>
      <c r="G120" s="30">
        <f>[1]FİYATLAR!D120</f>
        <v/>
      </c>
      <c r="H120">
        <f>E120*F120</f>
        <v/>
      </c>
      <c r="I120">
        <f>E120*G120</f>
        <v/>
      </c>
    </row>
    <row r="121">
      <c r="A121" s="29">
        <f>[1]FİYATLAR!A121</f>
        <v/>
      </c>
      <c r="B121" s="29">
        <f>[1]FİYATLAR!B121</f>
        <v/>
      </c>
      <c r="C121" s="35">
        <f>INT(A121)</f>
        <v/>
      </c>
      <c r="D121" s="36">
        <f>MONTH(A121)</f>
        <v/>
      </c>
      <c r="E121" t="n">
        <v>0</v>
      </c>
      <c r="F121" s="30">
        <f>[1]FİYATLAR!C121</f>
        <v/>
      </c>
      <c r="G121" s="30">
        <f>[1]FİYATLAR!D121</f>
        <v/>
      </c>
      <c r="H121">
        <f>E121*F121</f>
        <v/>
      </c>
      <c r="I121">
        <f>E121*G121</f>
        <v/>
      </c>
    </row>
    <row r="122">
      <c r="A122" s="29">
        <f>[1]FİYATLAR!A122</f>
        <v/>
      </c>
      <c r="B122" s="29">
        <f>[1]FİYATLAR!B122</f>
        <v/>
      </c>
      <c r="C122" s="35">
        <f>INT(A122)</f>
        <v/>
      </c>
      <c r="D122" s="36">
        <f>MONTH(A122)</f>
        <v/>
      </c>
      <c r="E122" t="n">
        <v>0</v>
      </c>
      <c r="F122" s="30">
        <f>[1]FİYATLAR!C122</f>
        <v/>
      </c>
      <c r="G122" s="30">
        <f>[1]FİYATLAR!D122</f>
        <v/>
      </c>
      <c r="H122">
        <f>E122*F122</f>
        <v/>
      </c>
      <c r="I122">
        <f>E122*G122</f>
        <v/>
      </c>
    </row>
    <row r="123">
      <c r="A123" s="29">
        <f>[1]FİYATLAR!A123</f>
        <v/>
      </c>
      <c r="B123" s="29">
        <f>[1]FİYATLAR!B123</f>
        <v/>
      </c>
      <c r="C123" s="35">
        <f>INT(A123)</f>
        <v/>
      </c>
      <c r="D123" s="36">
        <f>MONTH(A123)</f>
        <v/>
      </c>
      <c r="E123" t="n">
        <v>0</v>
      </c>
      <c r="F123" s="30">
        <f>[1]FİYATLAR!C123</f>
        <v/>
      </c>
      <c r="G123" s="30">
        <f>[1]FİYATLAR!D123</f>
        <v/>
      </c>
      <c r="H123">
        <f>E123*F123</f>
        <v/>
      </c>
      <c r="I123">
        <f>E123*G123</f>
        <v/>
      </c>
    </row>
    <row r="124">
      <c r="A124" s="29">
        <f>[1]FİYATLAR!A124</f>
        <v/>
      </c>
      <c r="B124" s="29">
        <f>[1]FİYATLAR!B124</f>
        <v/>
      </c>
      <c r="C124" s="35">
        <f>INT(A124)</f>
        <v/>
      </c>
      <c r="D124" s="36">
        <f>MONTH(A124)</f>
        <v/>
      </c>
      <c r="E124" t="n">
        <v>0</v>
      </c>
      <c r="F124" s="30">
        <f>[1]FİYATLAR!C124</f>
        <v/>
      </c>
      <c r="G124" s="30">
        <f>[1]FİYATLAR!D124</f>
        <v/>
      </c>
      <c r="H124">
        <f>E124*F124</f>
        <v/>
      </c>
      <c r="I124">
        <f>E124*G124</f>
        <v/>
      </c>
    </row>
    <row r="125">
      <c r="A125" s="29">
        <f>[1]FİYATLAR!A125</f>
        <v/>
      </c>
      <c r="B125" s="29">
        <f>[1]FİYATLAR!B125</f>
        <v/>
      </c>
      <c r="C125" s="35">
        <f>INT(A125)</f>
        <v/>
      </c>
      <c r="D125" s="36">
        <f>MONTH(A125)</f>
        <v/>
      </c>
      <c r="E125" t="n">
        <v>0</v>
      </c>
      <c r="F125" s="30">
        <f>[1]FİYATLAR!C125</f>
        <v/>
      </c>
      <c r="G125" s="30">
        <f>[1]FİYATLAR!D125</f>
        <v/>
      </c>
      <c r="H125">
        <f>E125*F125</f>
        <v/>
      </c>
      <c r="I125">
        <f>E125*G125</f>
        <v/>
      </c>
    </row>
    <row r="126">
      <c r="A126" s="29">
        <f>[1]FİYATLAR!A126</f>
        <v/>
      </c>
      <c r="B126" s="29">
        <f>[1]FİYATLAR!B126</f>
        <v/>
      </c>
      <c r="C126" s="35">
        <f>INT(A126)</f>
        <v/>
      </c>
      <c r="D126" s="36">
        <f>MONTH(A126)</f>
        <v/>
      </c>
      <c r="E126" t="n">
        <v>0</v>
      </c>
      <c r="F126" s="30">
        <f>[1]FİYATLAR!C126</f>
        <v/>
      </c>
      <c r="G126" s="30">
        <f>[1]FİYATLAR!D126</f>
        <v/>
      </c>
      <c r="H126">
        <f>E126*F126</f>
        <v/>
      </c>
      <c r="I126">
        <f>E126*G126</f>
        <v/>
      </c>
    </row>
    <row r="127">
      <c r="A127" s="29">
        <f>[1]FİYATLAR!A127</f>
        <v/>
      </c>
      <c r="B127" s="29">
        <f>[1]FİYATLAR!B127</f>
        <v/>
      </c>
      <c r="C127" s="35">
        <f>INT(A127)</f>
        <v/>
      </c>
      <c r="D127" s="36">
        <f>MONTH(A127)</f>
        <v/>
      </c>
      <c r="E127" t="n">
        <v>0.01</v>
      </c>
      <c r="F127" s="30">
        <f>[1]FİYATLAR!C127</f>
        <v/>
      </c>
      <c r="G127" s="30">
        <f>[1]FİYATLAR!D127</f>
        <v/>
      </c>
      <c r="H127">
        <f>E127*F127</f>
        <v/>
      </c>
      <c r="I127">
        <f>E127*G127</f>
        <v/>
      </c>
    </row>
    <row r="128">
      <c r="A128" s="29">
        <f>[1]FİYATLAR!A128</f>
        <v/>
      </c>
      <c r="B128" s="29">
        <f>[1]FİYATLAR!B128</f>
        <v/>
      </c>
      <c r="C128" s="35">
        <f>INT(A128)</f>
        <v/>
      </c>
      <c r="D128" s="36">
        <f>MONTH(A128)</f>
        <v/>
      </c>
      <c r="E128" t="n">
        <v>0.11</v>
      </c>
      <c r="F128" s="30">
        <f>[1]FİYATLAR!C128</f>
        <v/>
      </c>
      <c r="G128" s="30">
        <f>[1]FİYATLAR!D128</f>
        <v/>
      </c>
      <c r="H128">
        <f>E128*F128</f>
        <v/>
      </c>
      <c r="I128">
        <f>E128*G128</f>
        <v/>
      </c>
    </row>
    <row r="129">
      <c r="A129" s="29">
        <f>[1]FİYATLAR!A129</f>
        <v/>
      </c>
      <c r="B129" s="29">
        <f>[1]FİYATLAR!B129</f>
        <v/>
      </c>
      <c r="C129" s="35">
        <f>INT(A129)</f>
        <v/>
      </c>
      <c r="D129" s="36">
        <f>MONTH(A129)</f>
        <v/>
      </c>
      <c r="E129" t="n">
        <v>0.43</v>
      </c>
      <c r="F129" s="30">
        <f>[1]FİYATLAR!C129</f>
        <v/>
      </c>
      <c r="G129" s="30">
        <f>[1]FİYATLAR!D129</f>
        <v/>
      </c>
      <c r="H129">
        <f>E129*F129</f>
        <v/>
      </c>
      <c r="I129">
        <f>E129*G129</f>
        <v/>
      </c>
    </row>
    <row r="130">
      <c r="A130" s="29">
        <f>[1]FİYATLAR!A130</f>
        <v/>
      </c>
      <c r="B130" s="29">
        <f>[1]FİYATLAR!B130</f>
        <v/>
      </c>
      <c r="C130" s="35">
        <f>INT(A130)</f>
        <v/>
      </c>
      <c r="D130" s="36">
        <f>MONTH(A130)</f>
        <v/>
      </c>
      <c r="E130" t="n">
        <v>0.76</v>
      </c>
      <c r="F130" s="30">
        <f>[1]FİYATLAR!C130</f>
        <v/>
      </c>
      <c r="G130" s="30">
        <f>[1]FİYATLAR!D130</f>
        <v/>
      </c>
      <c r="H130">
        <f>E130*F130</f>
        <v/>
      </c>
      <c r="I130">
        <f>E130*G130</f>
        <v/>
      </c>
    </row>
    <row r="131">
      <c r="A131" s="29">
        <f>[1]FİYATLAR!A131</f>
        <v/>
      </c>
      <c r="B131" s="29">
        <f>[1]FİYATLAR!B131</f>
        <v/>
      </c>
      <c r="C131" s="35">
        <f>INT(A131)</f>
        <v/>
      </c>
      <c r="D131" s="36">
        <f>MONTH(A131)</f>
        <v/>
      </c>
      <c r="E131" t="n">
        <v>0.85</v>
      </c>
      <c r="F131" s="30">
        <f>[1]FİYATLAR!C131</f>
        <v/>
      </c>
      <c r="G131" s="30">
        <f>[1]FİYATLAR!D131</f>
        <v/>
      </c>
      <c r="H131">
        <f>E131*F131</f>
        <v/>
      </c>
      <c r="I131">
        <f>E131*G131</f>
        <v/>
      </c>
    </row>
    <row r="132">
      <c r="A132" s="29">
        <f>[1]FİYATLAR!A132</f>
        <v/>
      </c>
      <c r="B132" s="29">
        <f>[1]FİYATLAR!B132</f>
        <v/>
      </c>
      <c r="C132" s="35">
        <f>INT(A132)</f>
        <v/>
      </c>
      <c r="D132" s="36">
        <f>MONTH(A132)</f>
        <v/>
      </c>
      <c r="E132" t="n">
        <v>1.54</v>
      </c>
      <c r="F132" s="30">
        <f>[1]FİYATLAR!C132</f>
        <v/>
      </c>
      <c r="G132" s="30">
        <f>[1]FİYATLAR!D132</f>
        <v/>
      </c>
      <c r="H132">
        <f>E132*F132</f>
        <v/>
      </c>
      <c r="I132">
        <f>E132*G132</f>
        <v/>
      </c>
    </row>
    <row r="133">
      <c r="A133" s="29">
        <f>[1]FİYATLAR!A133</f>
        <v/>
      </c>
      <c r="B133" s="29">
        <f>[1]FİYATLAR!B133</f>
        <v/>
      </c>
      <c r="C133" s="35">
        <f>INT(A133)</f>
        <v/>
      </c>
      <c r="D133" s="36">
        <f>MONTH(A133)</f>
        <v/>
      </c>
      <c r="E133" t="n">
        <v>1.58</v>
      </c>
      <c r="F133" s="30">
        <f>[1]FİYATLAR!C133</f>
        <v/>
      </c>
      <c r="G133" s="30">
        <f>[1]FİYATLAR!D133</f>
        <v/>
      </c>
      <c r="H133">
        <f>E133*F133</f>
        <v/>
      </c>
      <c r="I133">
        <f>E133*G133</f>
        <v/>
      </c>
    </row>
    <row r="134">
      <c r="A134" s="29">
        <f>[1]FİYATLAR!A134</f>
        <v/>
      </c>
      <c r="B134" s="29">
        <f>[1]FİYATLAR!B134</f>
        <v/>
      </c>
      <c r="C134" s="35">
        <f>INT(A134)</f>
        <v/>
      </c>
      <c r="D134" s="36">
        <f>MONTH(A134)</f>
        <v/>
      </c>
      <c r="E134" t="n">
        <v>1.74</v>
      </c>
      <c r="F134" s="30">
        <f>[1]FİYATLAR!C134</f>
        <v/>
      </c>
      <c r="G134" s="30">
        <f>[1]FİYATLAR!D134</f>
        <v/>
      </c>
      <c r="H134">
        <f>E134*F134</f>
        <v/>
      </c>
      <c r="I134">
        <f>E134*G134</f>
        <v/>
      </c>
    </row>
    <row r="135">
      <c r="A135" s="29">
        <f>[1]FİYATLAR!A135</f>
        <v/>
      </c>
      <c r="B135" s="29">
        <f>[1]FİYATLAR!B135</f>
        <v/>
      </c>
      <c r="C135" s="35">
        <f>INT(A135)</f>
        <v/>
      </c>
      <c r="D135" s="36">
        <f>MONTH(A135)</f>
        <v/>
      </c>
      <c r="E135" t="n">
        <v>1.96</v>
      </c>
      <c r="F135" s="30">
        <f>[1]FİYATLAR!C135</f>
        <v/>
      </c>
      <c r="G135" s="30">
        <f>[1]FİYATLAR!D135</f>
        <v/>
      </c>
      <c r="H135">
        <f>E135*F135</f>
        <v/>
      </c>
      <c r="I135">
        <f>E135*G135</f>
        <v/>
      </c>
    </row>
    <row r="136">
      <c r="A136" s="29">
        <f>[1]FİYATLAR!A136</f>
        <v/>
      </c>
      <c r="B136" s="29">
        <f>[1]FİYATLAR!B136</f>
        <v/>
      </c>
      <c r="C136" s="35">
        <f>INT(A136)</f>
        <v/>
      </c>
      <c r="D136" s="36">
        <f>MONTH(A136)</f>
        <v/>
      </c>
      <c r="E136" t="n">
        <v>1.8</v>
      </c>
      <c r="F136" s="30">
        <f>[1]FİYATLAR!C136</f>
        <v/>
      </c>
      <c r="G136" s="30">
        <f>[1]FİYATLAR!D136</f>
        <v/>
      </c>
      <c r="H136">
        <f>E136*F136</f>
        <v/>
      </c>
      <c r="I136">
        <f>E136*G136</f>
        <v/>
      </c>
    </row>
    <row r="137">
      <c r="A137" s="29">
        <f>[1]FİYATLAR!A137</f>
        <v/>
      </c>
      <c r="B137" s="29">
        <f>[1]FİYATLAR!B137</f>
        <v/>
      </c>
      <c r="C137" s="35">
        <f>INT(A137)</f>
        <v/>
      </c>
      <c r="D137" s="36">
        <f>MONTH(A137)</f>
        <v/>
      </c>
      <c r="E137" t="n">
        <v>1.54</v>
      </c>
      <c r="F137" s="30">
        <f>[1]FİYATLAR!C137</f>
        <v/>
      </c>
      <c r="G137" s="30">
        <f>[1]FİYATLAR!D137</f>
        <v/>
      </c>
      <c r="H137">
        <f>E137*F137</f>
        <v/>
      </c>
      <c r="I137">
        <f>E137*G137</f>
        <v/>
      </c>
    </row>
    <row r="138">
      <c r="A138" s="29">
        <f>[1]FİYATLAR!A138</f>
        <v/>
      </c>
      <c r="B138" s="29">
        <f>[1]FİYATLAR!B138</f>
        <v/>
      </c>
      <c r="C138" s="35">
        <f>INT(A138)</f>
        <v/>
      </c>
      <c r="D138" s="36">
        <f>MONTH(A138)</f>
        <v/>
      </c>
      <c r="E138" t="n">
        <v>1.26</v>
      </c>
      <c r="F138" s="30">
        <f>[1]FİYATLAR!C138</f>
        <v/>
      </c>
      <c r="G138" s="30">
        <f>[1]FİYATLAR!D138</f>
        <v/>
      </c>
      <c r="H138">
        <f>E138*F138</f>
        <v/>
      </c>
      <c r="I138">
        <f>E138*G138</f>
        <v/>
      </c>
    </row>
    <row r="139">
      <c r="A139" s="29">
        <f>[1]FİYATLAR!A139</f>
        <v/>
      </c>
      <c r="B139" s="29">
        <f>[1]FİYATLAR!B139</f>
        <v/>
      </c>
      <c r="C139" s="35">
        <f>INT(A139)</f>
        <v/>
      </c>
      <c r="D139" s="36">
        <f>MONTH(A139)</f>
        <v/>
      </c>
      <c r="E139" t="n">
        <v>0.71</v>
      </c>
      <c r="F139" s="30">
        <f>[1]FİYATLAR!C139</f>
        <v/>
      </c>
      <c r="G139" s="30">
        <f>[1]FİYATLAR!D139</f>
        <v/>
      </c>
      <c r="H139">
        <f>E139*F139</f>
        <v/>
      </c>
      <c r="I139">
        <f>E139*G139</f>
        <v/>
      </c>
    </row>
    <row r="140">
      <c r="A140" s="29">
        <f>[1]FİYATLAR!A140</f>
        <v/>
      </c>
      <c r="B140" s="29">
        <f>[1]FİYATLAR!B140</f>
        <v/>
      </c>
      <c r="C140" s="35">
        <f>INT(A140)</f>
        <v/>
      </c>
      <c r="D140" s="36">
        <f>MONTH(A140)</f>
        <v/>
      </c>
      <c r="E140" t="n">
        <v>0.25</v>
      </c>
      <c r="F140" s="30">
        <f>[1]FİYATLAR!C140</f>
        <v/>
      </c>
      <c r="G140" s="30">
        <f>[1]FİYATLAR!D140</f>
        <v/>
      </c>
      <c r="H140">
        <f>E140*F140</f>
        <v/>
      </c>
      <c r="I140">
        <f>E140*G140</f>
        <v/>
      </c>
    </row>
    <row r="141">
      <c r="A141" s="29">
        <f>[1]FİYATLAR!A141</f>
        <v/>
      </c>
      <c r="B141" s="29">
        <f>[1]FİYATLAR!B141</f>
        <v/>
      </c>
      <c r="C141" s="35">
        <f>INT(A141)</f>
        <v/>
      </c>
      <c r="D141" s="36">
        <f>MONTH(A141)</f>
        <v/>
      </c>
      <c r="E141" t="n">
        <v>0</v>
      </c>
      <c r="F141" s="30">
        <f>[1]FİYATLAR!C141</f>
        <v/>
      </c>
      <c r="G141" s="30">
        <f>[1]FİYATLAR!D141</f>
        <v/>
      </c>
      <c r="H141">
        <f>E141*F141</f>
        <v/>
      </c>
      <c r="I141">
        <f>E141*G141</f>
        <v/>
      </c>
    </row>
    <row r="142">
      <c r="A142" s="29">
        <f>[1]FİYATLAR!A142</f>
        <v/>
      </c>
      <c r="B142" s="29">
        <f>[1]FİYATLAR!B142</f>
        <v/>
      </c>
      <c r="C142" s="35">
        <f>INT(A142)</f>
        <v/>
      </c>
      <c r="D142" s="36">
        <f>MONTH(A142)</f>
        <v/>
      </c>
      <c r="E142" t="n">
        <v>0</v>
      </c>
      <c r="F142" s="30">
        <f>[1]FİYATLAR!C142</f>
        <v/>
      </c>
      <c r="G142" s="30">
        <f>[1]FİYATLAR!D142</f>
        <v/>
      </c>
      <c r="H142">
        <f>E142*F142</f>
        <v/>
      </c>
      <c r="I142">
        <f>E142*G142</f>
        <v/>
      </c>
    </row>
    <row r="143">
      <c r="A143" s="29">
        <f>[1]FİYATLAR!A143</f>
        <v/>
      </c>
      <c r="B143" s="29">
        <f>[1]FİYATLAR!B143</f>
        <v/>
      </c>
      <c r="C143" s="35">
        <f>INT(A143)</f>
        <v/>
      </c>
      <c r="D143" s="36">
        <f>MONTH(A143)</f>
        <v/>
      </c>
      <c r="E143" t="n">
        <v>0</v>
      </c>
      <c r="F143" s="30">
        <f>[1]FİYATLAR!C143</f>
        <v/>
      </c>
      <c r="G143" s="30">
        <f>[1]FİYATLAR!D143</f>
        <v/>
      </c>
      <c r="H143">
        <f>E143*F143</f>
        <v/>
      </c>
      <c r="I143">
        <f>E143*G143</f>
        <v/>
      </c>
    </row>
    <row r="144">
      <c r="A144" s="29">
        <f>[1]FİYATLAR!A144</f>
        <v/>
      </c>
      <c r="B144" s="29">
        <f>[1]FİYATLAR!B144</f>
        <v/>
      </c>
      <c r="C144" s="35">
        <f>INT(A144)</f>
        <v/>
      </c>
      <c r="D144" s="36">
        <f>MONTH(A144)</f>
        <v/>
      </c>
      <c r="E144" t="n">
        <v>0</v>
      </c>
      <c r="F144" s="30">
        <f>[1]FİYATLAR!C144</f>
        <v/>
      </c>
      <c r="G144" s="30">
        <f>[1]FİYATLAR!D144</f>
        <v/>
      </c>
      <c r="H144">
        <f>E144*F144</f>
        <v/>
      </c>
      <c r="I144">
        <f>E144*G144</f>
        <v/>
      </c>
    </row>
    <row r="145">
      <c r="A145" s="29">
        <f>[1]FİYATLAR!A145</f>
        <v/>
      </c>
      <c r="B145" s="29">
        <f>[1]FİYATLAR!B145</f>
        <v/>
      </c>
      <c r="C145" s="35">
        <f>INT(A145)</f>
        <v/>
      </c>
      <c r="D145" s="36">
        <f>MONTH(A145)</f>
        <v/>
      </c>
      <c r="E145" t="n">
        <v>0</v>
      </c>
      <c r="F145" s="30">
        <f>[1]FİYATLAR!C145</f>
        <v/>
      </c>
      <c r="G145" s="30">
        <f>[1]FİYATLAR!D145</f>
        <v/>
      </c>
      <c r="H145">
        <f>E145*F145</f>
        <v/>
      </c>
      <c r="I145">
        <f>E145*G145</f>
        <v/>
      </c>
    </row>
    <row r="146">
      <c r="A146" s="29">
        <f>[1]FİYATLAR!A146</f>
        <v/>
      </c>
      <c r="B146" s="29">
        <f>[1]FİYATLAR!B146</f>
        <v/>
      </c>
      <c r="C146" s="35">
        <f>INT(A146)</f>
        <v/>
      </c>
      <c r="D146" s="36">
        <f>MONTH(A146)</f>
        <v/>
      </c>
      <c r="E146" t="n">
        <v>0</v>
      </c>
      <c r="F146" s="30">
        <f>[1]FİYATLAR!C146</f>
        <v/>
      </c>
      <c r="G146" s="30">
        <f>[1]FİYATLAR!D146</f>
        <v/>
      </c>
      <c r="H146">
        <f>E146*F146</f>
        <v/>
      </c>
      <c r="I146">
        <f>E146*G146</f>
        <v/>
      </c>
    </row>
    <row r="147">
      <c r="A147" s="29">
        <f>[1]FİYATLAR!A147</f>
        <v/>
      </c>
      <c r="B147" s="29">
        <f>[1]FİYATLAR!B147</f>
        <v/>
      </c>
      <c r="C147" s="35">
        <f>INT(A147)</f>
        <v/>
      </c>
      <c r="D147" s="36">
        <f>MONTH(A147)</f>
        <v/>
      </c>
      <c r="E147" t="n">
        <v>0</v>
      </c>
      <c r="F147" s="30">
        <f>[1]FİYATLAR!C147</f>
        <v/>
      </c>
      <c r="G147" s="30">
        <f>[1]FİYATLAR!D147</f>
        <v/>
      </c>
      <c r="H147">
        <f>E147*F147</f>
        <v/>
      </c>
      <c r="I147">
        <f>E147*G147</f>
        <v/>
      </c>
    </row>
    <row r="148">
      <c r="A148" s="29">
        <f>[1]FİYATLAR!A148</f>
        <v/>
      </c>
      <c r="B148" s="29">
        <f>[1]FİYATLAR!B148</f>
        <v/>
      </c>
      <c r="C148" s="35">
        <f>INT(A148)</f>
        <v/>
      </c>
      <c r="D148" s="36">
        <f>MONTH(A148)</f>
        <v/>
      </c>
      <c r="E148" t="n">
        <v>0</v>
      </c>
      <c r="F148" s="30">
        <f>[1]FİYATLAR!C148</f>
        <v/>
      </c>
      <c r="G148" s="30">
        <f>[1]FİYATLAR!D148</f>
        <v/>
      </c>
      <c r="H148">
        <f>E148*F148</f>
        <v/>
      </c>
      <c r="I148">
        <f>E148*G148</f>
        <v/>
      </c>
    </row>
    <row r="149">
      <c r="A149" s="29">
        <f>[1]FİYATLAR!A149</f>
        <v/>
      </c>
      <c r="B149" s="29">
        <f>[1]FİYATLAR!B149</f>
        <v/>
      </c>
      <c r="C149" s="35">
        <f>INT(A149)</f>
        <v/>
      </c>
      <c r="D149" s="36">
        <f>MONTH(A149)</f>
        <v/>
      </c>
      <c r="E149" t="n">
        <v>0</v>
      </c>
      <c r="F149" s="30">
        <f>[1]FİYATLAR!C149</f>
        <v/>
      </c>
      <c r="G149" s="30">
        <f>[1]FİYATLAR!D149</f>
        <v/>
      </c>
      <c r="H149">
        <f>E149*F149</f>
        <v/>
      </c>
      <c r="I149">
        <f>E149*G149</f>
        <v/>
      </c>
    </row>
    <row r="150">
      <c r="A150" s="29">
        <f>[1]FİYATLAR!A150</f>
        <v/>
      </c>
      <c r="B150" s="29">
        <f>[1]FİYATLAR!B150</f>
        <v/>
      </c>
      <c r="C150" s="35">
        <f>INT(A150)</f>
        <v/>
      </c>
      <c r="D150" s="36">
        <f>MONTH(A150)</f>
        <v/>
      </c>
      <c r="E150" t="n">
        <v>0</v>
      </c>
      <c r="F150" s="30">
        <f>[1]FİYATLAR!C150</f>
        <v/>
      </c>
      <c r="G150" s="30">
        <f>[1]FİYATLAR!D150</f>
        <v/>
      </c>
      <c r="H150">
        <f>E150*F150</f>
        <v/>
      </c>
      <c r="I150">
        <f>E150*G150</f>
        <v/>
      </c>
    </row>
    <row r="151">
      <c r="A151" s="29">
        <f>[1]FİYATLAR!A151</f>
        <v/>
      </c>
      <c r="B151" s="29">
        <f>[1]FİYATLAR!B151</f>
        <v/>
      </c>
      <c r="C151" s="35">
        <f>INT(A151)</f>
        <v/>
      </c>
      <c r="D151" s="36">
        <f>MONTH(A151)</f>
        <v/>
      </c>
      <c r="E151" t="n">
        <v>0.03</v>
      </c>
      <c r="F151" s="30">
        <f>[1]FİYATLAR!C151</f>
        <v/>
      </c>
      <c r="G151" s="30">
        <f>[1]FİYATLAR!D151</f>
        <v/>
      </c>
      <c r="H151">
        <f>E151*F151</f>
        <v/>
      </c>
      <c r="I151">
        <f>E151*G151</f>
        <v/>
      </c>
    </row>
    <row r="152">
      <c r="A152" s="29">
        <f>[1]FİYATLAR!A152</f>
        <v/>
      </c>
      <c r="B152" s="29">
        <f>[1]FİYATLAR!B152</f>
        <v/>
      </c>
      <c r="C152" s="35">
        <f>INT(A152)</f>
        <v/>
      </c>
      <c r="D152" s="36">
        <f>MONTH(A152)</f>
        <v/>
      </c>
      <c r="E152" t="n">
        <v>0.15</v>
      </c>
      <c r="F152" s="30">
        <f>[1]FİYATLAR!C152</f>
        <v/>
      </c>
      <c r="G152" s="30">
        <f>[1]FİYATLAR!D152</f>
        <v/>
      </c>
      <c r="H152">
        <f>E152*F152</f>
        <v/>
      </c>
      <c r="I152">
        <f>E152*G152</f>
        <v/>
      </c>
    </row>
    <row r="153">
      <c r="A153" s="29">
        <f>[1]FİYATLAR!A153</f>
        <v/>
      </c>
      <c r="B153" s="29">
        <f>[1]FİYATLAR!B153</f>
        <v/>
      </c>
      <c r="C153" s="35">
        <f>INT(A153)</f>
        <v/>
      </c>
      <c r="D153" s="36">
        <f>MONTH(A153)</f>
        <v/>
      </c>
      <c r="E153" t="n">
        <v>0.22</v>
      </c>
      <c r="F153" s="30">
        <f>[1]FİYATLAR!C153</f>
        <v/>
      </c>
      <c r="G153" s="30">
        <f>[1]FİYATLAR!D153</f>
        <v/>
      </c>
      <c r="H153">
        <f>E153*F153</f>
        <v/>
      </c>
      <c r="I153">
        <f>E153*G153</f>
        <v/>
      </c>
    </row>
    <row r="154">
      <c r="A154" s="29">
        <f>[1]FİYATLAR!A154</f>
        <v/>
      </c>
      <c r="B154" s="29">
        <f>[1]FİYATLAR!B154</f>
        <v/>
      </c>
      <c r="C154" s="35">
        <f>INT(A154)</f>
        <v/>
      </c>
      <c r="D154" s="36">
        <f>MONTH(A154)</f>
        <v/>
      </c>
      <c r="E154" t="n">
        <v>1.03</v>
      </c>
      <c r="F154" s="30">
        <f>[1]FİYATLAR!C154</f>
        <v/>
      </c>
      <c r="G154" s="30">
        <f>[1]FİYATLAR!D154</f>
        <v/>
      </c>
      <c r="H154">
        <f>E154*F154</f>
        <v/>
      </c>
      <c r="I154">
        <f>E154*G154</f>
        <v/>
      </c>
    </row>
    <row r="155">
      <c r="A155" s="29">
        <f>[1]FİYATLAR!A155</f>
        <v/>
      </c>
      <c r="B155" s="29">
        <f>[1]FİYATLAR!B155</f>
        <v/>
      </c>
      <c r="C155" s="35">
        <f>INT(A155)</f>
        <v/>
      </c>
      <c r="D155" s="36">
        <f>MONTH(A155)</f>
        <v/>
      </c>
      <c r="E155" t="n">
        <v>1.09</v>
      </c>
      <c r="F155" s="30">
        <f>[1]FİYATLAR!C155</f>
        <v/>
      </c>
      <c r="G155" s="30">
        <f>[1]FİYATLAR!D155</f>
        <v/>
      </c>
      <c r="H155">
        <f>E155*F155</f>
        <v/>
      </c>
      <c r="I155">
        <f>E155*G155</f>
        <v/>
      </c>
    </row>
    <row r="156">
      <c r="A156" s="29">
        <f>[1]FİYATLAR!A156</f>
        <v/>
      </c>
      <c r="B156" s="29">
        <f>[1]FİYATLAR!B156</f>
        <v/>
      </c>
      <c r="C156" s="35">
        <f>INT(A156)</f>
        <v/>
      </c>
      <c r="D156" s="36">
        <f>MONTH(A156)</f>
        <v/>
      </c>
      <c r="E156" t="n">
        <v>1.36</v>
      </c>
      <c r="F156" s="30">
        <f>[1]FİYATLAR!C156</f>
        <v/>
      </c>
      <c r="G156" s="30">
        <f>[1]FİYATLAR!D156</f>
        <v/>
      </c>
      <c r="H156">
        <f>E156*F156</f>
        <v/>
      </c>
      <c r="I156">
        <f>E156*G156</f>
        <v/>
      </c>
    </row>
    <row r="157">
      <c r="A157" s="29">
        <f>[1]FİYATLAR!A157</f>
        <v/>
      </c>
      <c r="B157" s="29">
        <f>[1]FİYATLAR!B157</f>
        <v/>
      </c>
      <c r="C157" s="35">
        <f>INT(A157)</f>
        <v/>
      </c>
      <c r="D157" s="36">
        <f>MONTH(A157)</f>
        <v/>
      </c>
      <c r="E157" t="n">
        <v>1.4</v>
      </c>
      <c r="F157" s="30">
        <f>[1]FİYATLAR!C157</f>
        <v/>
      </c>
      <c r="G157" s="30">
        <f>[1]FİYATLAR!D157</f>
        <v/>
      </c>
      <c r="H157">
        <f>E157*F157</f>
        <v/>
      </c>
      <c r="I157">
        <f>E157*G157</f>
        <v/>
      </c>
    </row>
    <row r="158">
      <c r="A158" s="29">
        <f>[1]FİYATLAR!A158</f>
        <v/>
      </c>
      <c r="B158" s="29">
        <f>[1]FİYATLAR!B158</f>
        <v/>
      </c>
      <c r="C158" s="35">
        <f>INT(A158)</f>
        <v/>
      </c>
      <c r="D158" s="36">
        <f>MONTH(A158)</f>
        <v/>
      </c>
      <c r="E158" t="n">
        <v>1.53</v>
      </c>
      <c r="F158" s="30">
        <f>[1]FİYATLAR!C158</f>
        <v/>
      </c>
      <c r="G158" s="30">
        <f>[1]FİYATLAR!D158</f>
        <v/>
      </c>
      <c r="H158">
        <f>E158*F158</f>
        <v/>
      </c>
      <c r="I158">
        <f>E158*G158</f>
        <v/>
      </c>
    </row>
    <row r="159">
      <c r="A159" s="29">
        <f>[1]FİYATLAR!A159</f>
        <v/>
      </c>
      <c r="B159" s="29">
        <f>[1]FİYATLAR!B159</f>
        <v/>
      </c>
      <c r="C159" s="35">
        <f>INT(A159)</f>
        <v/>
      </c>
      <c r="D159" s="36">
        <f>MONTH(A159)</f>
        <v/>
      </c>
      <c r="E159" t="n">
        <v>1.47</v>
      </c>
      <c r="F159" s="30">
        <f>[1]FİYATLAR!C159</f>
        <v/>
      </c>
      <c r="G159" s="30">
        <f>[1]FİYATLAR!D159</f>
        <v/>
      </c>
      <c r="H159">
        <f>E159*F159</f>
        <v/>
      </c>
      <c r="I159">
        <f>E159*G159</f>
        <v/>
      </c>
    </row>
    <row r="160">
      <c r="A160" s="29">
        <f>[1]FİYATLAR!A160</f>
        <v/>
      </c>
      <c r="B160" s="29">
        <f>[1]FİYATLAR!B160</f>
        <v/>
      </c>
      <c r="C160" s="35">
        <f>INT(A160)</f>
        <v/>
      </c>
      <c r="D160" s="36">
        <f>MONTH(A160)</f>
        <v/>
      </c>
      <c r="E160" t="n">
        <v>1.01</v>
      </c>
      <c r="F160" s="30">
        <f>[1]FİYATLAR!C160</f>
        <v/>
      </c>
      <c r="G160" s="30">
        <f>[1]FİYATLAR!D160</f>
        <v/>
      </c>
      <c r="H160">
        <f>E160*F160</f>
        <v/>
      </c>
      <c r="I160">
        <f>E160*G160</f>
        <v/>
      </c>
    </row>
    <row r="161">
      <c r="A161" s="29">
        <f>[1]FİYATLAR!A161</f>
        <v/>
      </c>
      <c r="B161" s="29">
        <f>[1]FİYATLAR!B161</f>
        <v/>
      </c>
      <c r="C161" s="35">
        <f>INT(A161)</f>
        <v/>
      </c>
      <c r="D161" s="36">
        <f>MONTH(A161)</f>
        <v/>
      </c>
      <c r="E161" t="n">
        <v>1.43</v>
      </c>
      <c r="F161" s="30">
        <f>[1]FİYATLAR!C161</f>
        <v/>
      </c>
      <c r="G161" s="30">
        <f>[1]FİYATLAR!D161</f>
        <v/>
      </c>
      <c r="H161">
        <f>E161*F161</f>
        <v/>
      </c>
      <c r="I161">
        <f>E161*G161</f>
        <v/>
      </c>
    </row>
    <row r="162">
      <c r="A162" s="29">
        <f>[1]FİYATLAR!A162</f>
        <v/>
      </c>
      <c r="B162" s="29">
        <f>[1]FİYATLAR!B162</f>
        <v/>
      </c>
      <c r="C162" s="35">
        <f>INT(A162)</f>
        <v/>
      </c>
      <c r="D162" s="36">
        <f>MONTH(A162)</f>
        <v/>
      </c>
      <c r="E162" t="n">
        <v>1.09</v>
      </c>
      <c r="F162" s="30">
        <f>[1]FİYATLAR!C162</f>
        <v/>
      </c>
      <c r="G162" s="30">
        <f>[1]FİYATLAR!D162</f>
        <v/>
      </c>
      <c r="H162">
        <f>E162*F162</f>
        <v/>
      </c>
      <c r="I162">
        <f>E162*G162</f>
        <v/>
      </c>
    </row>
    <row r="163">
      <c r="A163" s="29">
        <f>[1]FİYATLAR!A163</f>
        <v/>
      </c>
      <c r="B163" s="29">
        <f>[1]FİYATLAR!B163</f>
        <v/>
      </c>
      <c r="C163" s="35">
        <f>INT(A163)</f>
        <v/>
      </c>
      <c r="D163" s="36">
        <f>MONTH(A163)</f>
        <v/>
      </c>
      <c r="E163" t="n">
        <v>0.63</v>
      </c>
      <c r="F163" s="30">
        <f>[1]FİYATLAR!C163</f>
        <v/>
      </c>
      <c r="G163" s="30">
        <f>[1]FİYATLAR!D163</f>
        <v/>
      </c>
      <c r="H163">
        <f>E163*F163</f>
        <v/>
      </c>
      <c r="I163">
        <f>E163*G163</f>
        <v/>
      </c>
    </row>
    <row r="164">
      <c r="A164" s="29">
        <f>[1]FİYATLAR!A164</f>
        <v/>
      </c>
      <c r="B164" s="29">
        <f>[1]FİYATLAR!B164</f>
        <v/>
      </c>
      <c r="C164" s="35">
        <f>INT(A164)</f>
        <v/>
      </c>
      <c r="D164" s="36">
        <f>MONTH(A164)</f>
        <v/>
      </c>
      <c r="E164" t="n">
        <v>0.22</v>
      </c>
      <c r="F164" s="30">
        <f>[1]FİYATLAR!C164</f>
        <v/>
      </c>
      <c r="G164" s="30">
        <f>[1]FİYATLAR!D164</f>
        <v/>
      </c>
      <c r="H164">
        <f>E164*F164</f>
        <v/>
      </c>
      <c r="I164">
        <f>E164*G164</f>
        <v/>
      </c>
    </row>
    <row r="165">
      <c r="A165" s="29">
        <f>[1]FİYATLAR!A165</f>
        <v/>
      </c>
      <c r="B165" s="29">
        <f>[1]FİYATLAR!B165</f>
        <v/>
      </c>
      <c r="C165" s="35">
        <f>INT(A165)</f>
        <v/>
      </c>
      <c r="D165" s="36">
        <f>MONTH(A165)</f>
        <v/>
      </c>
      <c r="E165" t="n">
        <v>0.04</v>
      </c>
      <c r="F165" s="30">
        <f>[1]FİYATLAR!C165</f>
        <v/>
      </c>
      <c r="G165" s="30">
        <f>[1]FİYATLAR!D165</f>
        <v/>
      </c>
      <c r="H165">
        <f>E165*F165</f>
        <v/>
      </c>
      <c r="I165">
        <f>E165*G165</f>
        <v/>
      </c>
    </row>
    <row r="166">
      <c r="A166" s="29">
        <f>[1]FİYATLAR!A166</f>
        <v/>
      </c>
      <c r="B166" s="29">
        <f>[1]FİYATLAR!B166</f>
        <v/>
      </c>
      <c r="C166" s="35">
        <f>INT(A166)</f>
        <v/>
      </c>
      <c r="D166" s="36">
        <f>MONTH(A166)</f>
        <v/>
      </c>
      <c r="E166" t="n">
        <v>0</v>
      </c>
      <c r="F166" s="30">
        <f>[1]FİYATLAR!C166</f>
        <v/>
      </c>
      <c r="G166" s="30">
        <f>[1]FİYATLAR!D166</f>
        <v/>
      </c>
      <c r="H166">
        <f>E166*F166</f>
        <v/>
      </c>
      <c r="I166">
        <f>E166*G166</f>
        <v/>
      </c>
    </row>
    <row r="167">
      <c r="A167" s="29">
        <f>[1]FİYATLAR!A167</f>
        <v/>
      </c>
      <c r="B167" s="29">
        <f>[1]FİYATLAR!B167</f>
        <v/>
      </c>
      <c r="C167" s="35">
        <f>INT(A167)</f>
        <v/>
      </c>
      <c r="D167" s="36">
        <f>MONTH(A167)</f>
        <v/>
      </c>
      <c r="E167" t="n">
        <v>0</v>
      </c>
      <c r="F167" s="30">
        <f>[1]FİYATLAR!C167</f>
        <v/>
      </c>
      <c r="G167" s="30">
        <f>[1]FİYATLAR!D167</f>
        <v/>
      </c>
      <c r="H167">
        <f>E167*F167</f>
        <v/>
      </c>
      <c r="I167">
        <f>E167*G167</f>
        <v/>
      </c>
    </row>
    <row r="168">
      <c r="A168" s="29">
        <f>[1]FİYATLAR!A168</f>
        <v/>
      </c>
      <c r="B168" s="29">
        <f>[1]FİYATLAR!B168</f>
        <v/>
      </c>
      <c r="C168" s="35">
        <f>INT(A168)</f>
        <v/>
      </c>
      <c r="D168" s="36">
        <f>MONTH(A168)</f>
        <v/>
      </c>
      <c r="E168" t="n">
        <v>0</v>
      </c>
      <c r="F168" s="30">
        <f>[1]FİYATLAR!C168</f>
        <v/>
      </c>
      <c r="G168" s="30">
        <f>[1]FİYATLAR!D168</f>
        <v/>
      </c>
      <c r="H168">
        <f>E168*F168</f>
        <v/>
      </c>
      <c r="I168">
        <f>E168*G168</f>
        <v/>
      </c>
    </row>
    <row r="169">
      <c r="A169" s="29">
        <f>[1]FİYATLAR!A169</f>
        <v/>
      </c>
      <c r="B169" s="29">
        <f>[1]FİYATLAR!B169</f>
        <v/>
      </c>
      <c r="C169" s="35">
        <f>INT(A169)</f>
        <v/>
      </c>
      <c r="D169" s="36">
        <f>MONTH(A169)</f>
        <v/>
      </c>
      <c r="E169" t="n">
        <v>0</v>
      </c>
      <c r="F169" s="30">
        <f>[1]FİYATLAR!C169</f>
        <v/>
      </c>
      <c r="G169" s="30">
        <f>[1]FİYATLAR!D169</f>
        <v/>
      </c>
      <c r="H169">
        <f>E169*F169</f>
        <v/>
      </c>
      <c r="I169">
        <f>E169*G169</f>
        <v/>
      </c>
    </row>
    <row r="170">
      <c r="A170" s="29">
        <f>[1]FİYATLAR!A170</f>
        <v/>
      </c>
      <c r="B170" s="29">
        <f>[1]FİYATLAR!B170</f>
        <v/>
      </c>
      <c r="C170" s="35">
        <f>INT(A170)</f>
        <v/>
      </c>
      <c r="D170" s="36">
        <f>MONTH(A170)</f>
        <v/>
      </c>
      <c r="E170" t="n">
        <v>0</v>
      </c>
      <c r="F170" s="30">
        <f>[1]FİYATLAR!C170</f>
        <v/>
      </c>
      <c r="G170" s="30">
        <f>[1]FİYATLAR!D170</f>
        <v/>
      </c>
      <c r="H170">
        <f>E170*F170</f>
        <v/>
      </c>
      <c r="I170">
        <f>E170*G170</f>
        <v/>
      </c>
    </row>
    <row r="171">
      <c r="A171" s="29">
        <f>[1]FİYATLAR!A171</f>
        <v/>
      </c>
      <c r="B171" s="29">
        <f>[1]FİYATLAR!B171</f>
        <v/>
      </c>
      <c r="C171" s="35">
        <f>INT(A171)</f>
        <v/>
      </c>
      <c r="D171" s="36">
        <f>MONTH(A171)</f>
        <v/>
      </c>
      <c r="E171" t="n">
        <v>0</v>
      </c>
      <c r="F171" s="30">
        <f>[1]FİYATLAR!C171</f>
        <v/>
      </c>
      <c r="G171" s="30">
        <f>[1]FİYATLAR!D171</f>
        <v/>
      </c>
      <c r="H171">
        <f>E171*F171</f>
        <v/>
      </c>
      <c r="I171">
        <f>E171*G171</f>
        <v/>
      </c>
    </row>
    <row r="172">
      <c r="A172" s="29">
        <f>[1]FİYATLAR!A172</f>
        <v/>
      </c>
      <c r="B172" s="29">
        <f>[1]FİYATLAR!B172</f>
        <v/>
      </c>
      <c r="C172" s="35">
        <f>INT(A172)</f>
        <v/>
      </c>
      <c r="D172" s="36">
        <f>MONTH(A172)</f>
        <v/>
      </c>
      <c r="E172" t="n">
        <v>0</v>
      </c>
      <c r="F172" s="30">
        <f>[1]FİYATLAR!C172</f>
        <v/>
      </c>
      <c r="G172" s="30">
        <f>[1]FİYATLAR!D172</f>
        <v/>
      </c>
      <c r="H172">
        <f>E172*F172</f>
        <v/>
      </c>
      <c r="I172">
        <f>E172*G172</f>
        <v/>
      </c>
    </row>
    <row r="173">
      <c r="A173" s="29">
        <f>[1]FİYATLAR!A173</f>
        <v/>
      </c>
      <c r="B173" s="29">
        <f>[1]FİYATLAR!B173</f>
        <v/>
      </c>
      <c r="C173" s="35">
        <f>INT(A173)</f>
        <v/>
      </c>
      <c r="D173" s="36">
        <f>MONTH(A173)</f>
        <v/>
      </c>
      <c r="E173" t="n">
        <v>0</v>
      </c>
      <c r="F173" s="30">
        <f>[1]FİYATLAR!C173</f>
        <v/>
      </c>
      <c r="G173" s="30">
        <f>[1]FİYATLAR!D173</f>
        <v/>
      </c>
      <c r="H173">
        <f>E173*F173</f>
        <v/>
      </c>
      <c r="I173">
        <f>E173*G173</f>
        <v/>
      </c>
    </row>
    <row r="174">
      <c r="A174" s="29">
        <f>[1]FİYATLAR!A174</f>
        <v/>
      </c>
      <c r="B174" s="29">
        <f>[1]FİYATLAR!B174</f>
        <v/>
      </c>
      <c r="C174" s="35">
        <f>INT(A174)</f>
        <v/>
      </c>
      <c r="D174" s="36">
        <f>MONTH(A174)</f>
        <v/>
      </c>
      <c r="E174" t="n">
        <v>0</v>
      </c>
      <c r="F174" s="30">
        <f>[1]FİYATLAR!C174</f>
        <v/>
      </c>
      <c r="G174" s="30">
        <f>[1]FİYATLAR!D174</f>
        <v/>
      </c>
      <c r="H174">
        <f>E174*F174</f>
        <v/>
      </c>
      <c r="I174">
        <f>E174*G174</f>
        <v/>
      </c>
    </row>
    <row r="175">
      <c r="A175" s="29">
        <f>[1]FİYATLAR!A175</f>
        <v/>
      </c>
      <c r="B175" s="29">
        <f>[1]FİYATLAR!B175</f>
        <v/>
      </c>
      <c r="C175" s="35">
        <f>INT(A175)</f>
        <v/>
      </c>
      <c r="D175" s="36">
        <f>MONTH(A175)</f>
        <v/>
      </c>
      <c r="E175" t="n">
        <v>0.02</v>
      </c>
      <c r="F175" s="30">
        <f>[1]FİYATLAR!C175</f>
        <v/>
      </c>
      <c r="G175" s="30">
        <f>[1]FİYATLAR!D175</f>
        <v/>
      </c>
      <c r="H175">
        <f>E175*F175</f>
        <v/>
      </c>
      <c r="I175">
        <f>E175*G175</f>
        <v/>
      </c>
    </row>
    <row r="176">
      <c r="A176" s="29">
        <f>[1]FİYATLAR!A176</f>
        <v/>
      </c>
      <c r="B176" s="29">
        <f>[1]FİYATLAR!B176</f>
        <v/>
      </c>
      <c r="C176" s="35">
        <f>INT(A176)</f>
        <v/>
      </c>
      <c r="D176" s="36">
        <f>MONTH(A176)</f>
        <v/>
      </c>
      <c r="E176" t="n">
        <v>0.11</v>
      </c>
      <c r="F176" s="30">
        <f>[1]FİYATLAR!C176</f>
        <v/>
      </c>
      <c r="G176" s="30">
        <f>[1]FİYATLAR!D176</f>
        <v/>
      </c>
      <c r="H176">
        <f>E176*F176</f>
        <v/>
      </c>
      <c r="I176">
        <f>E176*G176</f>
        <v/>
      </c>
    </row>
    <row r="177">
      <c r="A177" s="29">
        <f>[1]FİYATLAR!A177</f>
        <v/>
      </c>
      <c r="B177" s="29">
        <f>[1]FİYATLAR!B177</f>
        <v/>
      </c>
      <c r="C177" s="35">
        <f>INT(A177)</f>
        <v/>
      </c>
      <c r="D177" s="36">
        <f>MONTH(A177)</f>
        <v/>
      </c>
      <c r="E177" t="n">
        <v>0.4</v>
      </c>
      <c r="F177" s="30">
        <f>[1]FİYATLAR!C177</f>
        <v/>
      </c>
      <c r="G177" s="30">
        <f>[1]FİYATLAR!D177</f>
        <v/>
      </c>
      <c r="H177">
        <f>E177*F177</f>
        <v/>
      </c>
      <c r="I177">
        <f>E177*G177</f>
        <v/>
      </c>
    </row>
    <row r="178">
      <c r="A178" s="29">
        <f>[1]FİYATLAR!A178</f>
        <v/>
      </c>
      <c r="B178" s="29">
        <f>[1]FİYATLAR!B178</f>
        <v/>
      </c>
      <c r="C178" s="35">
        <f>INT(A178)</f>
        <v/>
      </c>
      <c r="D178" s="36">
        <f>MONTH(A178)</f>
        <v/>
      </c>
      <c r="E178" t="n">
        <v>0.86</v>
      </c>
      <c r="F178" s="30">
        <f>[1]FİYATLAR!C178</f>
        <v/>
      </c>
      <c r="G178" s="30">
        <f>[1]FİYATLAR!D178</f>
        <v/>
      </c>
      <c r="H178">
        <f>E178*F178</f>
        <v/>
      </c>
      <c r="I178">
        <f>E178*G178</f>
        <v/>
      </c>
    </row>
    <row r="179">
      <c r="A179" s="29">
        <f>[1]FİYATLAR!A179</f>
        <v/>
      </c>
      <c r="B179" s="29">
        <f>[1]FİYATLAR!B179</f>
        <v/>
      </c>
      <c r="C179" s="35">
        <f>INT(A179)</f>
        <v/>
      </c>
      <c r="D179" s="36">
        <f>MONTH(A179)</f>
        <v/>
      </c>
      <c r="E179" t="n">
        <v>1.25</v>
      </c>
      <c r="F179" s="30">
        <f>[1]FİYATLAR!C179</f>
        <v/>
      </c>
      <c r="G179" s="30">
        <f>[1]FİYATLAR!D179</f>
        <v/>
      </c>
      <c r="H179">
        <f>E179*F179</f>
        <v/>
      </c>
      <c r="I179">
        <f>E179*G179</f>
        <v/>
      </c>
    </row>
    <row r="180">
      <c r="A180" s="29">
        <f>[1]FİYATLAR!A180</f>
        <v/>
      </c>
      <c r="B180" s="29">
        <f>[1]FİYATLAR!B180</f>
        <v/>
      </c>
      <c r="C180" s="35">
        <f>INT(A180)</f>
        <v/>
      </c>
      <c r="D180" s="36">
        <f>MONTH(A180)</f>
        <v/>
      </c>
      <c r="E180" t="n">
        <v>1.57</v>
      </c>
      <c r="F180" s="30">
        <f>[1]FİYATLAR!C180</f>
        <v/>
      </c>
      <c r="G180" s="30">
        <f>[1]FİYATLAR!D180</f>
        <v/>
      </c>
      <c r="H180">
        <f>E180*F180</f>
        <v/>
      </c>
      <c r="I180">
        <f>E180*G180</f>
        <v/>
      </c>
    </row>
    <row r="181">
      <c r="A181" s="29">
        <f>[1]FİYATLAR!A181</f>
        <v/>
      </c>
      <c r="B181" s="29">
        <f>[1]FİYATLAR!B181</f>
        <v/>
      </c>
      <c r="C181" s="35">
        <f>INT(A181)</f>
        <v/>
      </c>
      <c r="D181" s="36">
        <f>MONTH(A181)</f>
        <v/>
      </c>
      <c r="E181" t="n">
        <v>1.76</v>
      </c>
      <c r="F181" s="30">
        <f>[1]FİYATLAR!C181</f>
        <v/>
      </c>
      <c r="G181" s="30">
        <f>[1]FİYATLAR!D181</f>
        <v/>
      </c>
      <c r="H181">
        <f>E181*F181</f>
        <v/>
      </c>
      <c r="I181">
        <f>E181*G181</f>
        <v/>
      </c>
    </row>
    <row r="182">
      <c r="A182" s="29">
        <f>[1]FİYATLAR!A182</f>
        <v/>
      </c>
      <c r="B182" s="29">
        <f>[1]FİYATLAR!B182</f>
        <v/>
      </c>
      <c r="C182" s="35">
        <f>INT(A182)</f>
        <v/>
      </c>
      <c r="D182" s="36">
        <f>MONTH(A182)</f>
        <v/>
      </c>
      <c r="E182" t="n">
        <v>1.84</v>
      </c>
      <c r="F182" s="30">
        <f>[1]FİYATLAR!C182</f>
        <v/>
      </c>
      <c r="G182" s="30">
        <f>[1]FİYATLAR!D182</f>
        <v/>
      </c>
      <c r="H182">
        <f>E182*F182</f>
        <v/>
      </c>
      <c r="I182">
        <f>E182*G182</f>
        <v/>
      </c>
    </row>
    <row r="183">
      <c r="A183" s="29">
        <f>[1]FİYATLAR!A183</f>
        <v/>
      </c>
      <c r="B183" s="29">
        <f>[1]FİYATLAR!B183</f>
        <v/>
      </c>
      <c r="C183" s="35">
        <f>INT(A183)</f>
        <v/>
      </c>
      <c r="D183" s="36">
        <f>MONTH(A183)</f>
        <v/>
      </c>
      <c r="E183" t="n">
        <v>1.82</v>
      </c>
      <c r="F183" s="30">
        <f>[1]FİYATLAR!C183</f>
        <v/>
      </c>
      <c r="G183" s="30">
        <f>[1]FİYATLAR!D183</f>
        <v/>
      </c>
      <c r="H183">
        <f>E183*F183</f>
        <v/>
      </c>
      <c r="I183">
        <f>E183*G183</f>
        <v/>
      </c>
    </row>
    <row r="184">
      <c r="A184" s="29">
        <f>[1]FİYATLAR!A184</f>
        <v/>
      </c>
      <c r="B184" s="29">
        <f>[1]FİYATLAR!B184</f>
        <v/>
      </c>
      <c r="C184" s="35">
        <f>INT(A184)</f>
        <v/>
      </c>
      <c r="D184" s="36">
        <f>MONTH(A184)</f>
        <v/>
      </c>
      <c r="E184" t="n">
        <v>1.69</v>
      </c>
      <c r="F184" s="30">
        <f>[1]FİYATLAR!C184</f>
        <v/>
      </c>
      <c r="G184" s="30">
        <f>[1]FİYATLAR!D184</f>
        <v/>
      </c>
      <c r="H184">
        <f>E184*F184</f>
        <v/>
      </c>
      <c r="I184">
        <f>E184*G184</f>
        <v/>
      </c>
    </row>
    <row r="185">
      <c r="A185" s="29">
        <f>[1]FİYATLAR!A185</f>
        <v/>
      </c>
      <c r="B185" s="29">
        <f>[1]FİYATLAR!B185</f>
        <v/>
      </c>
      <c r="C185" s="35">
        <f>INT(A185)</f>
        <v/>
      </c>
      <c r="D185" s="36">
        <f>MONTH(A185)</f>
        <v/>
      </c>
      <c r="E185" t="n">
        <v>1.47</v>
      </c>
      <c r="F185" s="30">
        <f>[1]FİYATLAR!C185</f>
        <v/>
      </c>
      <c r="G185" s="30">
        <f>[1]FİYATLAR!D185</f>
        <v/>
      </c>
      <c r="H185">
        <f>E185*F185</f>
        <v/>
      </c>
      <c r="I185">
        <f>E185*G185</f>
        <v/>
      </c>
    </row>
    <row r="186">
      <c r="A186" s="29">
        <f>[1]FİYATLAR!A186</f>
        <v/>
      </c>
      <c r="B186" s="29">
        <f>[1]FİYATLAR!B186</f>
        <v/>
      </c>
      <c r="C186" s="35">
        <f>INT(A186)</f>
        <v/>
      </c>
      <c r="D186" s="36">
        <f>MONTH(A186)</f>
        <v/>
      </c>
      <c r="E186" t="n">
        <v>0.65</v>
      </c>
      <c r="F186" s="30">
        <f>[1]FİYATLAR!C186</f>
        <v/>
      </c>
      <c r="G186" s="30">
        <f>[1]FİYATLAR!D186</f>
        <v/>
      </c>
      <c r="H186">
        <f>E186*F186</f>
        <v/>
      </c>
      <c r="I186">
        <f>E186*G186</f>
        <v/>
      </c>
    </row>
    <row r="187">
      <c r="A187" s="29">
        <f>[1]FİYATLAR!A187</f>
        <v/>
      </c>
      <c r="B187" s="29">
        <f>[1]FİYATLAR!B187</f>
        <v/>
      </c>
      <c r="C187" s="35">
        <f>INT(A187)</f>
        <v/>
      </c>
      <c r="D187" s="36">
        <f>MONTH(A187)</f>
        <v/>
      </c>
      <c r="E187" t="n">
        <v>0.65</v>
      </c>
      <c r="F187" s="30">
        <f>[1]FİYATLAR!C187</f>
        <v/>
      </c>
      <c r="G187" s="30">
        <f>[1]FİYATLAR!D187</f>
        <v/>
      </c>
      <c r="H187">
        <f>E187*F187</f>
        <v/>
      </c>
      <c r="I187">
        <f>E187*G187</f>
        <v/>
      </c>
    </row>
    <row r="188">
      <c r="A188" s="29">
        <f>[1]FİYATLAR!A188</f>
        <v/>
      </c>
      <c r="B188" s="29">
        <f>[1]FİYATLAR!B188</f>
        <v/>
      </c>
      <c r="C188" s="35">
        <f>INT(A188)</f>
        <v/>
      </c>
      <c r="D188" s="36">
        <f>MONTH(A188)</f>
        <v/>
      </c>
      <c r="E188" t="n">
        <v>0.24</v>
      </c>
      <c r="F188" s="30">
        <f>[1]FİYATLAR!C188</f>
        <v/>
      </c>
      <c r="G188" s="30">
        <f>[1]FİYATLAR!D188</f>
        <v/>
      </c>
      <c r="H188">
        <f>E188*F188</f>
        <v/>
      </c>
      <c r="I188">
        <f>E188*G188</f>
        <v/>
      </c>
    </row>
    <row r="189">
      <c r="A189" s="29">
        <f>[1]FİYATLAR!A189</f>
        <v/>
      </c>
      <c r="B189" s="29">
        <f>[1]FİYATLAR!B189</f>
        <v/>
      </c>
      <c r="C189" s="35">
        <f>INT(A189)</f>
        <v/>
      </c>
      <c r="D189" s="36">
        <f>MONTH(A189)</f>
        <v/>
      </c>
      <c r="E189" t="n">
        <v>0.03</v>
      </c>
      <c r="F189" s="30">
        <f>[1]FİYATLAR!C189</f>
        <v/>
      </c>
      <c r="G189" s="30">
        <f>[1]FİYATLAR!D189</f>
        <v/>
      </c>
      <c r="H189">
        <f>E189*F189</f>
        <v/>
      </c>
      <c r="I189">
        <f>E189*G189</f>
        <v/>
      </c>
    </row>
    <row r="190">
      <c r="A190" s="29">
        <f>[1]FİYATLAR!A190</f>
        <v/>
      </c>
      <c r="B190" s="29">
        <f>[1]FİYATLAR!B190</f>
        <v/>
      </c>
      <c r="C190" s="35">
        <f>INT(A190)</f>
        <v/>
      </c>
      <c r="D190" s="36">
        <f>MONTH(A190)</f>
        <v/>
      </c>
      <c r="E190" t="n">
        <v>0</v>
      </c>
      <c r="F190" s="30">
        <f>[1]FİYATLAR!C190</f>
        <v/>
      </c>
      <c r="G190" s="30">
        <f>[1]FİYATLAR!D190</f>
        <v/>
      </c>
      <c r="H190">
        <f>E190*F190</f>
        <v/>
      </c>
      <c r="I190">
        <f>E190*G190</f>
        <v/>
      </c>
    </row>
    <row r="191">
      <c r="A191" s="29">
        <f>[1]FİYATLAR!A191</f>
        <v/>
      </c>
      <c r="B191" s="29">
        <f>[1]FİYATLAR!B191</f>
        <v/>
      </c>
      <c r="C191" s="35">
        <f>INT(A191)</f>
        <v/>
      </c>
      <c r="D191" s="36">
        <f>MONTH(A191)</f>
        <v/>
      </c>
      <c r="E191" t="n">
        <v>0</v>
      </c>
      <c r="F191" s="30">
        <f>[1]FİYATLAR!C191</f>
        <v/>
      </c>
      <c r="G191" s="30">
        <f>[1]FİYATLAR!D191</f>
        <v/>
      </c>
      <c r="H191">
        <f>E191*F191</f>
        <v/>
      </c>
      <c r="I191">
        <f>E191*G191</f>
        <v/>
      </c>
    </row>
    <row r="192">
      <c r="A192" s="29">
        <f>[1]FİYATLAR!A192</f>
        <v/>
      </c>
      <c r="B192" s="29">
        <f>[1]FİYATLAR!B192</f>
        <v/>
      </c>
      <c r="C192" s="35">
        <f>INT(A192)</f>
        <v/>
      </c>
      <c r="D192" s="36">
        <f>MONTH(A192)</f>
        <v/>
      </c>
      <c r="E192" t="n">
        <v>0</v>
      </c>
      <c r="F192" s="30">
        <f>[1]FİYATLAR!C192</f>
        <v/>
      </c>
      <c r="G192" s="30">
        <f>[1]FİYATLAR!D192</f>
        <v/>
      </c>
      <c r="H192">
        <f>E192*F192</f>
        <v/>
      </c>
      <c r="I192">
        <f>E192*G192</f>
        <v/>
      </c>
    </row>
    <row r="193">
      <c r="A193" s="29">
        <f>[1]FİYATLAR!A193</f>
        <v/>
      </c>
      <c r="B193" s="29">
        <f>[1]FİYATLAR!B193</f>
        <v/>
      </c>
      <c r="C193" s="35">
        <f>INT(A193)</f>
        <v/>
      </c>
      <c r="D193" s="36">
        <f>MONTH(A193)</f>
        <v/>
      </c>
      <c r="E193" t="n">
        <v>0</v>
      </c>
      <c r="F193" s="30">
        <f>[1]FİYATLAR!C193</f>
        <v/>
      </c>
      <c r="G193" s="30">
        <f>[1]FİYATLAR!D193</f>
        <v/>
      </c>
      <c r="H193">
        <f>E193*F193</f>
        <v/>
      </c>
      <c r="I193">
        <f>E193*G193</f>
        <v/>
      </c>
    </row>
    <row r="194">
      <c r="A194" s="29">
        <f>[1]FİYATLAR!A194</f>
        <v/>
      </c>
      <c r="B194" s="29">
        <f>[1]FİYATLAR!B194</f>
        <v/>
      </c>
      <c r="C194" s="35">
        <f>INT(A194)</f>
        <v/>
      </c>
      <c r="D194" s="36">
        <f>MONTH(A194)</f>
        <v/>
      </c>
      <c r="F194" s="30">
        <f>[1]FİYATLAR!C194</f>
        <v/>
      </c>
      <c r="G194" s="30">
        <f>[1]FİYATLAR!D194</f>
        <v/>
      </c>
      <c r="H194">
        <f>E194*F194</f>
        <v/>
      </c>
      <c r="I194">
        <f>E194*G194</f>
        <v/>
      </c>
    </row>
    <row r="195">
      <c r="A195" s="29">
        <f>[1]FİYATLAR!A195</f>
        <v/>
      </c>
      <c r="B195" s="29">
        <f>[1]FİYATLAR!B195</f>
        <v/>
      </c>
      <c r="C195" s="35">
        <f>INT(A195)</f>
        <v/>
      </c>
      <c r="D195" s="36">
        <f>MONTH(A195)</f>
        <v/>
      </c>
      <c r="F195" s="30">
        <f>[1]FİYATLAR!C195</f>
        <v/>
      </c>
      <c r="G195" s="30">
        <f>[1]FİYATLAR!D195</f>
        <v/>
      </c>
      <c r="H195">
        <f>E195*F195</f>
        <v/>
      </c>
      <c r="I195">
        <f>E195*G195</f>
        <v/>
      </c>
    </row>
    <row r="196">
      <c r="A196" s="29">
        <f>[1]FİYATLAR!A196</f>
        <v/>
      </c>
      <c r="B196" s="29">
        <f>[1]FİYATLAR!B196</f>
        <v/>
      </c>
      <c r="C196" s="35">
        <f>INT(A196)</f>
        <v/>
      </c>
      <c r="D196" s="36">
        <f>MONTH(A196)</f>
        <v/>
      </c>
      <c r="F196" s="30">
        <f>[1]FİYATLAR!C196</f>
        <v/>
      </c>
      <c r="G196" s="30">
        <f>[1]FİYATLAR!D196</f>
        <v/>
      </c>
      <c r="H196">
        <f>E196*F196</f>
        <v/>
      </c>
      <c r="I196">
        <f>E196*G196</f>
        <v/>
      </c>
    </row>
    <row r="197">
      <c r="A197" s="29">
        <f>[1]FİYATLAR!A197</f>
        <v/>
      </c>
      <c r="B197" s="29">
        <f>[1]FİYATLAR!B197</f>
        <v/>
      </c>
      <c r="C197" s="35">
        <f>INT(A197)</f>
        <v/>
      </c>
      <c r="D197" s="36">
        <f>MONTH(A197)</f>
        <v/>
      </c>
      <c r="F197" s="30">
        <f>[1]FİYATLAR!C197</f>
        <v/>
      </c>
      <c r="G197" s="30">
        <f>[1]FİYATLAR!D197</f>
        <v/>
      </c>
      <c r="H197">
        <f>E197*F197</f>
        <v/>
      </c>
      <c r="I197">
        <f>E197*G197</f>
        <v/>
      </c>
    </row>
    <row r="198">
      <c r="A198" s="29">
        <f>[1]FİYATLAR!A198</f>
        <v/>
      </c>
      <c r="B198" s="29">
        <f>[1]FİYATLAR!B198</f>
        <v/>
      </c>
      <c r="C198" s="35">
        <f>INT(A198)</f>
        <v/>
      </c>
      <c r="D198" s="36">
        <f>MONTH(A198)</f>
        <v/>
      </c>
      <c r="F198" s="30">
        <f>[1]FİYATLAR!C198</f>
        <v/>
      </c>
      <c r="G198" s="30">
        <f>[1]FİYATLAR!D198</f>
        <v/>
      </c>
      <c r="H198">
        <f>E198*F198</f>
        <v/>
      </c>
      <c r="I198">
        <f>E198*G198</f>
        <v/>
      </c>
    </row>
    <row r="199">
      <c r="A199" s="29">
        <f>[1]FİYATLAR!A199</f>
        <v/>
      </c>
      <c r="B199" s="29">
        <f>[1]FİYATLAR!B199</f>
        <v/>
      </c>
      <c r="C199" s="35">
        <f>INT(A199)</f>
        <v/>
      </c>
      <c r="D199" s="36">
        <f>MONTH(A199)</f>
        <v/>
      </c>
      <c r="F199" s="30">
        <f>[1]FİYATLAR!C199</f>
        <v/>
      </c>
      <c r="G199" s="30">
        <f>[1]FİYATLAR!D199</f>
        <v/>
      </c>
      <c r="H199">
        <f>E199*F199</f>
        <v/>
      </c>
      <c r="I199">
        <f>E199*G199</f>
        <v/>
      </c>
    </row>
    <row r="200">
      <c r="A200" s="29">
        <f>[1]FİYATLAR!A200</f>
        <v/>
      </c>
      <c r="B200" s="29">
        <f>[1]FİYATLAR!B200</f>
        <v/>
      </c>
      <c r="C200" s="35">
        <f>INT(A200)</f>
        <v/>
      </c>
      <c r="D200" s="36">
        <f>MONTH(A200)</f>
        <v/>
      </c>
      <c r="F200" s="30">
        <f>[1]FİYATLAR!C200</f>
        <v/>
      </c>
      <c r="G200" s="30">
        <f>[1]FİYATLAR!D200</f>
        <v/>
      </c>
      <c r="H200">
        <f>E200*F200</f>
        <v/>
      </c>
      <c r="I200">
        <f>E200*G200</f>
        <v/>
      </c>
    </row>
    <row r="201">
      <c r="A201" s="29">
        <f>[1]FİYATLAR!A201</f>
        <v/>
      </c>
      <c r="B201" s="29">
        <f>[1]FİYATLAR!B201</f>
        <v/>
      </c>
      <c r="C201" s="35">
        <f>INT(A201)</f>
        <v/>
      </c>
      <c r="D201" s="36">
        <f>MONTH(A201)</f>
        <v/>
      </c>
      <c r="F201" s="30">
        <f>[1]FİYATLAR!C201</f>
        <v/>
      </c>
      <c r="G201" s="30">
        <f>[1]FİYATLAR!D201</f>
        <v/>
      </c>
      <c r="H201">
        <f>E201*F201</f>
        <v/>
      </c>
      <c r="I201">
        <f>E201*G201</f>
        <v/>
      </c>
    </row>
    <row r="202">
      <c r="A202" s="29">
        <f>[1]FİYATLAR!A202</f>
        <v/>
      </c>
      <c r="B202" s="29">
        <f>[1]FİYATLAR!B202</f>
        <v/>
      </c>
      <c r="C202" s="35">
        <f>INT(A202)</f>
        <v/>
      </c>
      <c r="D202" s="36">
        <f>MONTH(A202)</f>
        <v/>
      </c>
      <c r="F202" s="30">
        <f>[1]FİYATLAR!C202</f>
        <v/>
      </c>
      <c r="G202" s="30">
        <f>[1]FİYATLAR!D202</f>
        <v/>
      </c>
      <c r="H202">
        <f>E202*F202</f>
        <v/>
      </c>
      <c r="I202">
        <f>E202*G202</f>
        <v/>
      </c>
    </row>
    <row r="203">
      <c r="A203" s="29">
        <f>[1]FİYATLAR!A203</f>
        <v/>
      </c>
      <c r="B203" s="29">
        <f>[1]FİYATLAR!B203</f>
        <v/>
      </c>
      <c r="C203" s="35">
        <f>INT(A203)</f>
        <v/>
      </c>
      <c r="D203" s="36">
        <f>MONTH(A203)</f>
        <v/>
      </c>
      <c r="F203" s="30">
        <f>[1]FİYATLAR!C203</f>
        <v/>
      </c>
      <c r="G203" s="30">
        <f>[1]FİYATLAR!D203</f>
        <v/>
      </c>
      <c r="H203">
        <f>E203*F203</f>
        <v/>
      </c>
      <c r="I203">
        <f>E203*G203</f>
        <v/>
      </c>
    </row>
    <row r="204">
      <c r="A204" s="29">
        <f>[1]FİYATLAR!A204</f>
        <v/>
      </c>
      <c r="B204" s="29">
        <f>[1]FİYATLAR!B204</f>
        <v/>
      </c>
      <c r="C204" s="35">
        <f>INT(A204)</f>
        <v/>
      </c>
      <c r="D204" s="36">
        <f>MONTH(A204)</f>
        <v/>
      </c>
      <c r="F204" s="30">
        <f>[1]FİYATLAR!C204</f>
        <v/>
      </c>
      <c r="G204" s="30">
        <f>[1]FİYATLAR!D204</f>
        <v/>
      </c>
      <c r="H204">
        <f>E204*F204</f>
        <v/>
      </c>
      <c r="I204">
        <f>E204*G204</f>
        <v/>
      </c>
    </row>
    <row r="205">
      <c r="A205" s="29">
        <f>[1]FİYATLAR!A205</f>
        <v/>
      </c>
      <c r="B205" s="29">
        <f>[1]FİYATLAR!B205</f>
        <v/>
      </c>
      <c r="C205" s="35">
        <f>INT(A205)</f>
        <v/>
      </c>
      <c r="D205" s="36">
        <f>MONTH(A205)</f>
        <v/>
      </c>
      <c r="F205" s="30">
        <f>[1]FİYATLAR!C205</f>
        <v/>
      </c>
      <c r="G205" s="30">
        <f>[1]FİYATLAR!D205</f>
        <v/>
      </c>
      <c r="H205">
        <f>E205*F205</f>
        <v/>
      </c>
      <c r="I205">
        <f>E205*G205</f>
        <v/>
      </c>
    </row>
    <row r="206">
      <c r="A206" s="29">
        <f>[1]FİYATLAR!A206</f>
        <v/>
      </c>
      <c r="B206" s="29">
        <f>[1]FİYATLAR!B206</f>
        <v/>
      </c>
      <c r="C206" s="35">
        <f>INT(A206)</f>
        <v/>
      </c>
      <c r="D206" s="36">
        <f>MONTH(A206)</f>
        <v/>
      </c>
      <c r="F206" s="30">
        <f>[1]FİYATLAR!C206</f>
        <v/>
      </c>
      <c r="G206" s="30">
        <f>[1]FİYATLAR!D206</f>
        <v/>
      </c>
      <c r="H206">
        <f>E206*F206</f>
        <v/>
      </c>
      <c r="I206">
        <f>E206*G206</f>
        <v/>
      </c>
    </row>
    <row r="207">
      <c r="A207" s="29">
        <f>[1]FİYATLAR!A207</f>
        <v/>
      </c>
      <c r="B207" s="29">
        <f>[1]FİYATLAR!B207</f>
        <v/>
      </c>
      <c r="C207" s="35">
        <f>INT(A207)</f>
        <v/>
      </c>
      <c r="D207" s="36">
        <f>MONTH(A207)</f>
        <v/>
      </c>
      <c r="F207" s="30">
        <f>[1]FİYATLAR!C207</f>
        <v/>
      </c>
      <c r="G207" s="30">
        <f>[1]FİYATLAR!D207</f>
        <v/>
      </c>
      <c r="H207">
        <f>E207*F207</f>
        <v/>
      </c>
      <c r="I207">
        <f>E207*G207</f>
        <v/>
      </c>
    </row>
    <row r="208">
      <c r="A208" s="29">
        <f>[1]FİYATLAR!A208</f>
        <v/>
      </c>
      <c r="B208" s="29">
        <f>[1]FİYATLAR!B208</f>
        <v/>
      </c>
      <c r="C208" s="35">
        <f>INT(A208)</f>
        <v/>
      </c>
      <c r="D208" s="36">
        <f>MONTH(A208)</f>
        <v/>
      </c>
      <c r="F208" s="30">
        <f>[1]FİYATLAR!C208</f>
        <v/>
      </c>
      <c r="G208" s="30">
        <f>[1]FİYATLAR!D208</f>
        <v/>
      </c>
      <c r="H208">
        <f>E208*F208</f>
        <v/>
      </c>
      <c r="I208">
        <f>E208*G208</f>
        <v/>
      </c>
    </row>
    <row r="209">
      <c r="A209" s="29">
        <f>[1]FİYATLAR!A209</f>
        <v/>
      </c>
      <c r="B209" s="29">
        <f>[1]FİYATLAR!B209</f>
        <v/>
      </c>
      <c r="C209" s="35">
        <f>INT(A209)</f>
        <v/>
      </c>
      <c r="D209" s="36">
        <f>MONTH(A209)</f>
        <v/>
      </c>
      <c r="F209" s="30">
        <f>[1]FİYATLAR!C209</f>
        <v/>
      </c>
      <c r="G209" s="30">
        <f>[1]FİYATLAR!D209</f>
        <v/>
      </c>
      <c r="H209">
        <f>E209*F209</f>
        <v/>
      </c>
      <c r="I209">
        <f>E209*G209</f>
        <v/>
      </c>
    </row>
    <row r="210">
      <c r="A210" s="29">
        <f>[1]FİYATLAR!A210</f>
        <v/>
      </c>
      <c r="B210" s="29">
        <f>[1]FİYATLAR!B210</f>
        <v/>
      </c>
      <c r="C210" s="35">
        <f>INT(A210)</f>
        <v/>
      </c>
      <c r="D210" s="36">
        <f>MONTH(A210)</f>
        <v/>
      </c>
      <c r="F210" s="30">
        <f>[1]FİYATLAR!C210</f>
        <v/>
      </c>
      <c r="G210" s="30">
        <f>[1]FİYATLAR!D210</f>
        <v/>
      </c>
      <c r="H210">
        <f>E210*F210</f>
        <v/>
      </c>
      <c r="I210">
        <f>E210*G210</f>
        <v/>
      </c>
    </row>
    <row r="211">
      <c r="A211" s="29">
        <f>[1]FİYATLAR!A211</f>
        <v/>
      </c>
      <c r="B211" s="29">
        <f>[1]FİYATLAR!B211</f>
        <v/>
      </c>
      <c r="C211" s="35">
        <f>INT(A211)</f>
        <v/>
      </c>
      <c r="D211" s="36">
        <f>MONTH(A211)</f>
        <v/>
      </c>
      <c r="F211" s="30">
        <f>[1]FİYATLAR!C211</f>
        <v/>
      </c>
      <c r="G211" s="30">
        <f>[1]FİYATLAR!D211</f>
        <v/>
      </c>
      <c r="H211">
        <f>E211*F211</f>
        <v/>
      </c>
      <c r="I211">
        <f>E211*G211</f>
        <v/>
      </c>
    </row>
    <row r="212">
      <c r="A212" s="29">
        <f>[1]FİYATLAR!A212</f>
        <v/>
      </c>
      <c r="B212" s="29">
        <f>[1]FİYATLAR!B212</f>
        <v/>
      </c>
      <c r="C212" s="35">
        <f>INT(A212)</f>
        <v/>
      </c>
      <c r="D212" s="36">
        <f>MONTH(A212)</f>
        <v/>
      </c>
      <c r="F212" s="30">
        <f>[1]FİYATLAR!C212</f>
        <v/>
      </c>
      <c r="G212" s="30">
        <f>[1]FİYATLAR!D212</f>
        <v/>
      </c>
      <c r="H212">
        <f>E212*F212</f>
        <v/>
      </c>
      <c r="I212">
        <f>E212*G212</f>
        <v/>
      </c>
    </row>
    <row r="213">
      <c r="A213" s="29">
        <f>[1]FİYATLAR!A213</f>
        <v/>
      </c>
      <c r="B213" s="29">
        <f>[1]FİYATLAR!B213</f>
        <v/>
      </c>
      <c r="C213" s="35">
        <f>INT(A213)</f>
        <v/>
      </c>
      <c r="D213" s="36">
        <f>MONTH(A213)</f>
        <v/>
      </c>
      <c r="F213" s="30">
        <f>[1]FİYATLAR!C213</f>
        <v/>
      </c>
      <c r="G213" s="30">
        <f>[1]FİYATLAR!D213</f>
        <v/>
      </c>
      <c r="H213">
        <f>E213*F213</f>
        <v/>
      </c>
      <c r="I213">
        <f>E213*G213</f>
        <v/>
      </c>
    </row>
    <row r="214">
      <c r="A214" s="29">
        <f>[1]FİYATLAR!A214</f>
        <v/>
      </c>
      <c r="B214" s="29">
        <f>[1]FİYATLAR!B214</f>
        <v/>
      </c>
      <c r="C214" s="35">
        <f>INT(A214)</f>
        <v/>
      </c>
      <c r="D214" s="36">
        <f>MONTH(A214)</f>
        <v/>
      </c>
      <c r="F214" s="30">
        <f>[1]FİYATLAR!C214</f>
        <v/>
      </c>
      <c r="G214" s="30">
        <f>[1]FİYATLAR!D214</f>
        <v/>
      </c>
      <c r="H214">
        <f>E214*F214</f>
        <v/>
      </c>
      <c r="I214">
        <f>E214*G214</f>
        <v/>
      </c>
    </row>
    <row r="215">
      <c r="A215" s="29">
        <f>[1]FİYATLAR!A215</f>
        <v/>
      </c>
      <c r="B215" s="29">
        <f>[1]FİYATLAR!B215</f>
        <v/>
      </c>
      <c r="C215" s="35">
        <f>INT(A215)</f>
        <v/>
      </c>
      <c r="D215" s="36">
        <f>MONTH(A215)</f>
        <v/>
      </c>
      <c r="F215" s="30">
        <f>[1]FİYATLAR!C215</f>
        <v/>
      </c>
      <c r="G215" s="30">
        <f>[1]FİYATLAR!D215</f>
        <v/>
      </c>
      <c r="H215">
        <f>E215*F215</f>
        <v/>
      </c>
      <c r="I215">
        <f>E215*G215</f>
        <v/>
      </c>
    </row>
    <row r="216">
      <c r="A216" s="29">
        <f>[1]FİYATLAR!A216</f>
        <v/>
      </c>
      <c r="B216" s="29">
        <f>[1]FİYATLAR!B216</f>
        <v/>
      </c>
      <c r="C216" s="35">
        <f>INT(A216)</f>
        <v/>
      </c>
      <c r="D216" s="36">
        <f>MONTH(A216)</f>
        <v/>
      </c>
      <c r="F216" s="30">
        <f>[1]FİYATLAR!C216</f>
        <v/>
      </c>
      <c r="G216" s="30">
        <f>[1]FİYATLAR!D216</f>
        <v/>
      </c>
      <c r="H216">
        <f>E216*F216</f>
        <v/>
      </c>
      <c r="I216">
        <f>E216*G216</f>
        <v/>
      </c>
    </row>
    <row r="217">
      <c r="A217" s="29">
        <f>[1]FİYATLAR!A217</f>
        <v/>
      </c>
      <c r="B217" s="29">
        <f>[1]FİYATLAR!B217</f>
        <v/>
      </c>
      <c r="C217" s="35">
        <f>INT(A217)</f>
        <v/>
      </c>
      <c r="D217" s="36">
        <f>MONTH(A217)</f>
        <v/>
      </c>
      <c r="F217" s="30">
        <f>[1]FİYATLAR!C217</f>
        <v/>
      </c>
      <c r="G217" s="30">
        <f>[1]FİYATLAR!D217</f>
        <v/>
      </c>
      <c r="H217">
        <f>E217*F217</f>
        <v/>
      </c>
      <c r="I217">
        <f>E217*G217</f>
        <v/>
      </c>
    </row>
    <row r="218">
      <c r="A218" s="29">
        <f>[1]FİYATLAR!A218</f>
        <v/>
      </c>
      <c r="B218" s="29">
        <f>[1]FİYATLAR!B218</f>
        <v/>
      </c>
      <c r="C218" s="35">
        <f>INT(A218)</f>
        <v/>
      </c>
      <c r="D218" s="36">
        <f>MONTH(A218)</f>
        <v/>
      </c>
      <c r="F218" s="30">
        <f>[1]FİYATLAR!C218</f>
        <v/>
      </c>
      <c r="G218" s="30">
        <f>[1]FİYATLAR!D218</f>
        <v/>
      </c>
      <c r="H218">
        <f>E218*F218</f>
        <v/>
      </c>
      <c r="I218">
        <f>E218*G218</f>
        <v/>
      </c>
    </row>
    <row r="219">
      <c r="A219" s="29">
        <f>[1]FİYATLAR!A219</f>
        <v/>
      </c>
      <c r="B219" s="29">
        <f>[1]FİYATLAR!B219</f>
        <v/>
      </c>
      <c r="C219" s="35">
        <f>INT(A219)</f>
        <v/>
      </c>
      <c r="D219" s="36">
        <f>MONTH(A219)</f>
        <v/>
      </c>
      <c r="F219" s="30">
        <f>[1]FİYATLAR!C219</f>
        <v/>
      </c>
      <c r="G219" s="30">
        <f>[1]FİYATLAR!D219</f>
        <v/>
      </c>
      <c r="H219">
        <f>E219*F219</f>
        <v/>
      </c>
      <c r="I219">
        <f>E219*G219</f>
        <v/>
      </c>
    </row>
    <row r="220">
      <c r="A220" s="29">
        <f>[1]FİYATLAR!A220</f>
        <v/>
      </c>
      <c r="B220" s="29">
        <f>[1]FİYATLAR!B220</f>
        <v/>
      </c>
      <c r="C220" s="35">
        <f>INT(A220)</f>
        <v/>
      </c>
      <c r="D220" s="36">
        <f>MONTH(A220)</f>
        <v/>
      </c>
      <c r="F220" s="30">
        <f>[1]FİYATLAR!C220</f>
        <v/>
      </c>
      <c r="G220" s="30">
        <f>[1]FİYATLAR!D220</f>
        <v/>
      </c>
      <c r="H220">
        <f>E220*F220</f>
        <v/>
      </c>
      <c r="I220">
        <f>E220*G220</f>
        <v/>
      </c>
    </row>
    <row r="221">
      <c r="A221" s="29">
        <f>[1]FİYATLAR!A221</f>
        <v/>
      </c>
      <c r="B221" s="29">
        <f>[1]FİYATLAR!B221</f>
        <v/>
      </c>
      <c r="C221" s="35">
        <f>INT(A221)</f>
        <v/>
      </c>
      <c r="D221" s="36">
        <f>MONTH(A221)</f>
        <v/>
      </c>
      <c r="F221" s="30">
        <f>[1]FİYATLAR!C221</f>
        <v/>
      </c>
      <c r="G221" s="30">
        <f>[1]FİYATLAR!D221</f>
        <v/>
      </c>
      <c r="H221">
        <f>E221*F221</f>
        <v/>
      </c>
      <c r="I221">
        <f>E221*G221</f>
        <v/>
      </c>
    </row>
    <row r="222">
      <c r="A222" s="29">
        <f>[1]FİYATLAR!A222</f>
        <v/>
      </c>
      <c r="B222" s="29">
        <f>[1]FİYATLAR!B222</f>
        <v/>
      </c>
      <c r="C222" s="35">
        <f>INT(A222)</f>
        <v/>
      </c>
      <c r="D222" s="36">
        <f>MONTH(A222)</f>
        <v/>
      </c>
      <c r="F222" s="30">
        <f>[1]FİYATLAR!C222</f>
        <v/>
      </c>
      <c r="G222" s="30">
        <f>[1]FİYATLAR!D222</f>
        <v/>
      </c>
      <c r="H222">
        <f>E222*F222</f>
        <v/>
      </c>
      <c r="I222">
        <f>E222*G222</f>
        <v/>
      </c>
    </row>
    <row r="223">
      <c r="A223" s="29">
        <f>[1]FİYATLAR!A223</f>
        <v/>
      </c>
      <c r="B223" s="29">
        <f>[1]FİYATLAR!B223</f>
        <v/>
      </c>
      <c r="C223" s="35">
        <f>INT(A223)</f>
        <v/>
      </c>
      <c r="D223" s="36">
        <f>MONTH(A223)</f>
        <v/>
      </c>
      <c r="F223" s="30">
        <f>[1]FİYATLAR!C223</f>
        <v/>
      </c>
      <c r="G223" s="30">
        <f>[1]FİYATLAR!D223</f>
        <v/>
      </c>
      <c r="H223">
        <f>E223*F223</f>
        <v/>
      </c>
      <c r="I223">
        <f>E223*G223</f>
        <v/>
      </c>
    </row>
    <row r="224">
      <c r="A224" s="29">
        <f>[1]FİYATLAR!A224</f>
        <v/>
      </c>
      <c r="B224" s="29">
        <f>[1]FİYATLAR!B224</f>
        <v/>
      </c>
      <c r="C224" s="35">
        <f>INT(A224)</f>
        <v/>
      </c>
      <c r="D224" s="36">
        <f>MONTH(A224)</f>
        <v/>
      </c>
      <c r="F224" s="30">
        <f>[1]FİYATLAR!C224</f>
        <v/>
      </c>
      <c r="G224" s="30">
        <f>[1]FİYATLAR!D224</f>
        <v/>
      </c>
      <c r="H224">
        <f>E224*F224</f>
        <v/>
      </c>
      <c r="I224">
        <f>E224*G224</f>
        <v/>
      </c>
    </row>
    <row r="225">
      <c r="A225" s="29">
        <f>[1]FİYATLAR!A225</f>
        <v/>
      </c>
      <c r="B225" s="29">
        <f>[1]FİYATLAR!B225</f>
        <v/>
      </c>
      <c r="C225" s="35">
        <f>INT(A225)</f>
        <v/>
      </c>
      <c r="D225" s="36">
        <f>MONTH(A225)</f>
        <v/>
      </c>
      <c r="F225" s="30">
        <f>[1]FİYATLAR!C225</f>
        <v/>
      </c>
      <c r="G225" s="30">
        <f>[1]FİYATLAR!D225</f>
        <v/>
      </c>
      <c r="H225">
        <f>E225*F225</f>
        <v/>
      </c>
      <c r="I225">
        <f>E225*G225</f>
        <v/>
      </c>
    </row>
    <row r="226">
      <c r="A226" s="29">
        <f>[1]FİYATLAR!A226</f>
        <v/>
      </c>
      <c r="B226" s="29">
        <f>[1]FİYATLAR!B226</f>
        <v/>
      </c>
      <c r="C226" s="35">
        <f>INT(A226)</f>
        <v/>
      </c>
      <c r="D226" s="36">
        <f>MONTH(A226)</f>
        <v/>
      </c>
      <c r="F226" s="30">
        <f>[1]FİYATLAR!C226</f>
        <v/>
      </c>
      <c r="G226" s="30">
        <f>[1]FİYATLAR!D226</f>
        <v/>
      </c>
      <c r="H226">
        <f>E226*F226</f>
        <v/>
      </c>
      <c r="I226">
        <f>E226*G226</f>
        <v/>
      </c>
    </row>
    <row r="227">
      <c r="A227" s="29">
        <f>[1]FİYATLAR!A227</f>
        <v/>
      </c>
      <c r="B227" s="29">
        <f>[1]FİYATLAR!B227</f>
        <v/>
      </c>
      <c r="C227" s="35">
        <f>INT(A227)</f>
        <v/>
      </c>
      <c r="D227" s="36">
        <f>MONTH(A227)</f>
        <v/>
      </c>
      <c r="F227" s="30">
        <f>[1]FİYATLAR!C227</f>
        <v/>
      </c>
      <c r="G227" s="30">
        <f>[1]FİYATLAR!D227</f>
        <v/>
      </c>
      <c r="H227">
        <f>E227*F227</f>
        <v/>
      </c>
      <c r="I227">
        <f>E227*G227</f>
        <v/>
      </c>
    </row>
    <row r="228">
      <c r="A228" s="29">
        <f>[1]FİYATLAR!A228</f>
        <v/>
      </c>
      <c r="B228" s="29">
        <f>[1]FİYATLAR!B228</f>
        <v/>
      </c>
      <c r="C228" s="35">
        <f>INT(A228)</f>
        <v/>
      </c>
      <c r="D228" s="36">
        <f>MONTH(A228)</f>
        <v/>
      </c>
      <c r="F228" s="30">
        <f>[1]FİYATLAR!C228</f>
        <v/>
      </c>
      <c r="G228" s="30">
        <f>[1]FİYATLAR!D228</f>
        <v/>
      </c>
      <c r="H228">
        <f>E228*F228</f>
        <v/>
      </c>
      <c r="I228">
        <f>E228*G228</f>
        <v/>
      </c>
    </row>
    <row r="229">
      <c r="A229" s="29">
        <f>[1]FİYATLAR!A229</f>
        <v/>
      </c>
      <c r="B229" s="29">
        <f>[1]FİYATLAR!B229</f>
        <v/>
      </c>
      <c r="C229" s="35">
        <f>INT(A229)</f>
        <v/>
      </c>
      <c r="D229" s="36">
        <f>MONTH(A229)</f>
        <v/>
      </c>
      <c r="F229" s="30">
        <f>[1]FİYATLAR!C229</f>
        <v/>
      </c>
      <c r="G229" s="30">
        <f>[1]FİYATLAR!D229</f>
        <v/>
      </c>
      <c r="H229">
        <f>E229*F229</f>
        <v/>
      </c>
      <c r="I229">
        <f>E229*G229</f>
        <v/>
      </c>
    </row>
    <row r="230">
      <c r="A230" s="29">
        <f>[1]FİYATLAR!A230</f>
        <v/>
      </c>
      <c r="B230" s="29">
        <f>[1]FİYATLAR!B230</f>
        <v/>
      </c>
      <c r="C230" s="35">
        <f>INT(A230)</f>
        <v/>
      </c>
      <c r="D230" s="36">
        <f>MONTH(A230)</f>
        <v/>
      </c>
      <c r="F230" s="30">
        <f>[1]FİYATLAR!C230</f>
        <v/>
      </c>
      <c r="G230" s="30">
        <f>[1]FİYATLAR!D230</f>
        <v/>
      </c>
      <c r="H230">
        <f>E230*F230</f>
        <v/>
      </c>
      <c r="I230">
        <f>E230*G230</f>
        <v/>
      </c>
    </row>
    <row r="231">
      <c r="A231" s="29">
        <f>[1]FİYATLAR!A231</f>
        <v/>
      </c>
      <c r="B231" s="29">
        <f>[1]FİYATLAR!B231</f>
        <v/>
      </c>
      <c r="C231" s="35">
        <f>INT(A231)</f>
        <v/>
      </c>
      <c r="D231" s="36">
        <f>MONTH(A231)</f>
        <v/>
      </c>
      <c r="F231" s="30">
        <f>[1]FİYATLAR!C231</f>
        <v/>
      </c>
      <c r="G231" s="30">
        <f>[1]FİYATLAR!D231</f>
        <v/>
      </c>
      <c r="H231">
        <f>E231*F231</f>
        <v/>
      </c>
      <c r="I231">
        <f>E231*G231</f>
        <v/>
      </c>
    </row>
    <row r="232">
      <c r="A232" s="29">
        <f>[1]FİYATLAR!A232</f>
        <v/>
      </c>
      <c r="B232" s="29">
        <f>[1]FİYATLAR!B232</f>
        <v/>
      </c>
      <c r="C232" s="35">
        <f>INT(A232)</f>
        <v/>
      </c>
      <c r="D232" s="36">
        <f>MONTH(A232)</f>
        <v/>
      </c>
      <c r="F232" s="30">
        <f>[1]FİYATLAR!C232</f>
        <v/>
      </c>
      <c r="G232" s="30">
        <f>[1]FİYATLAR!D232</f>
        <v/>
      </c>
      <c r="H232">
        <f>E232*F232</f>
        <v/>
      </c>
      <c r="I232">
        <f>E232*G232</f>
        <v/>
      </c>
    </row>
    <row r="233">
      <c r="A233" s="29">
        <f>[1]FİYATLAR!A233</f>
        <v/>
      </c>
      <c r="B233" s="29">
        <f>[1]FİYATLAR!B233</f>
        <v/>
      </c>
      <c r="C233" s="35">
        <f>INT(A233)</f>
        <v/>
      </c>
      <c r="D233" s="36">
        <f>MONTH(A233)</f>
        <v/>
      </c>
      <c r="F233" s="30">
        <f>[1]FİYATLAR!C233</f>
        <v/>
      </c>
      <c r="G233" s="30">
        <f>[1]FİYATLAR!D233</f>
        <v/>
      </c>
      <c r="H233">
        <f>E233*F233</f>
        <v/>
      </c>
      <c r="I233">
        <f>E233*G233</f>
        <v/>
      </c>
    </row>
    <row r="234">
      <c r="A234" s="29">
        <f>[1]FİYATLAR!A234</f>
        <v/>
      </c>
      <c r="B234" s="29">
        <f>[1]FİYATLAR!B234</f>
        <v/>
      </c>
      <c r="C234" s="35">
        <f>INT(A234)</f>
        <v/>
      </c>
      <c r="D234" s="36">
        <f>MONTH(A234)</f>
        <v/>
      </c>
      <c r="F234" s="30">
        <f>[1]FİYATLAR!C234</f>
        <v/>
      </c>
      <c r="G234" s="30">
        <f>[1]FİYATLAR!D234</f>
        <v/>
      </c>
      <c r="H234">
        <f>E234*F234</f>
        <v/>
      </c>
      <c r="I234">
        <f>E234*G234</f>
        <v/>
      </c>
    </row>
    <row r="235">
      <c r="A235" s="29">
        <f>[1]FİYATLAR!A235</f>
        <v/>
      </c>
      <c r="B235" s="29">
        <f>[1]FİYATLAR!B235</f>
        <v/>
      </c>
      <c r="C235" s="35">
        <f>INT(A235)</f>
        <v/>
      </c>
      <c r="D235" s="36">
        <f>MONTH(A235)</f>
        <v/>
      </c>
      <c r="F235" s="30">
        <f>[1]FİYATLAR!C235</f>
        <v/>
      </c>
      <c r="G235" s="30">
        <f>[1]FİYATLAR!D235</f>
        <v/>
      </c>
      <c r="H235">
        <f>E235*F235</f>
        <v/>
      </c>
      <c r="I235">
        <f>E235*G235</f>
        <v/>
      </c>
    </row>
    <row r="236">
      <c r="A236" s="29">
        <f>[1]FİYATLAR!A236</f>
        <v/>
      </c>
      <c r="B236" s="29">
        <f>[1]FİYATLAR!B236</f>
        <v/>
      </c>
      <c r="C236" s="35">
        <f>INT(A236)</f>
        <v/>
      </c>
      <c r="D236" s="36">
        <f>MONTH(A236)</f>
        <v/>
      </c>
      <c r="F236" s="30">
        <f>[1]FİYATLAR!C236</f>
        <v/>
      </c>
      <c r="G236" s="30">
        <f>[1]FİYATLAR!D236</f>
        <v/>
      </c>
      <c r="H236">
        <f>E236*F236</f>
        <v/>
      </c>
      <c r="I236">
        <f>E236*G236</f>
        <v/>
      </c>
    </row>
    <row r="237">
      <c r="A237" s="29">
        <f>[1]FİYATLAR!A237</f>
        <v/>
      </c>
      <c r="B237" s="29">
        <f>[1]FİYATLAR!B237</f>
        <v/>
      </c>
      <c r="C237" s="35">
        <f>INT(A237)</f>
        <v/>
      </c>
      <c r="D237" s="36">
        <f>MONTH(A237)</f>
        <v/>
      </c>
      <c r="F237" s="30">
        <f>[1]FİYATLAR!C237</f>
        <v/>
      </c>
      <c r="G237" s="30">
        <f>[1]FİYATLAR!D237</f>
        <v/>
      </c>
      <c r="H237">
        <f>E237*F237</f>
        <v/>
      </c>
      <c r="I237">
        <f>E237*G237</f>
        <v/>
      </c>
    </row>
    <row r="238">
      <c r="A238" s="29">
        <f>[1]FİYATLAR!A238</f>
        <v/>
      </c>
      <c r="B238" s="29">
        <f>[1]FİYATLAR!B238</f>
        <v/>
      </c>
      <c r="C238" s="35">
        <f>INT(A238)</f>
        <v/>
      </c>
      <c r="D238" s="36">
        <f>MONTH(A238)</f>
        <v/>
      </c>
      <c r="F238" s="30">
        <f>[1]FİYATLAR!C238</f>
        <v/>
      </c>
      <c r="G238" s="30">
        <f>[1]FİYATLAR!D238</f>
        <v/>
      </c>
      <c r="H238">
        <f>E238*F238</f>
        <v/>
      </c>
      <c r="I238">
        <f>E238*G238</f>
        <v/>
      </c>
    </row>
    <row r="239">
      <c r="A239" s="29">
        <f>[1]FİYATLAR!A239</f>
        <v/>
      </c>
      <c r="B239" s="29">
        <f>[1]FİYATLAR!B239</f>
        <v/>
      </c>
      <c r="C239" s="35">
        <f>INT(A239)</f>
        <v/>
      </c>
      <c r="D239" s="36">
        <f>MONTH(A239)</f>
        <v/>
      </c>
      <c r="F239" s="30">
        <f>[1]FİYATLAR!C239</f>
        <v/>
      </c>
      <c r="G239" s="30">
        <f>[1]FİYATLAR!D239</f>
        <v/>
      </c>
      <c r="H239">
        <f>E239*F239</f>
        <v/>
      </c>
      <c r="I239">
        <f>E239*G239</f>
        <v/>
      </c>
    </row>
    <row r="240">
      <c r="A240" s="29">
        <f>[1]FİYATLAR!A240</f>
        <v/>
      </c>
      <c r="B240" s="29">
        <f>[1]FİYATLAR!B240</f>
        <v/>
      </c>
      <c r="C240" s="35">
        <f>INT(A240)</f>
        <v/>
      </c>
      <c r="D240" s="36">
        <f>MONTH(A240)</f>
        <v/>
      </c>
      <c r="F240" s="30">
        <f>[1]FİYATLAR!C240</f>
        <v/>
      </c>
      <c r="G240" s="30">
        <f>[1]FİYATLAR!D240</f>
        <v/>
      </c>
      <c r="H240">
        <f>E240*F240</f>
        <v/>
      </c>
      <c r="I240">
        <f>E240*G240</f>
        <v/>
      </c>
    </row>
    <row r="241">
      <c r="A241" s="29">
        <f>[1]FİYATLAR!A241</f>
        <v/>
      </c>
      <c r="B241" s="29">
        <f>[1]FİYATLAR!B241</f>
        <v/>
      </c>
      <c r="C241" s="35">
        <f>INT(A241)</f>
        <v/>
      </c>
      <c r="D241" s="36">
        <f>MONTH(A241)</f>
        <v/>
      </c>
      <c r="F241" s="30">
        <f>[1]FİYATLAR!C241</f>
        <v/>
      </c>
      <c r="G241" s="30">
        <f>[1]FİYATLAR!D241</f>
        <v/>
      </c>
      <c r="H241">
        <f>E241*F241</f>
        <v/>
      </c>
      <c r="I241">
        <f>E241*G241</f>
        <v/>
      </c>
    </row>
    <row r="242">
      <c r="A242" s="29">
        <f>[1]FİYATLAR!A242</f>
        <v/>
      </c>
      <c r="B242" s="29">
        <f>[1]FİYATLAR!B242</f>
        <v/>
      </c>
      <c r="C242" s="35">
        <f>INT(A242)</f>
        <v/>
      </c>
      <c r="D242" s="36">
        <f>MONTH(A242)</f>
        <v/>
      </c>
      <c r="F242" s="30">
        <f>[1]FİYATLAR!C242</f>
        <v/>
      </c>
      <c r="G242" s="30">
        <f>[1]FİYATLAR!D242</f>
        <v/>
      </c>
      <c r="H242">
        <f>E242*F242</f>
        <v/>
      </c>
      <c r="I242">
        <f>E242*G242</f>
        <v/>
      </c>
    </row>
    <row r="243">
      <c r="A243" s="29">
        <f>[1]FİYATLAR!A243</f>
        <v/>
      </c>
      <c r="B243" s="29">
        <f>[1]FİYATLAR!B243</f>
        <v/>
      </c>
      <c r="C243" s="35">
        <f>INT(A243)</f>
        <v/>
      </c>
      <c r="D243" s="36">
        <f>MONTH(A243)</f>
        <v/>
      </c>
      <c r="F243" s="30">
        <f>[1]FİYATLAR!C243</f>
        <v/>
      </c>
      <c r="G243" s="30">
        <f>[1]FİYATLAR!D243</f>
        <v/>
      </c>
      <c r="H243">
        <f>E243*F243</f>
        <v/>
      </c>
      <c r="I243">
        <f>E243*G243</f>
        <v/>
      </c>
    </row>
    <row r="244">
      <c r="A244" s="29">
        <f>[1]FİYATLAR!A244</f>
        <v/>
      </c>
      <c r="B244" s="29">
        <f>[1]FİYATLAR!B244</f>
        <v/>
      </c>
      <c r="C244" s="35">
        <f>INT(A244)</f>
        <v/>
      </c>
      <c r="D244" s="36">
        <f>MONTH(A244)</f>
        <v/>
      </c>
      <c r="F244" s="30">
        <f>[1]FİYATLAR!C244</f>
        <v/>
      </c>
      <c r="G244" s="30">
        <f>[1]FİYATLAR!D244</f>
        <v/>
      </c>
      <c r="H244">
        <f>E244*F244</f>
        <v/>
      </c>
      <c r="I244">
        <f>E244*G244</f>
        <v/>
      </c>
    </row>
    <row r="245">
      <c r="A245" s="29">
        <f>[1]FİYATLAR!A245</f>
        <v/>
      </c>
      <c r="B245" s="29">
        <f>[1]FİYATLAR!B245</f>
        <v/>
      </c>
      <c r="C245" s="35">
        <f>INT(A245)</f>
        <v/>
      </c>
      <c r="D245" s="36">
        <f>MONTH(A245)</f>
        <v/>
      </c>
      <c r="F245" s="30">
        <f>[1]FİYATLAR!C245</f>
        <v/>
      </c>
      <c r="G245" s="30">
        <f>[1]FİYATLAR!D245</f>
        <v/>
      </c>
      <c r="H245">
        <f>E245*F245</f>
        <v/>
      </c>
      <c r="I245">
        <f>E245*G245</f>
        <v/>
      </c>
    </row>
    <row r="246">
      <c r="A246" s="29">
        <f>[1]FİYATLAR!A246</f>
        <v/>
      </c>
      <c r="B246" s="29">
        <f>[1]FİYATLAR!B246</f>
        <v/>
      </c>
      <c r="C246" s="35">
        <f>INT(A246)</f>
        <v/>
      </c>
      <c r="D246" s="36">
        <f>MONTH(A246)</f>
        <v/>
      </c>
      <c r="F246" s="30">
        <f>[1]FİYATLAR!C246</f>
        <v/>
      </c>
      <c r="G246" s="30">
        <f>[1]FİYATLAR!D246</f>
        <v/>
      </c>
      <c r="H246">
        <f>E246*F246</f>
        <v/>
      </c>
      <c r="I246">
        <f>E246*G246</f>
        <v/>
      </c>
    </row>
    <row r="247">
      <c r="A247" s="29">
        <f>[1]FİYATLAR!A247</f>
        <v/>
      </c>
      <c r="B247" s="29">
        <f>[1]FİYATLAR!B247</f>
        <v/>
      </c>
      <c r="C247" s="35">
        <f>INT(A247)</f>
        <v/>
      </c>
      <c r="D247" s="36">
        <f>MONTH(A247)</f>
        <v/>
      </c>
      <c r="F247" s="30">
        <f>[1]FİYATLAR!C247</f>
        <v/>
      </c>
      <c r="G247" s="30">
        <f>[1]FİYATLAR!D247</f>
        <v/>
      </c>
      <c r="H247">
        <f>E247*F247</f>
        <v/>
      </c>
      <c r="I247">
        <f>E247*G247</f>
        <v/>
      </c>
    </row>
    <row r="248">
      <c r="A248" s="29">
        <f>[1]FİYATLAR!A248</f>
        <v/>
      </c>
      <c r="B248" s="29">
        <f>[1]FİYATLAR!B248</f>
        <v/>
      </c>
      <c r="C248" s="35">
        <f>INT(A248)</f>
        <v/>
      </c>
      <c r="D248" s="36">
        <f>MONTH(A248)</f>
        <v/>
      </c>
      <c r="F248" s="30">
        <f>[1]FİYATLAR!C248</f>
        <v/>
      </c>
      <c r="G248" s="30">
        <f>[1]FİYATLAR!D248</f>
        <v/>
      </c>
      <c r="H248">
        <f>E248*F248</f>
        <v/>
      </c>
      <c r="I248">
        <f>E248*G248</f>
        <v/>
      </c>
    </row>
    <row r="249">
      <c r="A249" s="29">
        <f>[1]FİYATLAR!A249</f>
        <v/>
      </c>
      <c r="B249" s="29">
        <f>[1]FİYATLAR!B249</f>
        <v/>
      </c>
      <c r="C249" s="35">
        <f>INT(A249)</f>
        <v/>
      </c>
      <c r="D249" s="36">
        <f>MONTH(A249)</f>
        <v/>
      </c>
      <c r="F249" s="30">
        <f>[1]FİYATLAR!C249</f>
        <v/>
      </c>
      <c r="G249" s="30">
        <f>[1]FİYATLAR!D249</f>
        <v/>
      </c>
      <c r="H249">
        <f>E249*F249</f>
        <v/>
      </c>
      <c r="I249">
        <f>E249*G249</f>
        <v/>
      </c>
    </row>
    <row r="250">
      <c r="A250" s="29">
        <f>[1]FİYATLAR!A250</f>
        <v/>
      </c>
      <c r="B250" s="29">
        <f>[1]FİYATLAR!B250</f>
        <v/>
      </c>
      <c r="C250" s="35">
        <f>INT(A250)</f>
        <v/>
      </c>
      <c r="D250" s="36">
        <f>MONTH(A250)</f>
        <v/>
      </c>
      <c r="F250" s="30">
        <f>[1]FİYATLAR!C250</f>
        <v/>
      </c>
      <c r="G250" s="30">
        <f>[1]FİYATLAR!D250</f>
        <v/>
      </c>
      <c r="H250">
        <f>E250*F250</f>
        <v/>
      </c>
      <c r="I250">
        <f>E250*G250</f>
        <v/>
      </c>
    </row>
    <row r="251">
      <c r="A251" s="29">
        <f>[1]FİYATLAR!A251</f>
        <v/>
      </c>
      <c r="B251" s="29">
        <f>[1]FİYATLAR!B251</f>
        <v/>
      </c>
      <c r="C251" s="35">
        <f>INT(A251)</f>
        <v/>
      </c>
      <c r="D251" s="36">
        <f>MONTH(A251)</f>
        <v/>
      </c>
      <c r="F251" s="30">
        <f>[1]FİYATLAR!C251</f>
        <v/>
      </c>
      <c r="G251" s="30">
        <f>[1]FİYATLAR!D251</f>
        <v/>
      </c>
      <c r="H251">
        <f>E251*F251</f>
        <v/>
      </c>
      <c r="I251">
        <f>E251*G251</f>
        <v/>
      </c>
    </row>
    <row r="252">
      <c r="A252" s="29">
        <f>[1]FİYATLAR!A252</f>
        <v/>
      </c>
      <c r="B252" s="29">
        <f>[1]FİYATLAR!B252</f>
        <v/>
      </c>
      <c r="C252" s="35">
        <f>INT(A252)</f>
        <v/>
      </c>
      <c r="D252" s="36">
        <f>MONTH(A252)</f>
        <v/>
      </c>
      <c r="F252" s="30">
        <f>[1]FİYATLAR!C252</f>
        <v/>
      </c>
      <c r="G252" s="30">
        <f>[1]FİYATLAR!D252</f>
        <v/>
      </c>
      <c r="H252">
        <f>E252*F252</f>
        <v/>
      </c>
      <c r="I252">
        <f>E252*G252</f>
        <v/>
      </c>
    </row>
    <row r="253">
      <c r="A253" s="29">
        <f>[1]FİYATLAR!A253</f>
        <v/>
      </c>
      <c r="B253" s="29">
        <f>[1]FİYATLAR!B253</f>
        <v/>
      </c>
      <c r="C253" s="35">
        <f>INT(A253)</f>
        <v/>
      </c>
      <c r="D253" s="36">
        <f>MONTH(A253)</f>
        <v/>
      </c>
      <c r="F253" s="30">
        <f>[1]FİYATLAR!C253</f>
        <v/>
      </c>
      <c r="G253" s="30">
        <f>[1]FİYATLAR!D253</f>
        <v/>
      </c>
      <c r="H253">
        <f>E253*F253</f>
        <v/>
      </c>
      <c r="I253">
        <f>E253*G253</f>
        <v/>
      </c>
    </row>
    <row r="254">
      <c r="A254" s="29">
        <f>[1]FİYATLAR!A254</f>
        <v/>
      </c>
      <c r="B254" s="29">
        <f>[1]FİYATLAR!B254</f>
        <v/>
      </c>
      <c r="C254" s="35">
        <f>INT(A254)</f>
        <v/>
      </c>
      <c r="D254" s="36">
        <f>MONTH(A254)</f>
        <v/>
      </c>
      <c r="F254" s="30">
        <f>[1]FİYATLAR!C254</f>
        <v/>
      </c>
      <c r="G254" s="30">
        <f>[1]FİYATLAR!D254</f>
        <v/>
      </c>
      <c r="H254">
        <f>E254*F254</f>
        <v/>
      </c>
      <c r="I254">
        <f>E254*G254</f>
        <v/>
      </c>
    </row>
    <row r="255">
      <c r="A255" s="29">
        <f>[1]FİYATLAR!A255</f>
        <v/>
      </c>
      <c r="B255" s="29">
        <f>[1]FİYATLAR!B255</f>
        <v/>
      </c>
      <c r="C255" s="35">
        <f>INT(A255)</f>
        <v/>
      </c>
      <c r="D255" s="36">
        <f>MONTH(A255)</f>
        <v/>
      </c>
      <c r="F255" s="30">
        <f>[1]FİYATLAR!C255</f>
        <v/>
      </c>
      <c r="G255" s="30">
        <f>[1]FİYATLAR!D255</f>
        <v/>
      </c>
      <c r="H255">
        <f>E255*F255</f>
        <v/>
      </c>
      <c r="I255">
        <f>E255*G255</f>
        <v/>
      </c>
    </row>
    <row r="256">
      <c r="A256" s="29">
        <f>[1]FİYATLAR!A256</f>
        <v/>
      </c>
      <c r="B256" s="29">
        <f>[1]FİYATLAR!B256</f>
        <v/>
      </c>
      <c r="C256" s="35">
        <f>INT(A256)</f>
        <v/>
      </c>
      <c r="D256" s="36">
        <f>MONTH(A256)</f>
        <v/>
      </c>
      <c r="F256" s="30">
        <f>[1]FİYATLAR!C256</f>
        <v/>
      </c>
      <c r="G256" s="30">
        <f>[1]FİYATLAR!D256</f>
        <v/>
      </c>
      <c r="H256">
        <f>E256*F256</f>
        <v/>
      </c>
      <c r="I256">
        <f>E256*G256</f>
        <v/>
      </c>
    </row>
    <row r="257">
      <c r="A257" s="29">
        <f>[1]FİYATLAR!A257</f>
        <v/>
      </c>
      <c r="B257" s="29">
        <f>[1]FİYATLAR!B257</f>
        <v/>
      </c>
      <c r="C257" s="35">
        <f>INT(A257)</f>
        <v/>
      </c>
      <c r="D257" s="36">
        <f>MONTH(A257)</f>
        <v/>
      </c>
      <c r="F257" s="30">
        <f>[1]FİYATLAR!C257</f>
        <v/>
      </c>
      <c r="G257" s="30">
        <f>[1]FİYATLAR!D257</f>
        <v/>
      </c>
      <c r="H257">
        <f>E257*F257</f>
        <v/>
      </c>
      <c r="I257">
        <f>E257*G257</f>
        <v/>
      </c>
    </row>
    <row r="258">
      <c r="A258" s="29">
        <f>[1]FİYATLAR!A258</f>
        <v/>
      </c>
      <c r="B258" s="29">
        <f>[1]FİYATLAR!B258</f>
        <v/>
      </c>
      <c r="C258" s="35">
        <f>INT(A258)</f>
        <v/>
      </c>
      <c r="D258" s="36">
        <f>MONTH(A258)</f>
        <v/>
      </c>
      <c r="F258" s="30">
        <f>[1]FİYATLAR!C258</f>
        <v/>
      </c>
      <c r="G258" s="30">
        <f>[1]FİYATLAR!D258</f>
        <v/>
      </c>
      <c r="H258">
        <f>E258*F258</f>
        <v/>
      </c>
      <c r="I258">
        <f>E258*G258</f>
        <v/>
      </c>
    </row>
    <row r="259">
      <c r="A259" s="29">
        <f>[1]FİYATLAR!A259</f>
        <v/>
      </c>
      <c r="B259" s="29">
        <f>[1]FİYATLAR!B259</f>
        <v/>
      </c>
      <c r="C259" s="35">
        <f>INT(A259)</f>
        <v/>
      </c>
      <c r="D259" s="36">
        <f>MONTH(A259)</f>
        <v/>
      </c>
      <c r="F259" s="30">
        <f>[1]FİYATLAR!C259</f>
        <v/>
      </c>
      <c r="G259" s="30">
        <f>[1]FİYATLAR!D259</f>
        <v/>
      </c>
      <c r="H259">
        <f>E259*F259</f>
        <v/>
      </c>
      <c r="I259">
        <f>E259*G259</f>
        <v/>
      </c>
    </row>
    <row r="260">
      <c r="A260" s="29">
        <f>[1]FİYATLAR!A260</f>
        <v/>
      </c>
      <c r="B260" s="29">
        <f>[1]FİYATLAR!B260</f>
        <v/>
      </c>
      <c r="C260" s="35">
        <f>INT(A260)</f>
        <v/>
      </c>
      <c r="D260" s="36">
        <f>MONTH(A260)</f>
        <v/>
      </c>
      <c r="F260" s="30">
        <f>[1]FİYATLAR!C260</f>
        <v/>
      </c>
      <c r="G260" s="30">
        <f>[1]FİYATLAR!D260</f>
        <v/>
      </c>
      <c r="H260">
        <f>E260*F260</f>
        <v/>
      </c>
      <c r="I260">
        <f>E260*G260</f>
        <v/>
      </c>
    </row>
    <row r="261">
      <c r="A261" s="29">
        <f>[1]FİYATLAR!A261</f>
        <v/>
      </c>
      <c r="B261" s="29">
        <f>[1]FİYATLAR!B261</f>
        <v/>
      </c>
      <c r="C261" s="35">
        <f>INT(A261)</f>
        <v/>
      </c>
      <c r="D261" s="36">
        <f>MONTH(A261)</f>
        <v/>
      </c>
      <c r="F261" s="30">
        <f>[1]FİYATLAR!C261</f>
        <v/>
      </c>
      <c r="G261" s="30">
        <f>[1]FİYATLAR!D261</f>
        <v/>
      </c>
      <c r="H261">
        <f>E261*F261</f>
        <v/>
      </c>
      <c r="I261">
        <f>E261*G261</f>
        <v/>
      </c>
    </row>
    <row r="262">
      <c r="A262" s="29">
        <f>[1]FİYATLAR!A262</f>
        <v/>
      </c>
      <c r="B262" s="29">
        <f>[1]FİYATLAR!B262</f>
        <v/>
      </c>
      <c r="C262" s="35">
        <f>INT(A262)</f>
        <v/>
      </c>
      <c r="D262" s="36">
        <f>MONTH(A262)</f>
        <v/>
      </c>
      <c r="F262" s="30">
        <f>[1]FİYATLAR!C262</f>
        <v/>
      </c>
      <c r="G262" s="30">
        <f>[1]FİYATLAR!D262</f>
        <v/>
      </c>
      <c r="H262">
        <f>E262*F262</f>
        <v/>
      </c>
      <c r="I262">
        <f>E262*G262</f>
        <v/>
      </c>
    </row>
    <row r="263">
      <c r="A263" s="29">
        <f>[1]FİYATLAR!A263</f>
        <v/>
      </c>
      <c r="B263" s="29">
        <f>[1]FİYATLAR!B263</f>
        <v/>
      </c>
      <c r="C263" s="35">
        <f>INT(A263)</f>
        <v/>
      </c>
      <c r="D263" s="36">
        <f>MONTH(A263)</f>
        <v/>
      </c>
      <c r="F263" s="30">
        <f>[1]FİYATLAR!C263</f>
        <v/>
      </c>
      <c r="G263" s="30">
        <f>[1]FİYATLAR!D263</f>
        <v/>
      </c>
      <c r="H263">
        <f>E263*F263</f>
        <v/>
      </c>
      <c r="I263">
        <f>E263*G263</f>
        <v/>
      </c>
    </row>
    <row r="264">
      <c r="A264" s="29">
        <f>[1]FİYATLAR!A264</f>
        <v/>
      </c>
      <c r="B264" s="29">
        <f>[1]FİYATLAR!B264</f>
        <v/>
      </c>
      <c r="C264" s="35">
        <f>INT(A264)</f>
        <v/>
      </c>
      <c r="D264" s="36">
        <f>MONTH(A264)</f>
        <v/>
      </c>
      <c r="F264" s="30">
        <f>[1]FİYATLAR!C264</f>
        <v/>
      </c>
      <c r="G264" s="30">
        <f>[1]FİYATLAR!D264</f>
        <v/>
      </c>
      <c r="H264">
        <f>E264*F264</f>
        <v/>
      </c>
      <c r="I264">
        <f>E264*G264</f>
        <v/>
      </c>
    </row>
    <row r="265">
      <c r="A265" s="29">
        <f>[1]FİYATLAR!A265</f>
        <v/>
      </c>
      <c r="B265" s="29">
        <f>[1]FİYATLAR!B265</f>
        <v/>
      </c>
      <c r="C265" s="35">
        <f>INT(A265)</f>
        <v/>
      </c>
      <c r="D265" s="36">
        <f>MONTH(A265)</f>
        <v/>
      </c>
      <c r="F265" s="30">
        <f>[1]FİYATLAR!C265</f>
        <v/>
      </c>
      <c r="G265" s="30">
        <f>[1]FİYATLAR!D265</f>
        <v/>
      </c>
      <c r="H265">
        <f>E265*F265</f>
        <v/>
      </c>
      <c r="I265">
        <f>E265*G265</f>
        <v/>
      </c>
    </row>
    <row r="266">
      <c r="A266" s="29">
        <f>[1]FİYATLAR!A266</f>
        <v/>
      </c>
      <c r="B266" s="29">
        <f>[1]FİYATLAR!B266</f>
        <v/>
      </c>
      <c r="C266" s="35">
        <f>INT(A266)</f>
        <v/>
      </c>
      <c r="D266" s="36">
        <f>MONTH(A266)</f>
        <v/>
      </c>
      <c r="F266" s="30">
        <f>[1]FİYATLAR!C266</f>
        <v/>
      </c>
      <c r="G266" s="30">
        <f>[1]FİYATLAR!D266</f>
        <v/>
      </c>
      <c r="H266">
        <f>E266*F266</f>
        <v/>
      </c>
      <c r="I266">
        <f>E266*G266</f>
        <v/>
      </c>
    </row>
    <row r="267">
      <c r="A267" s="29">
        <f>[1]FİYATLAR!A267</f>
        <v/>
      </c>
      <c r="B267" s="29">
        <f>[1]FİYATLAR!B267</f>
        <v/>
      </c>
      <c r="C267" s="35">
        <f>INT(A267)</f>
        <v/>
      </c>
      <c r="D267" s="36">
        <f>MONTH(A267)</f>
        <v/>
      </c>
      <c r="F267" s="30">
        <f>[1]FİYATLAR!C267</f>
        <v/>
      </c>
      <c r="G267" s="30">
        <f>[1]FİYATLAR!D267</f>
        <v/>
      </c>
      <c r="H267">
        <f>E267*F267</f>
        <v/>
      </c>
      <c r="I267">
        <f>E267*G267</f>
        <v/>
      </c>
    </row>
    <row r="268">
      <c r="A268" s="29">
        <f>[1]FİYATLAR!A268</f>
        <v/>
      </c>
      <c r="B268" s="29">
        <f>[1]FİYATLAR!B268</f>
        <v/>
      </c>
      <c r="C268" s="35">
        <f>INT(A268)</f>
        <v/>
      </c>
      <c r="D268" s="36">
        <f>MONTH(A268)</f>
        <v/>
      </c>
      <c r="F268" s="30">
        <f>[1]FİYATLAR!C268</f>
        <v/>
      </c>
      <c r="G268" s="30">
        <f>[1]FİYATLAR!D268</f>
        <v/>
      </c>
      <c r="H268">
        <f>E268*F268</f>
        <v/>
      </c>
      <c r="I268">
        <f>E268*G268</f>
        <v/>
      </c>
    </row>
    <row r="269">
      <c r="A269" s="29">
        <f>[1]FİYATLAR!A269</f>
        <v/>
      </c>
      <c r="B269" s="29">
        <f>[1]FİYATLAR!B269</f>
        <v/>
      </c>
      <c r="C269" s="35">
        <f>INT(A269)</f>
        <v/>
      </c>
      <c r="D269" s="36">
        <f>MONTH(A269)</f>
        <v/>
      </c>
      <c r="F269" s="30">
        <f>[1]FİYATLAR!C269</f>
        <v/>
      </c>
      <c r="G269" s="30">
        <f>[1]FİYATLAR!D269</f>
        <v/>
      </c>
      <c r="H269">
        <f>E269*F269</f>
        <v/>
      </c>
      <c r="I269">
        <f>E269*G269</f>
        <v/>
      </c>
    </row>
    <row r="270">
      <c r="A270" s="29">
        <f>[1]FİYATLAR!A270</f>
        <v/>
      </c>
      <c r="B270" s="29">
        <f>[1]FİYATLAR!B270</f>
        <v/>
      </c>
      <c r="C270" s="35">
        <f>INT(A270)</f>
        <v/>
      </c>
      <c r="D270" s="36">
        <f>MONTH(A270)</f>
        <v/>
      </c>
      <c r="F270" s="30">
        <f>[1]FİYATLAR!C270</f>
        <v/>
      </c>
      <c r="G270" s="30">
        <f>[1]FİYATLAR!D270</f>
        <v/>
      </c>
      <c r="H270">
        <f>E270*F270</f>
        <v/>
      </c>
      <c r="I270">
        <f>E270*G270</f>
        <v/>
      </c>
    </row>
    <row r="271">
      <c r="A271" s="29">
        <f>[1]FİYATLAR!A271</f>
        <v/>
      </c>
      <c r="B271" s="29">
        <f>[1]FİYATLAR!B271</f>
        <v/>
      </c>
      <c r="C271" s="35">
        <f>INT(A271)</f>
        <v/>
      </c>
      <c r="D271" s="36">
        <f>MONTH(A271)</f>
        <v/>
      </c>
      <c r="F271" s="30">
        <f>[1]FİYATLAR!C271</f>
        <v/>
      </c>
      <c r="G271" s="30">
        <f>[1]FİYATLAR!D271</f>
        <v/>
      </c>
      <c r="H271">
        <f>E271*F271</f>
        <v/>
      </c>
      <c r="I271">
        <f>E271*G271</f>
        <v/>
      </c>
    </row>
    <row r="272">
      <c r="A272" s="29">
        <f>[1]FİYATLAR!A272</f>
        <v/>
      </c>
      <c r="B272" s="29">
        <f>[1]FİYATLAR!B272</f>
        <v/>
      </c>
      <c r="C272" s="35">
        <f>INT(A272)</f>
        <v/>
      </c>
      <c r="D272" s="36">
        <f>MONTH(A272)</f>
        <v/>
      </c>
      <c r="F272" s="30">
        <f>[1]FİYATLAR!C272</f>
        <v/>
      </c>
      <c r="G272" s="30">
        <f>[1]FİYATLAR!D272</f>
        <v/>
      </c>
      <c r="H272">
        <f>E272*F272</f>
        <v/>
      </c>
      <c r="I272">
        <f>E272*G272</f>
        <v/>
      </c>
    </row>
    <row r="273">
      <c r="A273" s="29">
        <f>[1]FİYATLAR!A273</f>
        <v/>
      </c>
      <c r="B273" s="29">
        <f>[1]FİYATLAR!B273</f>
        <v/>
      </c>
      <c r="C273" s="35">
        <f>INT(A273)</f>
        <v/>
      </c>
      <c r="D273" s="36">
        <f>MONTH(A273)</f>
        <v/>
      </c>
      <c r="F273" s="30">
        <f>[1]FİYATLAR!C273</f>
        <v/>
      </c>
      <c r="G273" s="30">
        <f>[1]FİYATLAR!D273</f>
        <v/>
      </c>
      <c r="H273">
        <f>E273*F273</f>
        <v/>
      </c>
      <c r="I273">
        <f>E273*G273</f>
        <v/>
      </c>
    </row>
    <row r="274">
      <c r="A274" s="29">
        <f>[1]FİYATLAR!A274</f>
        <v/>
      </c>
      <c r="B274" s="29">
        <f>[1]FİYATLAR!B274</f>
        <v/>
      </c>
      <c r="C274" s="35">
        <f>INT(A274)</f>
        <v/>
      </c>
      <c r="D274" s="36">
        <f>MONTH(A274)</f>
        <v/>
      </c>
      <c r="F274" s="30">
        <f>[1]FİYATLAR!C274</f>
        <v/>
      </c>
      <c r="G274" s="30">
        <f>[1]FİYATLAR!D274</f>
        <v/>
      </c>
      <c r="H274">
        <f>E274*F274</f>
        <v/>
      </c>
      <c r="I274">
        <f>E274*G274</f>
        <v/>
      </c>
    </row>
    <row r="275">
      <c r="A275" s="29">
        <f>[1]FİYATLAR!A275</f>
        <v/>
      </c>
      <c r="B275" s="29">
        <f>[1]FİYATLAR!B275</f>
        <v/>
      </c>
      <c r="C275" s="35">
        <f>INT(A275)</f>
        <v/>
      </c>
      <c r="D275" s="36">
        <f>MONTH(A275)</f>
        <v/>
      </c>
      <c r="F275" s="30">
        <f>[1]FİYATLAR!C275</f>
        <v/>
      </c>
      <c r="G275" s="30">
        <f>[1]FİYATLAR!D275</f>
        <v/>
      </c>
      <c r="H275">
        <f>E275*F275</f>
        <v/>
      </c>
      <c r="I275">
        <f>E275*G275</f>
        <v/>
      </c>
    </row>
    <row r="276">
      <c r="A276" s="29">
        <f>[1]FİYATLAR!A276</f>
        <v/>
      </c>
      <c r="B276" s="29">
        <f>[1]FİYATLAR!B276</f>
        <v/>
      </c>
      <c r="C276" s="35">
        <f>INT(A276)</f>
        <v/>
      </c>
      <c r="D276" s="36">
        <f>MONTH(A276)</f>
        <v/>
      </c>
      <c r="F276" s="30">
        <f>[1]FİYATLAR!C276</f>
        <v/>
      </c>
      <c r="G276" s="30">
        <f>[1]FİYATLAR!D276</f>
        <v/>
      </c>
      <c r="H276">
        <f>E276*F276</f>
        <v/>
      </c>
      <c r="I276">
        <f>E276*G276</f>
        <v/>
      </c>
    </row>
    <row r="277">
      <c r="A277" s="29">
        <f>[1]FİYATLAR!A277</f>
        <v/>
      </c>
      <c r="B277" s="29">
        <f>[1]FİYATLAR!B277</f>
        <v/>
      </c>
      <c r="C277" s="35">
        <f>INT(A277)</f>
        <v/>
      </c>
      <c r="D277" s="36">
        <f>MONTH(A277)</f>
        <v/>
      </c>
      <c r="F277" s="30">
        <f>[1]FİYATLAR!C277</f>
        <v/>
      </c>
      <c r="G277" s="30">
        <f>[1]FİYATLAR!D277</f>
        <v/>
      </c>
      <c r="H277">
        <f>E277*F277</f>
        <v/>
      </c>
      <c r="I277">
        <f>E277*G277</f>
        <v/>
      </c>
    </row>
    <row r="278">
      <c r="A278" s="29">
        <f>[1]FİYATLAR!A278</f>
        <v/>
      </c>
      <c r="B278" s="29">
        <f>[1]FİYATLAR!B278</f>
        <v/>
      </c>
      <c r="C278" s="35">
        <f>INT(A278)</f>
        <v/>
      </c>
      <c r="D278" s="36">
        <f>MONTH(A278)</f>
        <v/>
      </c>
      <c r="F278" s="30">
        <f>[1]FİYATLAR!C278</f>
        <v/>
      </c>
      <c r="G278" s="30">
        <f>[1]FİYATLAR!D278</f>
        <v/>
      </c>
      <c r="H278">
        <f>E278*F278</f>
        <v/>
      </c>
      <c r="I278">
        <f>E278*G278</f>
        <v/>
      </c>
    </row>
    <row r="279">
      <c r="A279" s="29">
        <f>[1]FİYATLAR!A279</f>
        <v/>
      </c>
      <c r="B279" s="29">
        <f>[1]FİYATLAR!B279</f>
        <v/>
      </c>
      <c r="C279" s="35">
        <f>INT(A279)</f>
        <v/>
      </c>
      <c r="D279" s="36">
        <f>MONTH(A279)</f>
        <v/>
      </c>
      <c r="F279" s="30">
        <f>[1]FİYATLAR!C279</f>
        <v/>
      </c>
      <c r="G279" s="30">
        <f>[1]FİYATLAR!D279</f>
        <v/>
      </c>
      <c r="H279">
        <f>E279*F279</f>
        <v/>
      </c>
      <c r="I279">
        <f>E279*G279</f>
        <v/>
      </c>
    </row>
    <row r="280">
      <c r="A280" s="29">
        <f>[1]FİYATLAR!A280</f>
        <v/>
      </c>
      <c r="B280" s="29">
        <f>[1]FİYATLAR!B280</f>
        <v/>
      </c>
      <c r="C280" s="35">
        <f>INT(A280)</f>
        <v/>
      </c>
      <c r="D280" s="36">
        <f>MONTH(A280)</f>
        <v/>
      </c>
      <c r="F280" s="30">
        <f>[1]FİYATLAR!C280</f>
        <v/>
      </c>
      <c r="G280" s="30">
        <f>[1]FİYATLAR!D280</f>
        <v/>
      </c>
      <c r="H280">
        <f>E280*F280</f>
        <v/>
      </c>
      <c r="I280">
        <f>E280*G280</f>
        <v/>
      </c>
    </row>
    <row r="281">
      <c r="A281" s="29">
        <f>[1]FİYATLAR!A281</f>
        <v/>
      </c>
      <c r="B281" s="29">
        <f>[1]FİYATLAR!B281</f>
        <v/>
      </c>
      <c r="C281" s="35">
        <f>INT(A281)</f>
        <v/>
      </c>
      <c r="D281" s="36">
        <f>MONTH(A281)</f>
        <v/>
      </c>
      <c r="F281" s="30">
        <f>[1]FİYATLAR!C281</f>
        <v/>
      </c>
      <c r="G281" s="30">
        <f>[1]FİYATLAR!D281</f>
        <v/>
      </c>
      <c r="H281">
        <f>E281*F281</f>
        <v/>
      </c>
      <c r="I281">
        <f>E281*G281</f>
        <v/>
      </c>
    </row>
    <row r="282">
      <c r="A282" s="29">
        <f>[1]FİYATLAR!A282</f>
        <v/>
      </c>
      <c r="B282" s="29">
        <f>[1]FİYATLAR!B282</f>
        <v/>
      </c>
      <c r="C282" s="35">
        <f>INT(A282)</f>
        <v/>
      </c>
      <c r="D282" s="36">
        <f>MONTH(A282)</f>
        <v/>
      </c>
      <c r="F282" s="30">
        <f>[1]FİYATLAR!C282</f>
        <v/>
      </c>
      <c r="G282" s="30">
        <f>[1]FİYATLAR!D282</f>
        <v/>
      </c>
      <c r="H282">
        <f>E282*F282</f>
        <v/>
      </c>
      <c r="I282">
        <f>E282*G282</f>
        <v/>
      </c>
    </row>
    <row r="283">
      <c r="A283" s="29">
        <f>[1]FİYATLAR!A283</f>
        <v/>
      </c>
      <c r="B283" s="29">
        <f>[1]FİYATLAR!B283</f>
        <v/>
      </c>
      <c r="C283" s="35">
        <f>INT(A283)</f>
        <v/>
      </c>
      <c r="D283" s="36">
        <f>MONTH(A283)</f>
        <v/>
      </c>
      <c r="F283" s="30">
        <f>[1]FİYATLAR!C283</f>
        <v/>
      </c>
      <c r="G283" s="30">
        <f>[1]FİYATLAR!D283</f>
        <v/>
      </c>
      <c r="H283">
        <f>E283*F283</f>
        <v/>
      </c>
      <c r="I283">
        <f>E283*G283</f>
        <v/>
      </c>
    </row>
    <row r="284">
      <c r="A284" s="29">
        <f>[1]FİYATLAR!A284</f>
        <v/>
      </c>
      <c r="B284" s="29">
        <f>[1]FİYATLAR!B284</f>
        <v/>
      </c>
      <c r="C284" s="35">
        <f>INT(A284)</f>
        <v/>
      </c>
      <c r="D284" s="36">
        <f>MONTH(A284)</f>
        <v/>
      </c>
      <c r="F284" s="30">
        <f>[1]FİYATLAR!C284</f>
        <v/>
      </c>
      <c r="G284" s="30">
        <f>[1]FİYATLAR!D284</f>
        <v/>
      </c>
      <c r="H284">
        <f>E284*F284</f>
        <v/>
      </c>
      <c r="I284">
        <f>E284*G284</f>
        <v/>
      </c>
    </row>
    <row r="285">
      <c r="A285" s="29">
        <f>[1]FİYATLAR!A285</f>
        <v/>
      </c>
      <c r="B285" s="29">
        <f>[1]FİYATLAR!B285</f>
        <v/>
      </c>
      <c r="C285" s="35">
        <f>INT(A285)</f>
        <v/>
      </c>
      <c r="D285" s="36">
        <f>MONTH(A285)</f>
        <v/>
      </c>
      <c r="F285" s="30">
        <f>[1]FİYATLAR!C285</f>
        <v/>
      </c>
      <c r="G285" s="30">
        <f>[1]FİYATLAR!D285</f>
        <v/>
      </c>
      <c r="H285">
        <f>E285*F285</f>
        <v/>
      </c>
      <c r="I285">
        <f>E285*G285</f>
        <v/>
      </c>
    </row>
    <row r="286">
      <c r="A286" s="29">
        <f>[1]FİYATLAR!A286</f>
        <v/>
      </c>
      <c r="B286" s="29">
        <f>[1]FİYATLAR!B286</f>
        <v/>
      </c>
      <c r="C286" s="35">
        <f>INT(A286)</f>
        <v/>
      </c>
      <c r="D286" s="36">
        <f>MONTH(A286)</f>
        <v/>
      </c>
      <c r="F286" s="30">
        <f>[1]FİYATLAR!C286</f>
        <v/>
      </c>
      <c r="G286" s="30">
        <f>[1]FİYATLAR!D286</f>
        <v/>
      </c>
      <c r="H286">
        <f>E286*F286</f>
        <v/>
      </c>
      <c r="I286">
        <f>E286*G286</f>
        <v/>
      </c>
    </row>
    <row r="287">
      <c r="A287" s="29">
        <f>[1]FİYATLAR!A287</f>
        <v/>
      </c>
      <c r="B287" s="29">
        <f>[1]FİYATLAR!B287</f>
        <v/>
      </c>
      <c r="C287" s="35">
        <f>INT(A287)</f>
        <v/>
      </c>
      <c r="D287" s="36">
        <f>MONTH(A287)</f>
        <v/>
      </c>
      <c r="F287" s="30">
        <f>[1]FİYATLAR!C287</f>
        <v/>
      </c>
      <c r="G287" s="30">
        <f>[1]FİYATLAR!D287</f>
        <v/>
      </c>
      <c r="H287">
        <f>E287*F287</f>
        <v/>
      </c>
      <c r="I287">
        <f>E287*G287</f>
        <v/>
      </c>
    </row>
    <row r="288">
      <c r="A288" s="29">
        <f>[1]FİYATLAR!A288</f>
        <v/>
      </c>
      <c r="B288" s="29">
        <f>[1]FİYATLAR!B288</f>
        <v/>
      </c>
      <c r="C288" s="35">
        <f>INT(A288)</f>
        <v/>
      </c>
      <c r="D288" s="36">
        <f>MONTH(A288)</f>
        <v/>
      </c>
      <c r="F288" s="30">
        <f>[1]FİYATLAR!C288</f>
        <v/>
      </c>
      <c r="G288" s="30">
        <f>[1]FİYATLAR!D288</f>
        <v/>
      </c>
      <c r="H288">
        <f>E288*F288</f>
        <v/>
      </c>
      <c r="I288">
        <f>E288*G288</f>
        <v/>
      </c>
    </row>
    <row r="289">
      <c r="A289" s="29">
        <f>[1]FİYATLAR!A289</f>
        <v/>
      </c>
      <c r="B289" s="29">
        <f>[1]FİYATLAR!B289</f>
        <v/>
      </c>
      <c r="C289" s="35">
        <f>INT(A289)</f>
        <v/>
      </c>
      <c r="D289" s="36">
        <f>MONTH(A289)</f>
        <v/>
      </c>
      <c r="F289" s="30">
        <f>[1]FİYATLAR!C289</f>
        <v/>
      </c>
      <c r="G289" s="30">
        <f>[1]FİYATLAR!D289</f>
        <v/>
      </c>
      <c r="H289">
        <f>E289*F289</f>
        <v/>
      </c>
      <c r="I289">
        <f>E289*G289</f>
        <v/>
      </c>
    </row>
    <row r="290">
      <c r="A290" s="29">
        <f>[1]FİYATLAR!A290</f>
        <v/>
      </c>
      <c r="B290" s="29">
        <f>[1]FİYATLAR!B290</f>
        <v/>
      </c>
      <c r="C290" s="35">
        <f>INT(A290)</f>
        <v/>
      </c>
      <c r="D290" s="36">
        <f>MONTH(A290)</f>
        <v/>
      </c>
      <c r="F290" s="30">
        <f>[1]FİYATLAR!C290</f>
        <v/>
      </c>
      <c r="G290" s="30">
        <f>[1]FİYATLAR!D290</f>
        <v/>
      </c>
      <c r="H290">
        <f>E290*F290</f>
        <v/>
      </c>
      <c r="I290">
        <f>E290*G290</f>
        <v/>
      </c>
    </row>
    <row r="291">
      <c r="A291" s="29">
        <f>[1]FİYATLAR!A291</f>
        <v/>
      </c>
      <c r="B291" s="29">
        <f>[1]FİYATLAR!B291</f>
        <v/>
      </c>
      <c r="C291" s="35">
        <f>INT(A291)</f>
        <v/>
      </c>
      <c r="D291" s="36">
        <f>MONTH(A291)</f>
        <v/>
      </c>
      <c r="F291" s="30">
        <f>[1]FİYATLAR!C291</f>
        <v/>
      </c>
      <c r="G291" s="30">
        <f>[1]FİYATLAR!D291</f>
        <v/>
      </c>
      <c r="H291">
        <f>E291*F291</f>
        <v/>
      </c>
      <c r="I291">
        <f>E291*G291</f>
        <v/>
      </c>
    </row>
    <row r="292">
      <c r="A292" s="29">
        <f>[1]FİYATLAR!A292</f>
        <v/>
      </c>
      <c r="B292" s="29">
        <f>[1]FİYATLAR!B292</f>
        <v/>
      </c>
      <c r="C292" s="35">
        <f>INT(A292)</f>
        <v/>
      </c>
      <c r="D292" s="36">
        <f>MONTH(A292)</f>
        <v/>
      </c>
      <c r="F292" s="30">
        <f>[1]FİYATLAR!C292</f>
        <v/>
      </c>
      <c r="G292" s="30">
        <f>[1]FİYATLAR!D292</f>
        <v/>
      </c>
      <c r="H292">
        <f>E292*F292</f>
        <v/>
      </c>
      <c r="I292">
        <f>E292*G292</f>
        <v/>
      </c>
    </row>
    <row r="293">
      <c r="A293" s="29">
        <f>[1]FİYATLAR!A293</f>
        <v/>
      </c>
      <c r="B293" s="29">
        <f>[1]FİYATLAR!B293</f>
        <v/>
      </c>
      <c r="C293" s="35">
        <f>INT(A293)</f>
        <v/>
      </c>
      <c r="D293" s="36">
        <f>MONTH(A293)</f>
        <v/>
      </c>
      <c r="F293" s="30">
        <f>[1]FİYATLAR!C293</f>
        <v/>
      </c>
      <c r="G293" s="30">
        <f>[1]FİYATLAR!D293</f>
        <v/>
      </c>
      <c r="H293">
        <f>E293*F293</f>
        <v/>
      </c>
      <c r="I293">
        <f>E293*G293</f>
        <v/>
      </c>
    </row>
    <row r="294">
      <c r="A294" s="29">
        <f>[1]FİYATLAR!A294</f>
        <v/>
      </c>
      <c r="B294" s="29">
        <f>[1]FİYATLAR!B294</f>
        <v/>
      </c>
      <c r="C294" s="35">
        <f>INT(A294)</f>
        <v/>
      </c>
      <c r="D294" s="36">
        <f>MONTH(A294)</f>
        <v/>
      </c>
      <c r="F294" s="30">
        <f>[1]FİYATLAR!C294</f>
        <v/>
      </c>
      <c r="G294" s="30">
        <f>[1]FİYATLAR!D294</f>
        <v/>
      </c>
      <c r="H294">
        <f>E294*F294</f>
        <v/>
      </c>
      <c r="I294">
        <f>E294*G294</f>
        <v/>
      </c>
    </row>
    <row r="295">
      <c r="A295" s="29">
        <f>[1]FİYATLAR!A295</f>
        <v/>
      </c>
      <c r="B295" s="29">
        <f>[1]FİYATLAR!B295</f>
        <v/>
      </c>
      <c r="C295" s="35">
        <f>INT(A295)</f>
        <v/>
      </c>
      <c r="D295" s="36">
        <f>MONTH(A295)</f>
        <v/>
      </c>
      <c r="F295" s="30">
        <f>[1]FİYATLAR!C295</f>
        <v/>
      </c>
      <c r="G295" s="30">
        <f>[1]FİYATLAR!D295</f>
        <v/>
      </c>
      <c r="H295">
        <f>E295*F295</f>
        <v/>
      </c>
      <c r="I295">
        <f>E295*G295</f>
        <v/>
      </c>
    </row>
    <row r="296">
      <c r="A296" s="29">
        <f>[1]FİYATLAR!A296</f>
        <v/>
      </c>
      <c r="B296" s="29">
        <f>[1]FİYATLAR!B296</f>
        <v/>
      </c>
      <c r="C296" s="35">
        <f>INT(A296)</f>
        <v/>
      </c>
      <c r="D296" s="36">
        <f>MONTH(A296)</f>
        <v/>
      </c>
      <c r="F296" s="30">
        <f>[1]FİYATLAR!C296</f>
        <v/>
      </c>
      <c r="G296" s="30">
        <f>[1]FİYATLAR!D296</f>
        <v/>
      </c>
      <c r="H296">
        <f>E296*F296</f>
        <v/>
      </c>
      <c r="I296">
        <f>E296*G296</f>
        <v/>
      </c>
    </row>
    <row r="297">
      <c r="A297" s="29">
        <f>[1]FİYATLAR!A297</f>
        <v/>
      </c>
      <c r="B297" s="29">
        <f>[1]FİYATLAR!B297</f>
        <v/>
      </c>
      <c r="C297" s="35">
        <f>INT(A297)</f>
        <v/>
      </c>
      <c r="D297" s="36">
        <f>MONTH(A297)</f>
        <v/>
      </c>
      <c r="F297" s="30">
        <f>[1]FİYATLAR!C297</f>
        <v/>
      </c>
      <c r="G297" s="30">
        <f>[1]FİYATLAR!D297</f>
        <v/>
      </c>
      <c r="H297">
        <f>E297*F297</f>
        <v/>
      </c>
      <c r="I297">
        <f>E297*G297</f>
        <v/>
      </c>
    </row>
    <row r="298">
      <c r="A298" s="29">
        <f>[1]FİYATLAR!A298</f>
        <v/>
      </c>
      <c r="B298" s="29">
        <f>[1]FİYATLAR!B298</f>
        <v/>
      </c>
      <c r="C298" s="35">
        <f>INT(A298)</f>
        <v/>
      </c>
      <c r="D298" s="36">
        <f>MONTH(A298)</f>
        <v/>
      </c>
      <c r="F298" s="30">
        <f>[1]FİYATLAR!C298</f>
        <v/>
      </c>
      <c r="G298" s="30">
        <f>[1]FİYATLAR!D298</f>
        <v/>
      </c>
      <c r="H298">
        <f>E298*F298</f>
        <v/>
      </c>
      <c r="I298">
        <f>E298*G298</f>
        <v/>
      </c>
    </row>
    <row r="299">
      <c r="A299" s="29">
        <f>[1]FİYATLAR!A299</f>
        <v/>
      </c>
      <c r="B299" s="29">
        <f>[1]FİYATLAR!B299</f>
        <v/>
      </c>
      <c r="C299" s="35">
        <f>INT(A299)</f>
        <v/>
      </c>
      <c r="D299" s="36">
        <f>MONTH(A299)</f>
        <v/>
      </c>
      <c r="F299" s="30">
        <f>[1]FİYATLAR!C299</f>
        <v/>
      </c>
      <c r="G299" s="30">
        <f>[1]FİYATLAR!D299</f>
        <v/>
      </c>
      <c r="H299">
        <f>E299*F299</f>
        <v/>
      </c>
      <c r="I299">
        <f>E299*G299</f>
        <v/>
      </c>
    </row>
    <row r="300">
      <c r="A300" s="29">
        <f>[1]FİYATLAR!A300</f>
        <v/>
      </c>
      <c r="B300" s="29">
        <f>[1]FİYATLAR!B300</f>
        <v/>
      </c>
      <c r="C300" s="35">
        <f>INT(A300)</f>
        <v/>
      </c>
      <c r="D300" s="36">
        <f>MONTH(A300)</f>
        <v/>
      </c>
      <c r="F300" s="30">
        <f>[1]FİYATLAR!C300</f>
        <v/>
      </c>
      <c r="G300" s="30">
        <f>[1]FİYATLAR!D300</f>
        <v/>
      </c>
      <c r="H300">
        <f>E300*F300</f>
        <v/>
      </c>
      <c r="I300">
        <f>E300*G300</f>
        <v/>
      </c>
    </row>
    <row r="301">
      <c r="A301" s="29">
        <f>[1]FİYATLAR!A301</f>
        <v/>
      </c>
      <c r="B301" s="29">
        <f>[1]FİYATLAR!B301</f>
        <v/>
      </c>
      <c r="C301" s="35">
        <f>INT(A301)</f>
        <v/>
      </c>
      <c r="D301" s="36">
        <f>MONTH(A301)</f>
        <v/>
      </c>
      <c r="F301" s="30">
        <f>[1]FİYATLAR!C301</f>
        <v/>
      </c>
      <c r="G301" s="30">
        <f>[1]FİYATLAR!D301</f>
        <v/>
      </c>
      <c r="H301">
        <f>E301*F301</f>
        <v/>
      </c>
      <c r="I301">
        <f>E301*G301</f>
        <v/>
      </c>
    </row>
    <row r="302">
      <c r="A302" s="29">
        <f>[1]FİYATLAR!A302</f>
        <v/>
      </c>
      <c r="B302" s="29">
        <f>[1]FİYATLAR!B302</f>
        <v/>
      </c>
      <c r="C302" s="35">
        <f>INT(A302)</f>
        <v/>
      </c>
      <c r="D302" s="36">
        <f>MONTH(A302)</f>
        <v/>
      </c>
      <c r="F302" s="30">
        <f>[1]FİYATLAR!C302</f>
        <v/>
      </c>
      <c r="G302" s="30">
        <f>[1]FİYATLAR!D302</f>
        <v/>
      </c>
      <c r="H302">
        <f>E302*F302</f>
        <v/>
      </c>
      <c r="I302">
        <f>E302*G302</f>
        <v/>
      </c>
    </row>
    <row r="303">
      <c r="A303" s="29">
        <f>[1]FİYATLAR!A303</f>
        <v/>
      </c>
      <c r="B303" s="29">
        <f>[1]FİYATLAR!B303</f>
        <v/>
      </c>
      <c r="C303" s="35">
        <f>INT(A303)</f>
        <v/>
      </c>
      <c r="D303" s="36">
        <f>MONTH(A303)</f>
        <v/>
      </c>
      <c r="F303" s="30">
        <f>[1]FİYATLAR!C303</f>
        <v/>
      </c>
      <c r="G303" s="30">
        <f>[1]FİYATLAR!D303</f>
        <v/>
      </c>
      <c r="H303">
        <f>E303*F303</f>
        <v/>
      </c>
      <c r="I303">
        <f>E303*G303</f>
        <v/>
      </c>
    </row>
    <row r="304">
      <c r="A304" s="29">
        <f>[1]FİYATLAR!A304</f>
        <v/>
      </c>
      <c r="B304" s="29">
        <f>[1]FİYATLAR!B304</f>
        <v/>
      </c>
      <c r="C304" s="35">
        <f>INT(A304)</f>
        <v/>
      </c>
      <c r="D304" s="36">
        <f>MONTH(A304)</f>
        <v/>
      </c>
      <c r="F304" s="30">
        <f>[1]FİYATLAR!C304</f>
        <v/>
      </c>
      <c r="G304" s="30">
        <f>[1]FİYATLAR!D304</f>
        <v/>
      </c>
      <c r="H304">
        <f>E304*F304</f>
        <v/>
      </c>
      <c r="I304">
        <f>E304*G304</f>
        <v/>
      </c>
    </row>
    <row r="305">
      <c r="A305" s="29">
        <f>[1]FİYATLAR!A305</f>
        <v/>
      </c>
      <c r="B305" s="29">
        <f>[1]FİYATLAR!B305</f>
        <v/>
      </c>
      <c r="C305" s="35">
        <f>INT(A305)</f>
        <v/>
      </c>
      <c r="D305" s="36">
        <f>MONTH(A305)</f>
        <v/>
      </c>
      <c r="F305" s="30">
        <f>[1]FİYATLAR!C305</f>
        <v/>
      </c>
      <c r="G305" s="30">
        <f>[1]FİYATLAR!D305</f>
        <v/>
      </c>
      <c r="H305">
        <f>E305*F305</f>
        <v/>
      </c>
      <c r="I305">
        <f>E305*G305</f>
        <v/>
      </c>
    </row>
    <row r="306">
      <c r="A306" s="29">
        <f>[1]FİYATLAR!A306</f>
        <v/>
      </c>
      <c r="B306" s="29">
        <f>[1]FİYATLAR!B306</f>
        <v/>
      </c>
      <c r="C306" s="35">
        <f>INT(A306)</f>
        <v/>
      </c>
      <c r="D306" s="36">
        <f>MONTH(A306)</f>
        <v/>
      </c>
      <c r="F306" s="30">
        <f>[1]FİYATLAR!C306</f>
        <v/>
      </c>
      <c r="G306" s="30">
        <f>[1]FİYATLAR!D306</f>
        <v/>
      </c>
      <c r="H306">
        <f>E306*F306</f>
        <v/>
      </c>
      <c r="I306">
        <f>E306*G306</f>
        <v/>
      </c>
    </row>
    <row r="307">
      <c r="A307" s="29">
        <f>[1]FİYATLAR!A307</f>
        <v/>
      </c>
      <c r="B307" s="29">
        <f>[1]FİYATLAR!B307</f>
        <v/>
      </c>
      <c r="C307" s="35">
        <f>INT(A307)</f>
        <v/>
      </c>
      <c r="D307" s="36">
        <f>MONTH(A307)</f>
        <v/>
      </c>
      <c r="F307" s="30">
        <f>[1]FİYATLAR!C307</f>
        <v/>
      </c>
      <c r="G307" s="30">
        <f>[1]FİYATLAR!D307</f>
        <v/>
      </c>
      <c r="H307">
        <f>E307*F307</f>
        <v/>
      </c>
      <c r="I307">
        <f>E307*G307</f>
        <v/>
      </c>
    </row>
    <row r="308">
      <c r="A308" s="29">
        <f>[1]FİYATLAR!A308</f>
        <v/>
      </c>
      <c r="B308" s="29">
        <f>[1]FİYATLAR!B308</f>
        <v/>
      </c>
      <c r="C308" s="35">
        <f>INT(A308)</f>
        <v/>
      </c>
      <c r="D308" s="36">
        <f>MONTH(A308)</f>
        <v/>
      </c>
      <c r="F308" s="30">
        <f>[1]FİYATLAR!C308</f>
        <v/>
      </c>
      <c r="G308" s="30">
        <f>[1]FİYATLAR!D308</f>
        <v/>
      </c>
      <c r="H308">
        <f>E308*F308</f>
        <v/>
      </c>
      <c r="I308">
        <f>E308*G308</f>
        <v/>
      </c>
    </row>
    <row r="309">
      <c r="A309" s="29">
        <f>[1]FİYATLAR!A309</f>
        <v/>
      </c>
      <c r="B309" s="29">
        <f>[1]FİYATLAR!B309</f>
        <v/>
      </c>
      <c r="C309" s="35">
        <f>INT(A309)</f>
        <v/>
      </c>
      <c r="D309" s="36">
        <f>MONTH(A309)</f>
        <v/>
      </c>
      <c r="F309" s="30">
        <f>[1]FİYATLAR!C309</f>
        <v/>
      </c>
      <c r="G309" s="30">
        <f>[1]FİYATLAR!D309</f>
        <v/>
      </c>
      <c r="H309">
        <f>E309*F309</f>
        <v/>
      </c>
      <c r="I309">
        <f>E309*G309</f>
        <v/>
      </c>
    </row>
    <row r="310">
      <c r="A310" s="29">
        <f>[1]FİYATLAR!A310</f>
        <v/>
      </c>
      <c r="B310" s="29">
        <f>[1]FİYATLAR!B310</f>
        <v/>
      </c>
      <c r="C310" s="35">
        <f>INT(A310)</f>
        <v/>
      </c>
      <c r="D310" s="36">
        <f>MONTH(A310)</f>
        <v/>
      </c>
      <c r="F310" s="30">
        <f>[1]FİYATLAR!C310</f>
        <v/>
      </c>
      <c r="G310" s="30">
        <f>[1]FİYATLAR!D310</f>
        <v/>
      </c>
      <c r="H310">
        <f>E310*F310</f>
        <v/>
      </c>
      <c r="I310">
        <f>E310*G310</f>
        <v/>
      </c>
    </row>
    <row r="311">
      <c r="A311" s="29">
        <f>[1]FİYATLAR!A311</f>
        <v/>
      </c>
      <c r="B311" s="29">
        <f>[1]FİYATLAR!B311</f>
        <v/>
      </c>
      <c r="C311" s="35">
        <f>INT(A311)</f>
        <v/>
      </c>
      <c r="D311" s="36">
        <f>MONTH(A311)</f>
        <v/>
      </c>
      <c r="F311" s="30">
        <f>[1]FİYATLAR!C311</f>
        <v/>
      </c>
      <c r="G311" s="30">
        <f>[1]FİYATLAR!D311</f>
        <v/>
      </c>
      <c r="H311">
        <f>E311*F311</f>
        <v/>
      </c>
      <c r="I311">
        <f>E311*G311</f>
        <v/>
      </c>
    </row>
    <row r="312">
      <c r="A312" s="29">
        <f>[1]FİYATLAR!A312</f>
        <v/>
      </c>
      <c r="B312" s="29">
        <f>[1]FİYATLAR!B312</f>
        <v/>
      </c>
      <c r="C312" s="35">
        <f>INT(A312)</f>
        <v/>
      </c>
      <c r="D312" s="36">
        <f>MONTH(A312)</f>
        <v/>
      </c>
      <c r="F312" s="30">
        <f>[1]FİYATLAR!C312</f>
        <v/>
      </c>
      <c r="G312" s="30">
        <f>[1]FİYATLAR!D312</f>
        <v/>
      </c>
      <c r="H312">
        <f>E312*F312</f>
        <v/>
      </c>
      <c r="I312">
        <f>E312*G312</f>
        <v/>
      </c>
    </row>
    <row r="313">
      <c r="A313" s="29">
        <f>[1]FİYATLAR!A313</f>
        <v/>
      </c>
      <c r="B313" s="29">
        <f>[1]FİYATLAR!B313</f>
        <v/>
      </c>
      <c r="C313" s="35">
        <f>INT(A313)</f>
        <v/>
      </c>
      <c r="D313" s="36">
        <f>MONTH(A313)</f>
        <v/>
      </c>
      <c r="F313" s="30">
        <f>[1]FİYATLAR!C313</f>
        <v/>
      </c>
      <c r="G313" s="30">
        <f>[1]FİYATLAR!D313</f>
        <v/>
      </c>
      <c r="H313">
        <f>E313*F313</f>
        <v/>
      </c>
      <c r="I313">
        <f>E313*G313</f>
        <v/>
      </c>
    </row>
    <row r="314">
      <c r="A314" s="29">
        <f>[1]FİYATLAR!A314</f>
        <v/>
      </c>
      <c r="B314" s="29">
        <f>[1]FİYATLAR!B314</f>
        <v/>
      </c>
      <c r="C314" s="35">
        <f>INT(A314)</f>
        <v/>
      </c>
      <c r="D314" s="36">
        <f>MONTH(A314)</f>
        <v/>
      </c>
      <c r="F314" s="30">
        <f>[1]FİYATLAR!C314</f>
        <v/>
      </c>
      <c r="G314" s="30">
        <f>[1]FİYATLAR!D314</f>
        <v/>
      </c>
      <c r="H314">
        <f>E314*F314</f>
        <v/>
      </c>
      <c r="I314">
        <f>E314*G314</f>
        <v/>
      </c>
    </row>
    <row r="315">
      <c r="A315" s="29">
        <f>[1]FİYATLAR!A315</f>
        <v/>
      </c>
      <c r="B315" s="29">
        <f>[1]FİYATLAR!B315</f>
        <v/>
      </c>
      <c r="C315" s="35">
        <f>INT(A315)</f>
        <v/>
      </c>
      <c r="D315" s="36">
        <f>MONTH(A315)</f>
        <v/>
      </c>
      <c r="F315" s="30">
        <f>[1]FİYATLAR!C315</f>
        <v/>
      </c>
      <c r="G315" s="30">
        <f>[1]FİYATLAR!D315</f>
        <v/>
      </c>
      <c r="H315">
        <f>E315*F315</f>
        <v/>
      </c>
      <c r="I315">
        <f>E315*G315</f>
        <v/>
      </c>
    </row>
    <row r="316">
      <c r="A316" s="29">
        <f>[1]FİYATLAR!A316</f>
        <v/>
      </c>
      <c r="B316" s="29">
        <f>[1]FİYATLAR!B316</f>
        <v/>
      </c>
      <c r="C316" s="35">
        <f>INT(A316)</f>
        <v/>
      </c>
      <c r="D316" s="36">
        <f>MONTH(A316)</f>
        <v/>
      </c>
      <c r="F316" s="30">
        <f>[1]FİYATLAR!C316</f>
        <v/>
      </c>
      <c r="G316" s="30">
        <f>[1]FİYATLAR!D316</f>
        <v/>
      </c>
      <c r="H316">
        <f>E316*F316</f>
        <v/>
      </c>
      <c r="I316">
        <f>E316*G316</f>
        <v/>
      </c>
    </row>
    <row r="317">
      <c r="A317" s="29">
        <f>[1]FİYATLAR!A317</f>
        <v/>
      </c>
      <c r="B317" s="29">
        <f>[1]FİYATLAR!B317</f>
        <v/>
      </c>
      <c r="C317" s="35">
        <f>INT(A317)</f>
        <v/>
      </c>
      <c r="D317" s="36">
        <f>MONTH(A317)</f>
        <v/>
      </c>
      <c r="F317" s="30">
        <f>[1]FİYATLAR!C317</f>
        <v/>
      </c>
      <c r="G317" s="30">
        <f>[1]FİYATLAR!D317</f>
        <v/>
      </c>
      <c r="H317">
        <f>E317*F317</f>
        <v/>
      </c>
      <c r="I317">
        <f>E317*G317</f>
        <v/>
      </c>
    </row>
    <row r="318">
      <c r="A318" s="29">
        <f>[1]FİYATLAR!A318</f>
        <v/>
      </c>
      <c r="B318" s="29">
        <f>[1]FİYATLAR!B318</f>
        <v/>
      </c>
      <c r="C318" s="35">
        <f>INT(A318)</f>
        <v/>
      </c>
      <c r="D318" s="36">
        <f>MONTH(A318)</f>
        <v/>
      </c>
      <c r="F318" s="30">
        <f>[1]FİYATLAR!C318</f>
        <v/>
      </c>
      <c r="G318" s="30">
        <f>[1]FİYATLAR!D318</f>
        <v/>
      </c>
      <c r="H318">
        <f>E318*F318</f>
        <v/>
      </c>
      <c r="I318">
        <f>E318*G318</f>
        <v/>
      </c>
    </row>
    <row r="319">
      <c r="A319" s="29">
        <f>[1]FİYATLAR!A319</f>
        <v/>
      </c>
      <c r="B319" s="29">
        <f>[1]FİYATLAR!B319</f>
        <v/>
      </c>
      <c r="C319" s="35">
        <f>INT(A319)</f>
        <v/>
      </c>
      <c r="D319" s="36">
        <f>MONTH(A319)</f>
        <v/>
      </c>
      <c r="F319" s="30">
        <f>[1]FİYATLAR!C319</f>
        <v/>
      </c>
      <c r="G319" s="30">
        <f>[1]FİYATLAR!D319</f>
        <v/>
      </c>
      <c r="H319">
        <f>E319*F319</f>
        <v/>
      </c>
      <c r="I319">
        <f>E319*G319</f>
        <v/>
      </c>
    </row>
    <row r="320">
      <c r="A320" s="29">
        <f>[1]FİYATLAR!A320</f>
        <v/>
      </c>
      <c r="B320" s="29">
        <f>[1]FİYATLAR!B320</f>
        <v/>
      </c>
      <c r="C320" s="35">
        <f>INT(A320)</f>
        <v/>
      </c>
      <c r="D320" s="36">
        <f>MONTH(A320)</f>
        <v/>
      </c>
      <c r="F320" s="30">
        <f>[1]FİYATLAR!C320</f>
        <v/>
      </c>
      <c r="G320" s="30">
        <f>[1]FİYATLAR!D320</f>
        <v/>
      </c>
      <c r="H320">
        <f>E320*F320</f>
        <v/>
      </c>
      <c r="I320">
        <f>E320*G320</f>
        <v/>
      </c>
    </row>
    <row r="321">
      <c r="A321" s="29">
        <f>[1]FİYATLAR!A321</f>
        <v/>
      </c>
      <c r="B321" s="29">
        <f>[1]FİYATLAR!B321</f>
        <v/>
      </c>
      <c r="C321" s="35">
        <f>INT(A321)</f>
        <v/>
      </c>
      <c r="D321" s="36">
        <f>MONTH(A321)</f>
        <v/>
      </c>
      <c r="F321" s="30">
        <f>[1]FİYATLAR!C321</f>
        <v/>
      </c>
      <c r="G321" s="30">
        <f>[1]FİYATLAR!D321</f>
        <v/>
      </c>
      <c r="H321">
        <f>E321*F321</f>
        <v/>
      </c>
      <c r="I321">
        <f>E321*G321</f>
        <v/>
      </c>
    </row>
    <row r="322">
      <c r="A322" s="29">
        <f>[1]FİYATLAR!A322</f>
        <v/>
      </c>
      <c r="B322" s="29">
        <f>[1]FİYATLAR!B322</f>
        <v/>
      </c>
      <c r="C322" s="35">
        <f>INT(A322)</f>
        <v/>
      </c>
      <c r="D322" s="36">
        <f>MONTH(A322)</f>
        <v/>
      </c>
      <c r="F322" s="30">
        <f>[1]FİYATLAR!C322</f>
        <v/>
      </c>
      <c r="G322" s="30">
        <f>[1]FİYATLAR!D322</f>
        <v/>
      </c>
      <c r="H322">
        <f>E322*F322</f>
        <v/>
      </c>
      <c r="I322">
        <f>E322*G322</f>
        <v/>
      </c>
    </row>
    <row r="323">
      <c r="A323" s="29">
        <f>[1]FİYATLAR!A323</f>
        <v/>
      </c>
      <c r="B323" s="29">
        <f>[1]FİYATLAR!B323</f>
        <v/>
      </c>
      <c r="C323" s="35">
        <f>INT(A323)</f>
        <v/>
      </c>
      <c r="D323" s="36">
        <f>MONTH(A323)</f>
        <v/>
      </c>
      <c r="F323" s="30">
        <f>[1]FİYATLAR!C323</f>
        <v/>
      </c>
      <c r="G323" s="30">
        <f>[1]FİYATLAR!D323</f>
        <v/>
      </c>
      <c r="H323">
        <f>E323*F323</f>
        <v/>
      </c>
      <c r="I323">
        <f>E323*G323</f>
        <v/>
      </c>
    </row>
    <row r="324">
      <c r="A324" s="29">
        <f>[1]FİYATLAR!A324</f>
        <v/>
      </c>
      <c r="B324" s="29">
        <f>[1]FİYATLAR!B324</f>
        <v/>
      </c>
      <c r="C324" s="35">
        <f>INT(A324)</f>
        <v/>
      </c>
      <c r="D324" s="36">
        <f>MONTH(A324)</f>
        <v/>
      </c>
      <c r="F324" s="30">
        <f>[1]FİYATLAR!C324</f>
        <v/>
      </c>
      <c r="G324" s="30">
        <f>[1]FİYATLAR!D324</f>
        <v/>
      </c>
      <c r="H324">
        <f>E324*F324</f>
        <v/>
      </c>
      <c r="I324">
        <f>E324*G324</f>
        <v/>
      </c>
    </row>
    <row r="325">
      <c r="A325" s="29">
        <f>[1]FİYATLAR!A325</f>
        <v/>
      </c>
      <c r="B325" s="29">
        <f>[1]FİYATLAR!B325</f>
        <v/>
      </c>
      <c r="C325" s="35">
        <f>INT(A325)</f>
        <v/>
      </c>
      <c r="D325" s="36">
        <f>MONTH(A325)</f>
        <v/>
      </c>
      <c r="F325" s="30">
        <f>[1]FİYATLAR!C325</f>
        <v/>
      </c>
      <c r="G325" s="30">
        <f>[1]FİYATLAR!D325</f>
        <v/>
      </c>
      <c r="H325">
        <f>E325*F325</f>
        <v/>
      </c>
      <c r="I325">
        <f>E325*G325</f>
        <v/>
      </c>
    </row>
    <row r="326">
      <c r="A326" s="29">
        <f>[1]FİYATLAR!A326</f>
        <v/>
      </c>
      <c r="B326" s="29">
        <f>[1]FİYATLAR!B326</f>
        <v/>
      </c>
      <c r="C326" s="35">
        <f>INT(A326)</f>
        <v/>
      </c>
      <c r="D326" s="36">
        <f>MONTH(A326)</f>
        <v/>
      </c>
      <c r="F326" s="30">
        <f>[1]FİYATLAR!C326</f>
        <v/>
      </c>
      <c r="G326" s="30">
        <f>[1]FİYATLAR!D326</f>
        <v/>
      </c>
      <c r="H326">
        <f>E326*F326</f>
        <v/>
      </c>
      <c r="I326">
        <f>E326*G326</f>
        <v/>
      </c>
    </row>
    <row r="327">
      <c r="A327" s="29">
        <f>[1]FİYATLAR!A327</f>
        <v/>
      </c>
      <c r="B327" s="29">
        <f>[1]FİYATLAR!B327</f>
        <v/>
      </c>
      <c r="C327" s="35">
        <f>INT(A327)</f>
        <v/>
      </c>
      <c r="D327" s="36">
        <f>MONTH(A327)</f>
        <v/>
      </c>
      <c r="F327" s="30">
        <f>[1]FİYATLAR!C327</f>
        <v/>
      </c>
      <c r="G327" s="30">
        <f>[1]FİYATLAR!D327</f>
        <v/>
      </c>
      <c r="H327">
        <f>E327*F327</f>
        <v/>
      </c>
      <c r="I327">
        <f>E327*G327</f>
        <v/>
      </c>
    </row>
    <row r="328">
      <c r="A328" s="29">
        <f>[1]FİYATLAR!A328</f>
        <v/>
      </c>
      <c r="B328" s="29">
        <f>[1]FİYATLAR!B328</f>
        <v/>
      </c>
      <c r="C328" s="35">
        <f>INT(A328)</f>
        <v/>
      </c>
      <c r="D328" s="36">
        <f>MONTH(A328)</f>
        <v/>
      </c>
      <c r="F328" s="30">
        <f>[1]FİYATLAR!C328</f>
        <v/>
      </c>
      <c r="G328" s="30">
        <f>[1]FİYATLAR!D328</f>
        <v/>
      </c>
      <c r="H328">
        <f>E328*F328</f>
        <v/>
      </c>
      <c r="I328">
        <f>E328*G328</f>
        <v/>
      </c>
    </row>
    <row r="329">
      <c r="A329" s="29">
        <f>[1]FİYATLAR!A329</f>
        <v/>
      </c>
      <c r="B329" s="29">
        <f>[1]FİYATLAR!B329</f>
        <v/>
      </c>
      <c r="C329" s="35">
        <f>INT(A329)</f>
        <v/>
      </c>
      <c r="D329" s="36">
        <f>MONTH(A329)</f>
        <v/>
      </c>
      <c r="F329" s="30">
        <f>[1]FİYATLAR!C329</f>
        <v/>
      </c>
      <c r="G329" s="30">
        <f>[1]FİYATLAR!D329</f>
        <v/>
      </c>
      <c r="H329">
        <f>E329*F329</f>
        <v/>
      </c>
      <c r="I329">
        <f>E329*G329</f>
        <v/>
      </c>
    </row>
    <row r="330">
      <c r="A330" s="29">
        <f>[1]FİYATLAR!A330</f>
        <v/>
      </c>
      <c r="B330" s="29">
        <f>[1]FİYATLAR!B330</f>
        <v/>
      </c>
      <c r="C330" s="35">
        <f>INT(A330)</f>
        <v/>
      </c>
      <c r="D330" s="36">
        <f>MONTH(A330)</f>
        <v/>
      </c>
      <c r="F330" s="30">
        <f>[1]FİYATLAR!C330</f>
        <v/>
      </c>
      <c r="G330" s="30">
        <f>[1]FİYATLAR!D330</f>
        <v/>
      </c>
      <c r="H330">
        <f>E330*F330</f>
        <v/>
      </c>
      <c r="I330">
        <f>E330*G330</f>
        <v/>
      </c>
    </row>
    <row r="331">
      <c r="A331" s="29">
        <f>[1]FİYATLAR!A331</f>
        <v/>
      </c>
      <c r="B331" s="29">
        <f>[1]FİYATLAR!B331</f>
        <v/>
      </c>
      <c r="C331" s="35">
        <f>INT(A331)</f>
        <v/>
      </c>
      <c r="D331" s="36">
        <f>MONTH(A331)</f>
        <v/>
      </c>
      <c r="F331" s="30">
        <f>[1]FİYATLAR!C331</f>
        <v/>
      </c>
      <c r="G331" s="30">
        <f>[1]FİYATLAR!D331</f>
        <v/>
      </c>
      <c r="H331">
        <f>E331*F331</f>
        <v/>
      </c>
      <c r="I331">
        <f>E331*G331</f>
        <v/>
      </c>
    </row>
    <row r="332">
      <c r="A332" s="29">
        <f>[1]FİYATLAR!A332</f>
        <v/>
      </c>
      <c r="B332" s="29">
        <f>[1]FİYATLAR!B332</f>
        <v/>
      </c>
      <c r="C332" s="35">
        <f>INT(A332)</f>
        <v/>
      </c>
      <c r="D332" s="36">
        <f>MONTH(A332)</f>
        <v/>
      </c>
      <c r="F332" s="30">
        <f>[1]FİYATLAR!C332</f>
        <v/>
      </c>
      <c r="G332" s="30">
        <f>[1]FİYATLAR!D332</f>
        <v/>
      </c>
      <c r="H332">
        <f>E332*F332</f>
        <v/>
      </c>
      <c r="I332">
        <f>E332*G332</f>
        <v/>
      </c>
    </row>
    <row r="333">
      <c r="A333" s="29">
        <f>[1]FİYATLAR!A333</f>
        <v/>
      </c>
      <c r="B333" s="29">
        <f>[1]FİYATLAR!B333</f>
        <v/>
      </c>
      <c r="C333" s="35">
        <f>INT(A333)</f>
        <v/>
      </c>
      <c r="D333" s="36">
        <f>MONTH(A333)</f>
        <v/>
      </c>
      <c r="F333" s="30">
        <f>[1]FİYATLAR!C333</f>
        <v/>
      </c>
      <c r="G333" s="30">
        <f>[1]FİYATLAR!D333</f>
        <v/>
      </c>
      <c r="H333">
        <f>E333*F333</f>
        <v/>
      </c>
      <c r="I333">
        <f>E333*G333</f>
        <v/>
      </c>
    </row>
    <row r="334">
      <c r="A334" s="29">
        <f>[1]FİYATLAR!A334</f>
        <v/>
      </c>
      <c r="B334" s="29">
        <f>[1]FİYATLAR!B334</f>
        <v/>
      </c>
      <c r="C334" s="35">
        <f>INT(A334)</f>
        <v/>
      </c>
      <c r="D334" s="36">
        <f>MONTH(A334)</f>
        <v/>
      </c>
      <c r="F334" s="30">
        <f>[1]FİYATLAR!C334</f>
        <v/>
      </c>
      <c r="G334" s="30">
        <f>[1]FİYATLAR!D334</f>
        <v/>
      </c>
      <c r="H334">
        <f>E334*F334</f>
        <v/>
      </c>
      <c r="I334">
        <f>E334*G334</f>
        <v/>
      </c>
    </row>
    <row r="335">
      <c r="A335" s="29">
        <f>[1]FİYATLAR!A335</f>
        <v/>
      </c>
      <c r="B335" s="29">
        <f>[1]FİYATLAR!B335</f>
        <v/>
      </c>
      <c r="C335" s="35">
        <f>INT(A335)</f>
        <v/>
      </c>
      <c r="D335" s="36">
        <f>MONTH(A335)</f>
        <v/>
      </c>
      <c r="F335" s="30">
        <f>[1]FİYATLAR!C335</f>
        <v/>
      </c>
      <c r="G335" s="30">
        <f>[1]FİYATLAR!D335</f>
        <v/>
      </c>
      <c r="H335">
        <f>E335*F335</f>
        <v/>
      </c>
      <c r="I335">
        <f>E335*G335</f>
        <v/>
      </c>
    </row>
    <row r="336">
      <c r="A336" s="29">
        <f>[1]FİYATLAR!A336</f>
        <v/>
      </c>
      <c r="B336" s="29">
        <f>[1]FİYATLAR!B336</f>
        <v/>
      </c>
      <c r="C336" s="35">
        <f>INT(A336)</f>
        <v/>
      </c>
      <c r="D336" s="36">
        <f>MONTH(A336)</f>
        <v/>
      </c>
      <c r="F336" s="30">
        <f>[1]FİYATLAR!C336</f>
        <v/>
      </c>
      <c r="G336" s="30">
        <f>[1]FİYATLAR!D336</f>
        <v/>
      </c>
      <c r="H336">
        <f>E336*F336</f>
        <v/>
      </c>
      <c r="I336">
        <f>E336*G336</f>
        <v/>
      </c>
    </row>
    <row r="337">
      <c r="A337" s="29">
        <f>[1]FİYATLAR!A337</f>
        <v/>
      </c>
      <c r="B337" s="29">
        <f>[1]FİYATLAR!B337</f>
        <v/>
      </c>
      <c r="C337" s="35">
        <f>INT(A337)</f>
        <v/>
      </c>
      <c r="D337" s="36">
        <f>MONTH(A337)</f>
        <v/>
      </c>
      <c r="F337" s="30">
        <f>[1]FİYATLAR!C337</f>
        <v/>
      </c>
      <c r="G337" s="30">
        <f>[1]FİYATLAR!D337</f>
        <v/>
      </c>
      <c r="H337">
        <f>E337*F337</f>
        <v/>
      </c>
      <c r="I337">
        <f>E337*G337</f>
        <v/>
      </c>
    </row>
    <row r="338">
      <c r="A338" s="29">
        <f>[1]FİYATLAR!A338</f>
        <v/>
      </c>
      <c r="B338" s="29">
        <f>[1]FİYATLAR!B338</f>
        <v/>
      </c>
      <c r="C338" s="35">
        <f>INT(A338)</f>
        <v/>
      </c>
      <c r="D338" s="36">
        <f>MONTH(A338)</f>
        <v/>
      </c>
      <c r="F338" s="30">
        <f>[1]FİYATLAR!C338</f>
        <v/>
      </c>
      <c r="G338" s="30">
        <f>[1]FİYATLAR!D338</f>
        <v/>
      </c>
      <c r="H338">
        <f>E338*F338</f>
        <v/>
      </c>
      <c r="I338">
        <f>E338*G338</f>
        <v/>
      </c>
    </row>
    <row r="339">
      <c r="A339" s="29">
        <f>[1]FİYATLAR!A339</f>
        <v/>
      </c>
      <c r="B339" s="29">
        <f>[1]FİYATLAR!B339</f>
        <v/>
      </c>
      <c r="C339" s="35">
        <f>INT(A339)</f>
        <v/>
      </c>
      <c r="D339" s="36">
        <f>MONTH(A339)</f>
        <v/>
      </c>
      <c r="F339" s="30">
        <f>[1]FİYATLAR!C339</f>
        <v/>
      </c>
      <c r="G339" s="30">
        <f>[1]FİYATLAR!D339</f>
        <v/>
      </c>
      <c r="H339">
        <f>E339*F339</f>
        <v/>
      </c>
      <c r="I339">
        <f>E339*G339</f>
        <v/>
      </c>
    </row>
    <row r="340">
      <c r="A340" s="29">
        <f>[1]FİYATLAR!A340</f>
        <v/>
      </c>
      <c r="B340" s="29">
        <f>[1]FİYATLAR!B340</f>
        <v/>
      </c>
      <c r="C340" s="35">
        <f>INT(A340)</f>
        <v/>
      </c>
      <c r="D340" s="36">
        <f>MONTH(A340)</f>
        <v/>
      </c>
      <c r="F340" s="30">
        <f>[1]FİYATLAR!C340</f>
        <v/>
      </c>
      <c r="G340" s="30">
        <f>[1]FİYATLAR!D340</f>
        <v/>
      </c>
      <c r="H340">
        <f>E340*F340</f>
        <v/>
      </c>
      <c r="I340">
        <f>E340*G340</f>
        <v/>
      </c>
    </row>
    <row r="341">
      <c r="A341" s="29">
        <f>[1]FİYATLAR!A341</f>
        <v/>
      </c>
      <c r="B341" s="29">
        <f>[1]FİYATLAR!B341</f>
        <v/>
      </c>
      <c r="C341" s="35">
        <f>INT(A341)</f>
        <v/>
      </c>
      <c r="D341" s="36">
        <f>MONTH(A341)</f>
        <v/>
      </c>
      <c r="F341" s="30">
        <f>[1]FİYATLAR!C341</f>
        <v/>
      </c>
      <c r="G341" s="30">
        <f>[1]FİYATLAR!D341</f>
        <v/>
      </c>
      <c r="H341">
        <f>E341*F341</f>
        <v/>
      </c>
      <c r="I341">
        <f>E341*G341</f>
        <v/>
      </c>
    </row>
    <row r="342">
      <c r="A342" s="29">
        <f>[1]FİYATLAR!A342</f>
        <v/>
      </c>
      <c r="B342" s="29">
        <f>[1]FİYATLAR!B342</f>
        <v/>
      </c>
      <c r="C342" s="35">
        <f>INT(A342)</f>
        <v/>
      </c>
      <c r="D342" s="36">
        <f>MONTH(A342)</f>
        <v/>
      </c>
      <c r="F342" s="30">
        <f>[1]FİYATLAR!C342</f>
        <v/>
      </c>
      <c r="G342" s="30">
        <f>[1]FİYATLAR!D342</f>
        <v/>
      </c>
      <c r="H342">
        <f>E342*F342</f>
        <v/>
      </c>
      <c r="I342">
        <f>E342*G342</f>
        <v/>
      </c>
    </row>
    <row r="343">
      <c r="A343" s="29">
        <f>[1]FİYATLAR!A343</f>
        <v/>
      </c>
      <c r="B343" s="29">
        <f>[1]FİYATLAR!B343</f>
        <v/>
      </c>
      <c r="C343" s="35">
        <f>INT(A343)</f>
        <v/>
      </c>
      <c r="D343" s="36">
        <f>MONTH(A343)</f>
        <v/>
      </c>
      <c r="F343" s="30">
        <f>[1]FİYATLAR!C343</f>
        <v/>
      </c>
      <c r="G343" s="30">
        <f>[1]FİYATLAR!D343</f>
        <v/>
      </c>
      <c r="H343">
        <f>E343*F343</f>
        <v/>
      </c>
      <c r="I343">
        <f>E343*G343</f>
        <v/>
      </c>
    </row>
    <row r="344">
      <c r="A344" s="29">
        <f>[1]FİYATLAR!A344</f>
        <v/>
      </c>
      <c r="B344" s="29">
        <f>[1]FİYATLAR!B344</f>
        <v/>
      </c>
      <c r="C344" s="35">
        <f>INT(A344)</f>
        <v/>
      </c>
      <c r="D344" s="36">
        <f>MONTH(A344)</f>
        <v/>
      </c>
      <c r="F344" s="30">
        <f>[1]FİYATLAR!C344</f>
        <v/>
      </c>
      <c r="G344" s="30">
        <f>[1]FİYATLAR!D344</f>
        <v/>
      </c>
      <c r="H344">
        <f>E344*F344</f>
        <v/>
      </c>
      <c r="I344">
        <f>E344*G344</f>
        <v/>
      </c>
    </row>
    <row r="345">
      <c r="A345" s="29">
        <f>[1]FİYATLAR!A345</f>
        <v/>
      </c>
      <c r="B345" s="29">
        <f>[1]FİYATLAR!B345</f>
        <v/>
      </c>
      <c r="C345" s="35">
        <f>INT(A345)</f>
        <v/>
      </c>
      <c r="D345" s="36">
        <f>MONTH(A345)</f>
        <v/>
      </c>
      <c r="F345" s="30">
        <f>[1]FİYATLAR!C345</f>
        <v/>
      </c>
      <c r="G345" s="30">
        <f>[1]FİYATLAR!D345</f>
        <v/>
      </c>
      <c r="H345">
        <f>E345*F345</f>
        <v/>
      </c>
      <c r="I345">
        <f>E345*G345</f>
        <v/>
      </c>
    </row>
    <row r="346">
      <c r="A346" s="29">
        <f>[1]FİYATLAR!A346</f>
        <v/>
      </c>
      <c r="B346" s="29">
        <f>[1]FİYATLAR!B346</f>
        <v/>
      </c>
      <c r="C346" s="35">
        <f>INT(A346)</f>
        <v/>
      </c>
      <c r="D346" s="36">
        <f>MONTH(A346)</f>
        <v/>
      </c>
      <c r="F346" s="30">
        <f>[1]FİYATLAR!C346</f>
        <v/>
      </c>
      <c r="G346" s="30">
        <f>[1]FİYATLAR!D346</f>
        <v/>
      </c>
      <c r="H346">
        <f>E346*F346</f>
        <v/>
      </c>
      <c r="I346">
        <f>E346*G346</f>
        <v/>
      </c>
    </row>
    <row r="347">
      <c r="A347" s="29">
        <f>[1]FİYATLAR!A347</f>
        <v/>
      </c>
      <c r="B347" s="29">
        <f>[1]FİYATLAR!B347</f>
        <v/>
      </c>
      <c r="C347" s="35">
        <f>INT(A347)</f>
        <v/>
      </c>
      <c r="D347" s="36">
        <f>MONTH(A347)</f>
        <v/>
      </c>
      <c r="F347" s="30">
        <f>[1]FİYATLAR!C347</f>
        <v/>
      </c>
      <c r="G347" s="30">
        <f>[1]FİYATLAR!D347</f>
        <v/>
      </c>
      <c r="H347">
        <f>E347*F347</f>
        <v/>
      </c>
      <c r="I347">
        <f>E347*G347</f>
        <v/>
      </c>
    </row>
    <row r="348">
      <c r="A348" s="29">
        <f>[1]FİYATLAR!A348</f>
        <v/>
      </c>
      <c r="B348" s="29">
        <f>[1]FİYATLAR!B348</f>
        <v/>
      </c>
      <c r="C348" s="35">
        <f>INT(A348)</f>
        <v/>
      </c>
      <c r="D348" s="36">
        <f>MONTH(A348)</f>
        <v/>
      </c>
      <c r="F348" s="30">
        <f>[1]FİYATLAR!C348</f>
        <v/>
      </c>
      <c r="G348" s="30">
        <f>[1]FİYATLAR!D348</f>
        <v/>
      </c>
      <c r="H348">
        <f>E348*F348</f>
        <v/>
      </c>
      <c r="I348">
        <f>E348*G348</f>
        <v/>
      </c>
    </row>
    <row r="349">
      <c r="A349" s="29">
        <f>[1]FİYATLAR!A349</f>
        <v/>
      </c>
      <c r="B349" s="29">
        <f>[1]FİYATLAR!B349</f>
        <v/>
      </c>
      <c r="C349" s="35">
        <f>INT(A349)</f>
        <v/>
      </c>
      <c r="D349" s="36">
        <f>MONTH(A349)</f>
        <v/>
      </c>
      <c r="F349" s="30">
        <f>[1]FİYATLAR!C349</f>
        <v/>
      </c>
      <c r="G349" s="30">
        <f>[1]FİYATLAR!D349</f>
        <v/>
      </c>
      <c r="H349">
        <f>E349*F349</f>
        <v/>
      </c>
      <c r="I349">
        <f>E349*G349</f>
        <v/>
      </c>
    </row>
    <row r="350">
      <c r="A350" s="29">
        <f>[1]FİYATLAR!A350</f>
        <v/>
      </c>
      <c r="B350" s="29">
        <f>[1]FİYATLAR!B350</f>
        <v/>
      </c>
      <c r="C350" s="35">
        <f>INT(A350)</f>
        <v/>
      </c>
      <c r="D350" s="36">
        <f>MONTH(A350)</f>
        <v/>
      </c>
      <c r="F350" s="30">
        <f>[1]FİYATLAR!C350</f>
        <v/>
      </c>
      <c r="G350" s="30">
        <f>[1]FİYATLAR!D350</f>
        <v/>
      </c>
      <c r="H350">
        <f>E350*F350</f>
        <v/>
      </c>
      <c r="I350">
        <f>E350*G350</f>
        <v/>
      </c>
    </row>
    <row r="351">
      <c r="A351" s="29">
        <f>[1]FİYATLAR!A351</f>
        <v/>
      </c>
      <c r="B351" s="29">
        <f>[1]FİYATLAR!B351</f>
        <v/>
      </c>
      <c r="C351" s="35">
        <f>INT(A351)</f>
        <v/>
      </c>
      <c r="D351" s="36">
        <f>MONTH(A351)</f>
        <v/>
      </c>
      <c r="F351" s="30">
        <f>[1]FİYATLAR!C351</f>
        <v/>
      </c>
      <c r="G351" s="30">
        <f>[1]FİYATLAR!D351</f>
        <v/>
      </c>
      <c r="H351">
        <f>E351*F351</f>
        <v/>
      </c>
      <c r="I351">
        <f>E351*G351</f>
        <v/>
      </c>
    </row>
    <row r="352">
      <c r="A352" s="29">
        <f>[1]FİYATLAR!A352</f>
        <v/>
      </c>
      <c r="B352" s="29">
        <f>[1]FİYATLAR!B352</f>
        <v/>
      </c>
      <c r="C352" s="35">
        <f>INT(A352)</f>
        <v/>
      </c>
      <c r="D352" s="36">
        <f>MONTH(A352)</f>
        <v/>
      </c>
      <c r="F352" s="30">
        <f>[1]FİYATLAR!C352</f>
        <v/>
      </c>
      <c r="G352" s="30">
        <f>[1]FİYATLAR!D352</f>
        <v/>
      </c>
      <c r="H352">
        <f>E352*F352</f>
        <v/>
      </c>
      <c r="I352">
        <f>E352*G352</f>
        <v/>
      </c>
    </row>
    <row r="353">
      <c r="A353" s="29">
        <f>[1]FİYATLAR!A353</f>
        <v/>
      </c>
      <c r="B353" s="29">
        <f>[1]FİYATLAR!B353</f>
        <v/>
      </c>
      <c r="C353" s="35">
        <f>INT(A353)</f>
        <v/>
      </c>
      <c r="D353" s="36">
        <f>MONTH(A353)</f>
        <v/>
      </c>
      <c r="F353" s="30">
        <f>[1]FİYATLAR!C353</f>
        <v/>
      </c>
      <c r="G353" s="30">
        <f>[1]FİYATLAR!D353</f>
        <v/>
      </c>
      <c r="H353">
        <f>E353*F353</f>
        <v/>
      </c>
      <c r="I353">
        <f>E353*G353</f>
        <v/>
      </c>
    </row>
    <row r="354">
      <c r="A354" s="29">
        <f>[1]FİYATLAR!A354</f>
        <v/>
      </c>
      <c r="B354" s="29">
        <f>[1]FİYATLAR!B354</f>
        <v/>
      </c>
      <c r="C354" s="35">
        <f>INT(A354)</f>
        <v/>
      </c>
      <c r="D354" s="36">
        <f>MONTH(A354)</f>
        <v/>
      </c>
      <c r="F354" s="30">
        <f>[1]FİYATLAR!C354</f>
        <v/>
      </c>
      <c r="G354" s="30">
        <f>[1]FİYATLAR!D354</f>
        <v/>
      </c>
      <c r="H354">
        <f>E354*F354</f>
        <v/>
      </c>
      <c r="I354">
        <f>E354*G354</f>
        <v/>
      </c>
    </row>
    <row r="355">
      <c r="A355" s="29">
        <f>[1]FİYATLAR!A355</f>
        <v/>
      </c>
      <c r="B355" s="29">
        <f>[1]FİYATLAR!B355</f>
        <v/>
      </c>
      <c r="C355" s="35">
        <f>INT(A355)</f>
        <v/>
      </c>
      <c r="D355" s="36">
        <f>MONTH(A355)</f>
        <v/>
      </c>
      <c r="F355" s="30">
        <f>[1]FİYATLAR!C355</f>
        <v/>
      </c>
      <c r="G355" s="30">
        <f>[1]FİYATLAR!D355</f>
        <v/>
      </c>
      <c r="H355">
        <f>E355*F355</f>
        <v/>
      </c>
      <c r="I355">
        <f>E355*G355</f>
        <v/>
      </c>
    </row>
    <row r="356">
      <c r="A356" s="29">
        <f>[1]FİYATLAR!A356</f>
        <v/>
      </c>
      <c r="B356" s="29">
        <f>[1]FİYATLAR!B356</f>
        <v/>
      </c>
      <c r="C356" s="35">
        <f>INT(A356)</f>
        <v/>
      </c>
      <c r="D356" s="36">
        <f>MONTH(A356)</f>
        <v/>
      </c>
      <c r="F356" s="30">
        <f>[1]FİYATLAR!C356</f>
        <v/>
      </c>
      <c r="G356" s="30">
        <f>[1]FİYATLAR!D356</f>
        <v/>
      </c>
      <c r="H356">
        <f>E356*F356</f>
        <v/>
      </c>
      <c r="I356">
        <f>E356*G356</f>
        <v/>
      </c>
    </row>
    <row r="357">
      <c r="A357" s="29">
        <f>[1]FİYATLAR!A357</f>
        <v/>
      </c>
      <c r="B357" s="29">
        <f>[1]FİYATLAR!B357</f>
        <v/>
      </c>
      <c r="C357" s="35">
        <f>INT(A357)</f>
        <v/>
      </c>
      <c r="D357" s="36">
        <f>MONTH(A357)</f>
        <v/>
      </c>
      <c r="F357" s="30">
        <f>[1]FİYATLAR!C357</f>
        <v/>
      </c>
      <c r="G357" s="30">
        <f>[1]FİYATLAR!D357</f>
        <v/>
      </c>
      <c r="H357">
        <f>E357*F357</f>
        <v/>
      </c>
      <c r="I357">
        <f>E357*G357</f>
        <v/>
      </c>
    </row>
    <row r="358">
      <c r="A358" s="29">
        <f>[1]FİYATLAR!A358</f>
        <v/>
      </c>
      <c r="B358" s="29">
        <f>[1]FİYATLAR!B358</f>
        <v/>
      </c>
      <c r="C358" s="35">
        <f>INT(A358)</f>
        <v/>
      </c>
      <c r="D358" s="36">
        <f>MONTH(A358)</f>
        <v/>
      </c>
      <c r="F358" s="30">
        <f>[1]FİYATLAR!C358</f>
        <v/>
      </c>
      <c r="G358" s="30">
        <f>[1]FİYATLAR!D358</f>
        <v/>
      </c>
      <c r="H358">
        <f>E358*F358</f>
        <v/>
      </c>
      <c r="I358">
        <f>E358*G358</f>
        <v/>
      </c>
    </row>
    <row r="359">
      <c r="A359" s="29">
        <f>[1]FİYATLAR!A359</f>
        <v/>
      </c>
      <c r="B359" s="29">
        <f>[1]FİYATLAR!B359</f>
        <v/>
      </c>
      <c r="C359" s="35">
        <f>INT(A359)</f>
        <v/>
      </c>
      <c r="D359" s="36">
        <f>MONTH(A359)</f>
        <v/>
      </c>
      <c r="F359" s="30">
        <f>[1]FİYATLAR!C359</f>
        <v/>
      </c>
      <c r="G359" s="30">
        <f>[1]FİYATLAR!D359</f>
        <v/>
      </c>
      <c r="H359">
        <f>E359*F359</f>
        <v/>
      </c>
      <c r="I359">
        <f>E359*G359</f>
        <v/>
      </c>
    </row>
    <row r="360">
      <c r="A360" s="29">
        <f>[1]FİYATLAR!A360</f>
        <v/>
      </c>
      <c r="B360" s="29">
        <f>[1]FİYATLAR!B360</f>
        <v/>
      </c>
      <c r="C360" s="35">
        <f>INT(A360)</f>
        <v/>
      </c>
      <c r="D360" s="36">
        <f>MONTH(A360)</f>
        <v/>
      </c>
      <c r="F360" s="30">
        <f>[1]FİYATLAR!C360</f>
        <v/>
      </c>
      <c r="G360" s="30">
        <f>[1]FİYATLAR!D360</f>
        <v/>
      </c>
      <c r="H360">
        <f>E360*F360</f>
        <v/>
      </c>
      <c r="I360">
        <f>E360*G360</f>
        <v/>
      </c>
    </row>
    <row r="361">
      <c r="A361" s="29">
        <f>[1]FİYATLAR!A361</f>
        <v/>
      </c>
      <c r="B361" s="29">
        <f>[1]FİYATLAR!B361</f>
        <v/>
      </c>
      <c r="C361" s="35">
        <f>INT(A361)</f>
        <v/>
      </c>
      <c r="D361" s="36">
        <f>MONTH(A361)</f>
        <v/>
      </c>
      <c r="F361" s="30">
        <f>[1]FİYATLAR!C361</f>
        <v/>
      </c>
      <c r="G361" s="30">
        <f>[1]FİYATLAR!D361</f>
        <v/>
      </c>
      <c r="H361">
        <f>E361*F361</f>
        <v/>
      </c>
      <c r="I361">
        <f>E361*G361</f>
        <v/>
      </c>
    </row>
    <row r="362">
      <c r="A362" s="29">
        <f>[1]FİYATLAR!A362</f>
        <v/>
      </c>
      <c r="B362" s="29">
        <f>[1]FİYATLAR!B362</f>
        <v/>
      </c>
      <c r="C362" s="35">
        <f>INT(A362)</f>
        <v/>
      </c>
      <c r="D362" s="36">
        <f>MONTH(A362)</f>
        <v/>
      </c>
      <c r="F362" s="30">
        <f>[1]FİYATLAR!C362</f>
        <v/>
      </c>
      <c r="G362" s="30">
        <f>[1]FİYATLAR!D362</f>
        <v/>
      </c>
      <c r="H362">
        <f>E362*F362</f>
        <v/>
      </c>
      <c r="I362">
        <f>E362*G362</f>
        <v/>
      </c>
    </row>
    <row r="363">
      <c r="A363" s="29">
        <f>[1]FİYATLAR!A363</f>
        <v/>
      </c>
      <c r="B363" s="29">
        <f>[1]FİYATLAR!B363</f>
        <v/>
      </c>
      <c r="C363" s="35">
        <f>INT(A363)</f>
        <v/>
      </c>
      <c r="D363" s="36">
        <f>MONTH(A363)</f>
        <v/>
      </c>
      <c r="F363" s="30">
        <f>[1]FİYATLAR!C363</f>
        <v/>
      </c>
      <c r="G363" s="30">
        <f>[1]FİYATLAR!D363</f>
        <v/>
      </c>
      <c r="H363">
        <f>E363*F363</f>
        <v/>
      </c>
      <c r="I363">
        <f>E363*G363</f>
        <v/>
      </c>
    </row>
    <row r="364">
      <c r="A364" s="29">
        <f>[1]FİYATLAR!A364</f>
        <v/>
      </c>
      <c r="B364" s="29">
        <f>[1]FİYATLAR!B364</f>
        <v/>
      </c>
      <c r="C364" s="35">
        <f>INT(A364)</f>
        <v/>
      </c>
      <c r="D364" s="36">
        <f>MONTH(A364)</f>
        <v/>
      </c>
      <c r="F364" s="30">
        <f>[1]FİYATLAR!C364</f>
        <v/>
      </c>
      <c r="G364" s="30">
        <f>[1]FİYATLAR!D364</f>
        <v/>
      </c>
      <c r="H364">
        <f>E364*F364</f>
        <v/>
      </c>
      <c r="I364">
        <f>E364*G364</f>
        <v/>
      </c>
    </row>
    <row r="365">
      <c r="A365" s="29">
        <f>[1]FİYATLAR!A365</f>
        <v/>
      </c>
      <c r="B365" s="29">
        <f>[1]FİYATLAR!B365</f>
        <v/>
      </c>
      <c r="C365" s="35">
        <f>INT(A365)</f>
        <v/>
      </c>
      <c r="D365" s="36">
        <f>MONTH(A365)</f>
        <v/>
      </c>
      <c r="F365" s="30">
        <f>[1]FİYATLAR!C365</f>
        <v/>
      </c>
      <c r="G365" s="30">
        <f>[1]FİYATLAR!D365</f>
        <v/>
      </c>
      <c r="H365">
        <f>E365*F365</f>
        <v/>
      </c>
      <c r="I365">
        <f>E365*G365</f>
        <v/>
      </c>
    </row>
    <row r="366">
      <c r="A366" s="29">
        <f>[1]FİYATLAR!A366</f>
        <v/>
      </c>
      <c r="B366" s="29">
        <f>[1]FİYATLAR!B366</f>
        <v/>
      </c>
      <c r="C366" s="35">
        <f>INT(A366)</f>
        <v/>
      </c>
      <c r="D366" s="36">
        <f>MONTH(A366)</f>
        <v/>
      </c>
      <c r="F366" s="30">
        <f>[1]FİYATLAR!C366</f>
        <v/>
      </c>
      <c r="G366" s="30">
        <f>[1]FİYATLAR!D366</f>
        <v/>
      </c>
      <c r="H366">
        <f>E366*F366</f>
        <v/>
      </c>
      <c r="I366">
        <f>E366*G366</f>
        <v/>
      </c>
    </row>
    <row r="367">
      <c r="A367" s="29">
        <f>[1]FİYATLAR!A367</f>
        <v/>
      </c>
      <c r="B367" s="29">
        <f>[1]FİYATLAR!B367</f>
        <v/>
      </c>
      <c r="C367" s="35">
        <f>INT(A367)</f>
        <v/>
      </c>
      <c r="D367" s="36">
        <f>MONTH(A367)</f>
        <v/>
      </c>
      <c r="F367" s="30">
        <f>[1]FİYATLAR!C367</f>
        <v/>
      </c>
      <c r="G367" s="30">
        <f>[1]FİYATLAR!D367</f>
        <v/>
      </c>
      <c r="H367">
        <f>E367*F367</f>
        <v/>
      </c>
      <c r="I367">
        <f>E367*G367</f>
        <v/>
      </c>
    </row>
    <row r="368">
      <c r="A368" s="29">
        <f>[1]FİYATLAR!A368</f>
        <v/>
      </c>
      <c r="B368" s="29">
        <f>[1]FİYATLAR!B368</f>
        <v/>
      </c>
      <c r="C368" s="35">
        <f>INT(A368)</f>
        <v/>
      </c>
      <c r="D368" s="36">
        <f>MONTH(A368)</f>
        <v/>
      </c>
      <c r="F368" s="30">
        <f>[1]FİYATLAR!C368</f>
        <v/>
      </c>
      <c r="G368" s="30">
        <f>[1]FİYATLAR!D368</f>
        <v/>
      </c>
      <c r="H368">
        <f>E368*F368</f>
        <v/>
      </c>
      <c r="I368">
        <f>E368*G368</f>
        <v/>
      </c>
    </row>
    <row r="369">
      <c r="A369" s="29">
        <f>[1]FİYATLAR!A369</f>
        <v/>
      </c>
      <c r="B369" s="29">
        <f>[1]FİYATLAR!B369</f>
        <v/>
      </c>
      <c r="C369" s="35">
        <f>INT(A369)</f>
        <v/>
      </c>
      <c r="D369" s="36">
        <f>MONTH(A369)</f>
        <v/>
      </c>
      <c r="F369" s="30">
        <f>[1]FİYATLAR!C369</f>
        <v/>
      </c>
      <c r="G369" s="30">
        <f>[1]FİYATLAR!D369</f>
        <v/>
      </c>
      <c r="H369">
        <f>E369*F369</f>
        <v/>
      </c>
      <c r="I369">
        <f>E369*G369</f>
        <v/>
      </c>
    </row>
    <row r="370">
      <c r="A370" s="29">
        <f>[1]FİYATLAR!A370</f>
        <v/>
      </c>
      <c r="B370" s="29">
        <f>[1]FİYATLAR!B370</f>
        <v/>
      </c>
      <c r="C370" s="35">
        <f>INT(A370)</f>
        <v/>
      </c>
      <c r="D370" s="36">
        <f>MONTH(A370)</f>
        <v/>
      </c>
      <c r="F370" s="30">
        <f>[1]FİYATLAR!C370</f>
        <v/>
      </c>
      <c r="G370" s="30">
        <f>[1]FİYATLAR!D370</f>
        <v/>
      </c>
      <c r="H370">
        <f>E370*F370</f>
        <v/>
      </c>
      <c r="I370">
        <f>E370*G370</f>
        <v/>
      </c>
    </row>
    <row r="371">
      <c r="A371" s="29">
        <f>[1]FİYATLAR!A371</f>
        <v/>
      </c>
      <c r="B371" s="29">
        <f>[1]FİYATLAR!B371</f>
        <v/>
      </c>
      <c r="C371" s="35">
        <f>INT(A371)</f>
        <v/>
      </c>
      <c r="D371" s="36">
        <f>MONTH(A371)</f>
        <v/>
      </c>
      <c r="F371" s="30">
        <f>[1]FİYATLAR!C371</f>
        <v/>
      </c>
      <c r="G371" s="30">
        <f>[1]FİYATLAR!D371</f>
        <v/>
      </c>
      <c r="H371">
        <f>E371*F371</f>
        <v/>
      </c>
      <c r="I371">
        <f>E371*G371</f>
        <v/>
      </c>
    </row>
    <row r="372">
      <c r="A372" s="29">
        <f>[1]FİYATLAR!A372</f>
        <v/>
      </c>
      <c r="B372" s="29">
        <f>[1]FİYATLAR!B372</f>
        <v/>
      </c>
      <c r="C372" s="35">
        <f>INT(A372)</f>
        <v/>
      </c>
      <c r="D372" s="36">
        <f>MONTH(A372)</f>
        <v/>
      </c>
      <c r="F372" s="30">
        <f>[1]FİYATLAR!C372</f>
        <v/>
      </c>
      <c r="G372" s="30">
        <f>[1]FİYATLAR!D372</f>
        <v/>
      </c>
      <c r="H372">
        <f>E372*F372</f>
        <v/>
      </c>
      <c r="I372">
        <f>E372*G372</f>
        <v/>
      </c>
    </row>
    <row r="373">
      <c r="A373" s="29">
        <f>[1]FİYATLAR!A373</f>
        <v/>
      </c>
      <c r="B373" s="29">
        <f>[1]FİYATLAR!B373</f>
        <v/>
      </c>
      <c r="C373" s="35">
        <f>INT(A373)</f>
        <v/>
      </c>
      <c r="D373" s="36">
        <f>MONTH(A373)</f>
        <v/>
      </c>
      <c r="F373" s="30">
        <f>[1]FİYATLAR!C373</f>
        <v/>
      </c>
      <c r="G373" s="30">
        <f>[1]FİYATLAR!D373</f>
        <v/>
      </c>
      <c r="H373">
        <f>E373*F373</f>
        <v/>
      </c>
      <c r="I373">
        <f>E373*G373</f>
        <v/>
      </c>
    </row>
    <row r="374">
      <c r="A374" s="29">
        <f>[1]FİYATLAR!A374</f>
        <v/>
      </c>
      <c r="B374" s="29">
        <f>[1]FİYATLAR!B374</f>
        <v/>
      </c>
      <c r="C374" s="35">
        <f>INT(A374)</f>
        <v/>
      </c>
      <c r="D374" s="36">
        <f>MONTH(A374)</f>
        <v/>
      </c>
      <c r="F374" s="30">
        <f>[1]FİYATLAR!C374</f>
        <v/>
      </c>
      <c r="G374" s="30">
        <f>[1]FİYATLAR!D374</f>
        <v/>
      </c>
      <c r="H374">
        <f>E374*F374</f>
        <v/>
      </c>
      <c r="I374">
        <f>E374*G374</f>
        <v/>
      </c>
    </row>
    <row r="375">
      <c r="A375" s="29">
        <f>[1]FİYATLAR!A375</f>
        <v/>
      </c>
      <c r="B375" s="29">
        <f>[1]FİYATLAR!B375</f>
        <v/>
      </c>
      <c r="C375" s="35">
        <f>INT(A375)</f>
        <v/>
      </c>
      <c r="D375" s="36">
        <f>MONTH(A375)</f>
        <v/>
      </c>
      <c r="F375" s="30">
        <f>[1]FİYATLAR!C375</f>
        <v/>
      </c>
      <c r="G375" s="30">
        <f>[1]FİYATLAR!D375</f>
        <v/>
      </c>
      <c r="H375">
        <f>E375*F375</f>
        <v/>
      </c>
      <c r="I375">
        <f>E375*G375</f>
        <v/>
      </c>
    </row>
    <row r="376">
      <c r="A376" s="29">
        <f>[1]FİYATLAR!A376</f>
        <v/>
      </c>
      <c r="B376" s="29">
        <f>[1]FİYATLAR!B376</f>
        <v/>
      </c>
      <c r="C376" s="35">
        <f>INT(A376)</f>
        <v/>
      </c>
      <c r="D376" s="36">
        <f>MONTH(A376)</f>
        <v/>
      </c>
      <c r="F376" s="30">
        <f>[1]FİYATLAR!C376</f>
        <v/>
      </c>
      <c r="G376" s="30">
        <f>[1]FİYATLAR!D376</f>
        <v/>
      </c>
      <c r="H376">
        <f>E376*F376</f>
        <v/>
      </c>
      <c r="I376">
        <f>E376*G376</f>
        <v/>
      </c>
    </row>
    <row r="377">
      <c r="A377" s="29">
        <f>[1]FİYATLAR!A377</f>
        <v/>
      </c>
      <c r="B377" s="29">
        <f>[1]FİYATLAR!B377</f>
        <v/>
      </c>
      <c r="C377" s="35">
        <f>INT(A377)</f>
        <v/>
      </c>
      <c r="D377" s="36">
        <f>MONTH(A377)</f>
        <v/>
      </c>
      <c r="F377" s="30">
        <f>[1]FİYATLAR!C377</f>
        <v/>
      </c>
      <c r="G377" s="30">
        <f>[1]FİYATLAR!D377</f>
        <v/>
      </c>
      <c r="H377">
        <f>E377*F377</f>
        <v/>
      </c>
      <c r="I377">
        <f>E377*G377</f>
        <v/>
      </c>
    </row>
    <row r="378">
      <c r="A378" s="29">
        <f>[1]FİYATLAR!A378</f>
        <v/>
      </c>
      <c r="B378" s="29">
        <f>[1]FİYATLAR!B378</f>
        <v/>
      </c>
      <c r="C378" s="35">
        <f>INT(A378)</f>
        <v/>
      </c>
      <c r="D378" s="36">
        <f>MONTH(A378)</f>
        <v/>
      </c>
      <c r="F378" s="30">
        <f>[1]FİYATLAR!C378</f>
        <v/>
      </c>
      <c r="G378" s="30">
        <f>[1]FİYATLAR!D378</f>
        <v/>
      </c>
      <c r="H378">
        <f>E378*F378</f>
        <v/>
      </c>
      <c r="I378">
        <f>E378*G378</f>
        <v/>
      </c>
    </row>
    <row r="379">
      <c r="A379" s="29">
        <f>[1]FİYATLAR!A379</f>
        <v/>
      </c>
      <c r="B379" s="29">
        <f>[1]FİYATLAR!B379</f>
        <v/>
      </c>
      <c r="C379" s="35">
        <f>INT(A379)</f>
        <v/>
      </c>
      <c r="D379" s="36">
        <f>MONTH(A379)</f>
        <v/>
      </c>
      <c r="F379" s="30">
        <f>[1]FİYATLAR!C379</f>
        <v/>
      </c>
      <c r="G379" s="30">
        <f>[1]FİYATLAR!D379</f>
        <v/>
      </c>
      <c r="H379">
        <f>E379*F379</f>
        <v/>
      </c>
      <c r="I379">
        <f>E379*G379</f>
        <v/>
      </c>
    </row>
    <row r="380">
      <c r="A380" s="29">
        <f>[1]FİYATLAR!A380</f>
        <v/>
      </c>
      <c r="B380" s="29">
        <f>[1]FİYATLAR!B380</f>
        <v/>
      </c>
      <c r="C380" s="35">
        <f>INT(A380)</f>
        <v/>
      </c>
      <c r="D380" s="36">
        <f>MONTH(A380)</f>
        <v/>
      </c>
      <c r="F380" s="30">
        <f>[1]FİYATLAR!C380</f>
        <v/>
      </c>
      <c r="G380" s="30">
        <f>[1]FİYATLAR!D380</f>
        <v/>
      </c>
      <c r="H380">
        <f>E380*F380</f>
        <v/>
      </c>
      <c r="I380">
        <f>E380*G380</f>
        <v/>
      </c>
    </row>
    <row r="381">
      <c r="A381" s="29">
        <f>[1]FİYATLAR!A381</f>
        <v/>
      </c>
      <c r="B381" s="29">
        <f>[1]FİYATLAR!B381</f>
        <v/>
      </c>
      <c r="C381" s="35">
        <f>INT(A381)</f>
        <v/>
      </c>
      <c r="D381" s="36">
        <f>MONTH(A381)</f>
        <v/>
      </c>
      <c r="F381" s="30">
        <f>[1]FİYATLAR!C381</f>
        <v/>
      </c>
      <c r="G381" s="30">
        <f>[1]FİYATLAR!D381</f>
        <v/>
      </c>
      <c r="H381">
        <f>E381*F381</f>
        <v/>
      </c>
      <c r="I381">
        <f>E381*G381</f>
        <v/>
      </c>
    </row>
    <row r="382">
      <c r="A382" s="29">
        <f>[1]FİYATLAR!A382</f>
        <v/>
      </c>
      <c r="B382" s="29">
        <f>[1]FİYATLAR!B382</f>
        <v/>
      </c>
      <c r="C382" s="35">
        <f>INT(A382)</f>
        <v/>
      </c>
      <c r="D382" s="36">
        <f>MONTH(A382)</f>
        <v/>
      </c>
      <c r="F382" s="30">
        <f>[1]FİYATLAR!C382</f>
        <v/>
      </c>
      <c r="G382" s="30">
        <f>[1]FİYATLAR!D382</f>
        <v/>
      </c>
      <c r="H382">
        <f>E382*F382</f>
        <v/>
      </c>
      <c r="I382">
        <f>E382*G382</f>
        <v/>
      </c>
    </row>
    <row r="383">
      <c r="A383" s="29">
        <f>[1]FİYATLAR!A383</f>
        <v/>
      </c>
      <c r="B383" s="29">
        <f>[1]FİYATLAR!B383</f>
        <v/>
      </c>
      <c r="C383" s="35">
        <f>INT(A383)</f>
        <v/>
      </c>
      <c r="D383" s="36">
        <f>MONTH(A383)</f>
        <v/>
      </c>
      <c r="F383" s="30">
        <f>[1]FİYATLAR!C383</f>
        <v/>
      </c>
      <c r="G383" s="30">
        <f>[1]FİYATLAR!D383</f>
        <v/>
      </c>
      <c r="H383">
        <f>E383*F383</f>
        <v/>
      </c>
      <c r="I383">
        <f>E383*G383</f>
        <v/>
      </c>
    </row>
    <row r="384">
      <c r="A384" s="29">
        <f>[1]FİYATLAR!A384</f>
        <v/>
      </c>
      <c r="B384" s="29">
        <f>[1]FİYATLAR!B384</f>
        <v/>
      </c>
      <c r="C384" s="35">
        <f>INT(A384)</f>
        <v/>
      </c>
      <c r="D384" s="36">
        <f>MONTH(A384)</f>
        <v/>
      </c>
      <c r="F384" s="30">
        <f>[1]FİYATLAR!C384</f>
        <v/>
      </c>
      <c r="G384" s="30">
        <f>[1]FİYATLAR!D384</f>
        <v/>
      </c>
      <c r="H384">
        <f>E384*F384</f>
        <v/>
      </c>
      <c r="I384">
        <f>E384*G384</f>
        <v/>
      </c>
    </row>
    <row r="385">
      <c r="A385" s="29">
        <f>[1]FİYATLAR!A385</f>
        <v/>
      </c>
      <c r="B385" s="29">
        <f>[1]FİYATLAR!B385</f>
        <v/>
      </c>
      <c r="C385" s="35">
        <f>INT(A385)</f>
        <v/>
      </c>
      <c r="D385" s="36">
        <f>MONTH(A385)</f>
        <v/>
      </c>
      <c r="F385" s="30">
        <f>[1]FİYATLAR!C385</f>
        <v/>
      </c>
      <c r="G385" s="30">
        <f>[1]FİYATLAR!D385</f>
        <v/>
      </c>
      <c r="H385">
        <f>E385*F385</f>
        <v/>
      </c>
      <c r="I385">
        <f>E385*G385</f>
        <v/>
      </c>
    </row>
    <row r="386">
      <c r="A386" s="29">
        <f>[1]FİYATLAR!A386</f>
        <v/>
      </c>
      <c r="B386" s="29">
        <f>[1]FİYATLAR!B386</f>
        <v/>
      </c>
      <c r="C386" s="35">
        <f>INT(A386)</f>
        <v/>
      </c>
      <c r="D386" s="36">
        <f>MONTH(A386)</f>
        <v/>
      </c>
      <c r="F386" s="30">
        <f>[1]FİYATLAR!C386</f>
        <v/>
      </c>
      <c r="G386" s="30">
        <f>[1]FİYATLAR!D386</f>
        <v/>
      </c>
      <c r="H386">
        <f>E386*F386</f>
        <v/>
      </c>
      <c r="I386">
        <f>E386*G386</f>
        <v/>
      </c>
    </row>
    <row r="387">
      <c r="A387" s="29">
        <f>[1]FİYATLAR!A387</f>
        <v/>
      </c>
      <c r="B387" s="29">
        <f>[1]FİYATLAR!B387</f>
        <v/>
      </c>
      <c r="C387" s="35">
        <f>INT(A387)</f>
        <v/>
      </c>
      <c r="D387" s="36">
        <f>MONTH(A387)</f>
        <v/>
      </c>
      <c r="F387" s="30">
        <f>[1]FİYATLAR!C387</f>
        <v/>
      </c>
      <c r="G387" s="30">
        <f>[1]FİYATLAR!D387</f>
        <v/>
      </c>
      <c r="H387">
        <f>E387*F387</f>
        <v/>
      </c>
      <c r="I387">
        <f>E387*G387</f>
        <v/>
      </c>
    </row>
    <row r="388">
      <c r="A388" s="29">
        <f>[1]FİYATLAR!A388</f>
        <v/>
      </c>
      <c r="B388" s="29">
        <f>[1]FİYATLAR!B388</f>
        <v/>
      </c>
      <c r="C388" s="35">
        <f>INT(A388)</f>
        <v/>
      </c>
      <c r="D388" s="36">
        <f>MONTH(A388)</f>
        <v/>
      </c>
      <c r="F388" s="30">
        <f>[1]FİYATLAR!C388</f>
        <v/>
      </c>
      <c r="G388" s="30">
        <f>[1]FİYATLAR!D388</f>
        <v/>
      </c>
      <c r="H388">
        <f>E388*F388</f>
        <v/>
      </c>
      <c r="I388">
        <f>E388*G388</f>
        <v/>
      </c>
    </row>
    <row r="389">
      <c r="A389" s="29">
        <f>[1]FİYATLAR!A389</f>
        <v/>
      </c>
      <c r="B389" s="29">
        <f>[1]FİYATLAR!B389</f>
        <v/>
      </c>
      <c r="C389" s="35">
        <f>INT(A389)</f>
        <v/>
      </c>
      <c r="D389" s="36">
        <f>MONTH(A389)</f>
        <v/>
      </c>
      <c r="F389" s="30">
        <f>[1]FİYATLAR!C389</f>
        <v/>
      </c>
      <c r="G389" s="30">
        <f>[1]FİYATLAR!D389</f>
        <v/>
      </c>
      <c r="H389">
        <f>E389*F389</f>
        <v/>
      </c>
      <c r="I389">
        <f>E389*G389</f>
        <v/>
      </c>
    </row>
    <row r="390">
      <c r="A390" s="29">
        <f>[1]FİYATLAR!A390</f>
        <v/>
      </c>
      <c r="B390" s="29">
        <f>[1]FİYATLAR!B390</f>
        <v/>
      </c>
      <c r="C390" s="35">
        <f>INT(A390)</f>
        <v/>
      </c>
      <c r="D390" s="36">
        <f>MONTH(A390)</f>
        <v/>
      </c>
      <c r="F390" s="30">
        <f>[1]FİYATLAR!C390</f>
        <v/>
      </c>
      <c r="G390" s="30">
        <f>[1]FİYATLAR!D390</f>
        <v/>
      </c>
      <c r="H390">
        <f>E390*F390</f>
        <v/>
      </c>
      <c r="I390">
        <f>E390*G390</f>
        <v/>
      </c>
    </row>
    <row r="391">
      <c r="A391" s="29">
        <f>[1]FİYATLAR!A391</f>
        <v/>
      </c>
      <c r="B391" s="29">
        <f>[1]FİYATLAR!B391</f>
        <v/>
      </c>
      <c r="C391" s="35">
        <f>INT(A391)</f>
        <v/>
      </c>
      <c r="D391" s="36">
        <f>MONTH(A391)</f>
        <v/>
      </c>
      <c r="F391" s="30">
        <f>[1]FİYATLAR!C391</f>
        <v/>
      </c>
      <c r="G391" s="30">
        <f>[1]FİYATLAR!D391</f>
        <v/>
      </c>
      <c r="H391">
        <f>E391*F391</f>
        <v/>
      </c>
      <c r="I391">
        <f>E391*G391</f>
        <v/>
      </c>
    </row>
    <row r="392">
      <c r="A392" s="29">
        <f>[1]FİYATLAR!A392</f>
        <v/>
      </c>
      <c r="B392" s="29">
        <f>[1]FİYATLAR!B392</f>
        <v/>
      </c>
      <c r="C392" s="35">
        <f>INT(A392)</f>
        <v/>
      </c>
      <c r="D392" s="36">
        <f>MONTH(A392)</f>
        <v/>
      </c>
      <c r="F392" s="30">
        <f>[1]FİYATLAR!C392</f>
        <v/>
      </c>
      <c r="G392" s="30">
        <f>[1]FİYATLAR!D392</f>
        <v/>
      </c>
      <c r="H392">
        <f>E392*F392</f>
        <v/>
      </c>
      <c r="I392">
        <f>E392*G392</f>
        <v/>
      </c>
    </row>
    <row r="393">
      <c r="A393" s="29">
        <f>[1]FİYATLAR!A393</f>
        <v/>
      </c>
      <c r="B393" s="29">
        <f>[1]FİYATLAR!B393</f>
        <v/>
      </c>
      <c r="C393" s="35">
        <f>INT(A393)</f>
        <v/>
      </c>
      <c r="D393" s="36">
        <f>MONTH(A393)</f>
        <v/>
      </c>
      <c r="F393" s="30">
        <f>[1]FİYATLAR!C393</f>
        <v/>
      </c>
      <c r="G393" s="30">
        <f>[1]FİYATLAR!D393</f>
        <v/>
      </c>
      <c r="H393">
        <f>E393*F393</f>
        <v/>
      </c>
      <c r="I393">
        <f>E393*G393</f>
        <v/>
      </c>
    </row>
    <row r="394">
      <c r="A394" s="29">
        <f>[1]FİYATLAR!A394</f>
        <v/>
      </c>
      <c r="B394" s="29">
        <f>[1]FİYATLAR!B394</f>
        <v/>
      </c>
      <c r="C394" s="35">
        <f>INT(A394)</f>
        <v/>
      </c>
      <c r="D394" s="36">
        <f>MONTH(A394)</f>
        <v/>
      </c>
      <c r="F394" s="30">
        <f>[1]FİYATLAR!C394</f>
        <v/>
      </c>
      <c r="G394" s="30">
        <f>[1]FİYATLAR!D394</f>
        <v/>
      </c>
      <c r="H394">
        <f>E394*F394</f>
        <v/>
      </c>
      <c r="I394">
        <f>E394*G394</f>
        <v/>
      </c>
    </row>
    <row r="395">
      <c r="A395" s="29">
        <f>[1]FİYATLAR!A395</f>
        <v/>
      </c>
      <c r="B395" s="29">
        <f>[1]FİYATLAR!B395</f>
        <v/>
      </c>
      <c r="C395" s="35">
        <f>INT(A395)</f>
        <v/>
      </c>
      <c r="D395" s="36">
        <f>MONTH(A395)</f>
        <v/>
      </c>
      <c r="F395" s="30">
        <f>[1]FİYATLAR!C395</f>
        <v/>
      </c>
      <c r="G395" s="30">
        <f>[1]FİYATLAR!D395</f>
        <v/>
      </c>
      <c r="H395">
        <f>E395*F395</f>
        <v/>
      </c>
      <c r="I395">
        <f>E395*G395</f>
        <v/>
      </c>
    </row>
    <row r="396">
      <c r="A396" s="29">
        <f>[1]FİYATLAR!A396</f>
        <v/>
      </c>
      <c r="B396" s="29">
        <f>[1]FİYATLAR!B396</f>
        <v/>
      </c>
      <c r="C396" s="35">
        <f>INT(A396)</f>
        <v/>
      </c>
      <c r="D396" s="36">
        <f>MONTH(A396)</f>
        <v/>
      </c>
      <c r="F396" s="30">
        <f>[1]FİYATLAR!C396</f>
        <v/>
      </c>
      <c r="G396" s="30">
        <f>[1]FİYATLAR!D396</f>
        <v/>
      </c>
      <c r="H396">
        <f>E396*F396</f>
        <v/>
      </c>
      <c r="I396">
        <f>E396*G396</f>
        <v/>
      </c>
    </row>
    <row r="397">
      <c r="A397" s="29">
        <f>[1]FİYATLAR!A397</f>
        <v/>
      </c>
      <c r="B397" s="29">
        <f>[1]FİYATLAR!B397</f>
        <v/>
      </c>
      <c r="C397" s="35">
        <f>INT(A397)</f>
        <v/>
      </c>
      <c r="D397" s="36">
        <f>MONTH(A397)</f>
        <v/>
      </c>
      <c r="F397" s="30">
        <f>[1]FİYATLAR!C397</f>
        <v/>
      </c>
      <c r="G397" s="30">
        <f>[1]FİYATLAR!D397</f>
        <v/>
      </c>
      <c r="H397">
        <f>E397*F397</f>
        <v/>
      </c>
      <c r="I397">
        <f>E397*G397</f>
        <v/>
      </c>
    </row>
    <row r="398">
      <c r="A398" s="29">
        <f>[1]FİYATLAR!A398</f>
        <v/>
      </c>
      <c r="B398" s="29">
        <f>[1]FİYATLAR!B398</f>
        <v/>
      </c>
      <c r="C398" s="35">
        <f>INT(A398)</f>
        <v/>
      </c>
      <c r="D398" s="36">
        <f>MONTH(A398)</f>
        <v/>
      </c>
      <c r="F398" s="30">
        <f>[1]FİYATLAR!C398</f>
        <v/>
      </c>
      <c r="G398" s="30">
        <f>[1]FİYATLAR!D398</f>
        <v/>
      </c>
      <c r="H398">
        <f>E398*F398</f>
        <v/>
      </c>
      <c r="I398">
        <f>E398*G398</f>
        <v/>
      </c>
    </row>
    <row r="399">
      <c r="A399" s="29">
        <f>[1]FİYATLAR!A399</f>
        <v/>
      </c>
      <c r="B399" s="29">
        <f>[1]FİYATLAR!B399</f>
        <v/>
      </c>
      <c r="C399" s="35">
        <f>INT(A399)</f>
        <v/>
      </c>
      <c r="D399" s="36">
        <f>MONTH(A399)</f>
        <v/>
      </c>
      <c r="F399" s="30">
        <f>[1]FİYATLAR!C399</f>
        <v/>
      </c>
      <c r="G399" s="30">
        <f>[1]FİYATLAR!D399</f>
        <v/>
      </c>
      <c r="H399">
        <f>E399*F399</f>
        <v/>
      </c>
      <c r="I399">
        <f>E399*G399</f>
        <v/>
      </c>
    </row>
    <row r="400">
      <c r="A400" s="29">
        <f>[1]FİYATLAR!A400</f>
        <v/>
      </c>
      <c r="B400" s="29">
        <f>[1]FİYATLAR!B400</f>
        <v/>
      </c>
      <c r="C400" s="35">
        <f>INT(A400)</f>
        <v/>
      </c>
      <c r="D400" s="36">
        <f>MONTH(A400)</f>
        <v/>
      </c>
      <c r="F400" s="30">
        <f>[1]FİYATLAR!C400</f>
        <v/>
      </c>
      <c r="G400" s="30">
        <f>[1]FİYATLAR!D400</f>
        <v/>
      </c>
      <c r="H400">
        <f>E400*F400</f>
        <v/>
      </c>
      <c r="I400">
        <f>E400*G400</f>
        <v/>
      </c>
    </row>
    <row r="401">
      <c r="A401" s="29">
        <f>[1]FİYATLAR!A401</f>
        <v/>
      </c>
      <c r="B401" s="29">
        <f>[1]FİYATLAR!B401</f>
        <v/>
      </c>
      <c r="C401" s="35">
        <f>INT(A401)</f>
        <v/>
      </c>
      <c r="D401" s="36">
        <f>MONTH(A401)</f>
        <v/>
      </c>
      <c r="F401" s="30">
        <f>[1]FİYATLAR!C401</f>
        <v/>
      </c>
      <c r="G401" s="30">
        <f>[1]FİYATLAR!D401</f>
        <v/>
      </c>
      <c r="H401">
        <f>E401*F401</f>
        <v/>
      </c>
      <c r="I401">
        <f>E401*G401</f>
        <v/>
      </c>
    </row>
    <row r="402">
      <c r="A402" s="29">
        <f>[1]FİYATLAR!A402</f>
        <v/>
      </c>
      <c r="B402" s="29">
        <f>[1]FİYATLAR!B402</f>
        <v/>
      </c>
      <c r="C402" s="35">
        <f>INT(A402)</f>
        <v/>
      </c>
      <c r="D402" s="36">
        <f>MONTH(A402)</f>
        <v/>
      </c>
      <c r="F402" s="30">
        <f>[1]FİYATLAR!C402</f>
        <v/>
      </c>
      <c r="G402" s="30">
        <f>[1]FİYATLAR!D402</f>
        <v/>
      </c>
      <c r="H402">
        <f>E402*F402</f>
        <v/>
      </c>
      <c r="I402">
        <f>E402*G402</f>
        <v/>
      </c>
    </row>
    <row r="403">
      <c r="A403" s="29">
        <f>[1]FİYATLAR!A403</f>
        <v/>
      </c>
      <c r="B403" s="29">
        <f>[1]FİYATLAR!B403</f>
        <v/>
      </c>
      <c r="C403" s="35">
        <f>INT(A403)</f>
        <v/>
      </c>
      <c r="D403" s="36">
        <f>MONTH(A403)</f>
        <v/>
      </c>
      <c r="F403" s="30">
        <f>[1]FİYATLAR!C403</f>
        <v/>
      </c>
      <c r="G403" s="30">
        <f>[1]FİYATLAR!D403</f>
        <v/>
      </c>
      <c r="H403">
        <f>E403*F403</f>
        <v/>
      </c>
      <c r="I403">
        <f>E403*G403</f>
        <v/>
      </c>
    </row>
    <row r="404">
      <c r="A404" s="29">
        <f>[1]FİYATLAR!A404</f>
        <v/>
      </c>
      <c r="B404" s="29">
        <f>[1]FİYATLAR!B404</f>
        <v/>
      </c>
      <c r="C404" s="35">
        <f>INT(A404)</f>
        <v/>
      </c>
      <c r="D404" s="36">
        <f>MONTH(A404)</f>
        <v/>
      </c>
      <c r="F404" s="30">
        <f>[1]FİYATLAR!C404</f>
        <v/>
      </c>
      <c r="G404" s="30">
        <f>[1]FİYATLAR!D404</f>
        <v/>
      </c>
      <c r="H404">
        <f>E404*F404</f>
        <v/>
      </c>
      <c r="I404">
        <f>E404*G404</f>
        <v/>
      </c>
    </row>
    <row r="405">
      <c r="A405" s="29">
        <f>[1]FİYATLAR!A405</f>
        <v/>
      </c>
      <c r="B405" s="29">
        <f>[1]FİYATLAR!B405</f>
        <v/>
      </c>
      <c r="C405" s="35">
        <f>INT(A405)</f>
        <v/>
      </c>
      <c r="D405" s="36">
        <f>MONTH(A405)</f>
        <v/>
      </c>
      <c r="F405" s="30">
        <f>[1]FİYATLAR!C405</f>
        <v/>
      </c>
      <c r="G405" s="30">
        <f>[1]FİYATLAR!D405</f>
        <v/>
      </c>
      <c r="H405">
        <f>E405*F405</f>
        <v/>
      </c>
      <c r="I405">
        <f>E405*G405</f>
        <v/>
      </c>
    </row>
    <row r="406">
      <c r="A406" s="29">
        <f>[1]FİYATLAR!A406</f>
        <v/>
      </c>
      <c r="B406" s="29">
        <f>[1]FİYATLAR!B406</f>
        <v/>
      </c>
      <c r="C406" s="35">
        <f>INT(A406)</f>
        <v/>
      </c>
      <c r="D406" s="36">
        <f>MONTH(A406)</f>
        <v/>
      </c>
      <c r="F406" s="30">
        <f>[1]FİYATLAR!C406</f>
        <v/>
      </c>
      <c r="G406" s="30">
        <f>[1]FİYATLAR!D406</f>
        <v/>
      </c>
      <c r="H406">
        <f>E406*F406</f>
        <v/>
      </c>
      <c r="I406">
        <f>E406*G406</f>
        <v/>
      </c>
    </row>
    <row r="407">
      <c r="A407" s="29">
        <f>[1]FİYATLAR!A407</f>
        <v/>
      </c>
      <c r="B407" s="29">
        <f>[1]FİYATLAR!B407</f>
        <v/>
      </c>
      <c r="C407" s="35">
        <f>INT(A407)</f>
        <v/>
      </c>
      <c r="D407" s="36">
        <f>MONTH(A407)</f>
        <v/>
      </c>
      <c r="F407" s="30">
        <f>[1]FİYATLAR!C407</f>
        <v/>
      </c>
      <c r="G407" s="30">
        <f>[1]FİYATLAR!D407</f>
        <v/>
      </c>
      <c r="H407">
        <f>E407*F407</f>
        <v/>
      </c>
      <c r="I407">
        <f>E407*G407</f>
        <v/>
      </c>
    </row>
    <row r="408">
      <c r="A408" s="29">
        <f>[1]FİYATLAR!A408</f>
        <v/>
      </c>
      <c r="B408" s="29">
        <f>[1]FİYATLAR!B408</f>
        <v/>
      </c>
      <c r="C408" s="35">
        <f>INT(A408)</f>
        <v/>
      </c>
      <c r="D408" s="36">
        <f>MONTH(A408)</f>
        <v/>
      </c>
      <c r="F408" s="30">
        <f>[1]FİYATLAR!C408</f>
        <v/>
      </c>
      <c r="G408" s="30">
        <f>[1]FİYATLAR!D408</f>
        <v/>
      </c>
      <c r="H408">
        <f>E408*F408</f>
        <v/>
      </c>
      <c r="I408">
        <f>E408*G408</f>
        <v/>
      </c>
    </row>
    <row r="409">
      <c r="A409" s="29">
        <f>[1]FİYATLAR!A409</f>
        <v/>
      </c>
      <c r="B409" s="29">
        <f>[1]FİYATLAR!B409</f>
        <v/>
      </c>
      <c r="C409" s="35">
        <f>INT(A409)</f>
        <v/>
      </c>
      <c r="D409" s="36">
        <f>MONTH(A409)</f>
        <v/>
      </c>
      <c r="F409" s="30">
        <f>[1]FİYATLAR!C409</f>
        <v/>
      </c>
      <c r="G409" s="30">
        <f>[1]FİYATLAR!D409</f>
        <v/>
      </c>
      <c r="H409">
        <f>E409*F409</f>
        <v/>
      </c>
      <c r="I409">
        <f>E409*G409</f>
        <v/>
      </c>
    </row>
    <row r="410">
      <c r="A410" s="29">
        <f>[1]FİYATLAR!A410</f>
        <v/>
      </c>
      <c r="B410" s="29">
        <f>[1]FİYATLAR!B410</f>
        <v/>
      </c>
      <c r="C410" s="35">
        <f>INT(A410)</f>
        <v/>
      </c>
      <c r="D410" s="36">
        <f>MONTH(A410)</f>
        <v/>
      </c>
      <c r="F410" s="30">
        <f>[1]FİYATLAR!C410</f>
        <v/>
      </c>
      <c r="G410" s="30">
        <f>[1]FİYATLAR!D410</f>
        <v/>
      </c>
      <c r="H410">
        <f>E410*F410</f>
        <v/>
      </c>
      <c r="I410">
        <f>E410*G410</f>
        <v/>
      </c>
    </row>
    <row r="411">
      <c r="A411" s="29">
        <f>[1]FİYATLAR!A411</f>
        <v/>
      </c>
      <c r="B411" s="29">
        <f>[1]FİYATLAR!B411</f>
        <v/>
      </c>
      <c r="C411" s="35">
        <f>INT(A411)</f>
        <v/>
      </c>
      <c r="D411" s="36">
        <f>MONTH(A411)</f>
        <v/>
      </c>
      <c r="F411" s="30">
        <f>[1]FİYATLAR!C411</f>
        <v/>
      </c>
      <c r="G411" s="30">
        <f>[1]FİYATLAR!D411</f>
        <v/>
      </c>
      <c r="H411">
        <f>E411*F411</f>
        <v/>
      </c>
      <c r="I411">
        <f>E411*G411</f>
        <v/>
      </c>
    </row>
    <row r="412">
      <c r="A412" s="29">
        <f>[1]FİYATLAR!A412</f>
        <v/>
      </c>
      <c r="B412" s="29">
        <f>[1]FİYATLAR!B412</f>
        <v/>
      </c>
      <c r="C412" s="35">
        <f>INT(A412)</f>
        <v/>
      </c>
      <c r="D412" s="36">
        <f>MONTH(A412)</f>
        <v/>
      </c>
      <c r="F412" s="30">
        <f>[1]FİYATLAR!C412</f>
        <v/>
      </c>
      <c r="G412" s="30">
        <f>[1]FİYATLAR!D412</f>
        <v/>
      </c>
      <c r="H412">
        <f>E412*F412</f>
        <v/>
      </c>
      <c r="I412">
        <f>E412*G412</f>
        <v/>
      </c>
    </row>
    <row r="413">
      <c r="A413" s="29">
        <f>[1]FİYATLAR!A413</f>
        <v/>
      </c>
      <c r="B413" s="29">
        <f>[1]FİYATLAR!B413</f>
        <v/>
      </c>
      <c r="C413" s="35">
        <f>INT(A413)</f>
        <v/>
      </c>
      <c r="D413" s="36">
        <f>MONTH(A413)</f>
        <v/>
      </c>
      <c r="F413" s="30">
        <f>[1]FİYATLAR!C413</f>
        <v/>
      </c>
      <c r="G413" s="30">
        <f>[1]FİYATLAR!D413</f>
        <v/>
      </c>
      <c r="H413">
        <f>E413*F413</f>
        <v/>
      </c>
      <c r="I413">
        <f>E413*G413</f>
        <v/>
      </c>
    </row>
    <row r="414">
      <c r="A414" s="29">
        <f>[1]FİYATLAR!A414</f>
        <v/>
      </c>
      <c r="B414" s="29">
        <f>[1]FİYATLAR!B414</f>
        <v/>
      </c>
      <c r="C414" s="35">
        <f>INT(A414)</f>
        <v/>
      </c>
      <c r="D414" s="36">
        <f>MONTH(A414)</f>
        <v/>
      </c>
      <c r="F414" s="30">
        <f>[1]FİYATLAR!C414</f>
        <v/>
      </c>
      <c r="G414" s="30">
        <f>[1]FİYATLAR!D414</f>
        <v/>
      </c>
      <c r="H414">
        <f>E414*F414</f>
        <v/>
      </c>
      <c r="I414">
        <f>E414*G414</f>
        <v/>
      </c>
    </row>
    <row r="415">
      <c r="A415" s="29">
        <f>[1]FİYATLAR!A415</f>
        <v/>
      </c>
      <c r="B415" s="29">
        <f>[1]FİYATLAR!B415</f>
        <v/>
      </c>
      <c r="C415" s="35">
        <f>INT(A415)</f>
        <v/>
      </c>
      <c r="D415" s="36">
        <f>MONTH(A415)</f>
        <v/>
      </c>
      <c r="F415" s="30">
        <f>[1]FİYATLAR!C415</f>
        <v/>
      </c>
      <c r="G415" s="30">
        <f>[1]FİYATLAR!D415</f>
        <v/>
      </c>
      <c r="H415">
        <f>E415*F415</f>
        <v/>
      </c>
      <c r="I415">
        <f>E415*G415</f>
        <v/>
      </c>
    </row>
    <row r="416">
      <c r="A416" s="29">
        <f>[1]FİYATLAR!A416</f>
        <v/>
      </c>
      <c r="B416" s="29">
        <f>[1]FİYATLAR!B416</f>
        <v/>
      </c>
      <c r="C416" s="35">
        <f>INT(A416)</f>
        <v/>
      </c>
      <c r="D416" s="36">
        <f>MONTH(A416)</f>
        <v/>
      </c>
      <c r="F416" s="30">
        <f>[1]FİYATLAR!C416</f>
        <v/>
      </c>
      <c r="G416" s="30">
        <f>[1]FİYATLAR!D416</f>
        <v/>
      </c>
      <c r="H416">
        <f>E416*F416</f>
        <v/>
      </c>
      <c r="I416">
        <f>E416*G416</f>
        <v/>
      </c>
    </row>
    <row r="417">
      <c r="A417" s="29">
        <f>[1]FİYATLAR!A417</f>
        <v/>
      </c>
      <c r="B417" s="29">
        <f>[1]FİYATLAR!B417</f>
        <v/>
      </c>
      <c r="C417" s="35">
        <f>INT(A417)</f>
        <v/>
      </c>
      <c r="D417" s="36">
        <f>MONTH(A417)</f>
        <v/>
      </c>
      <c r="F417" s="30">
        <f>[1]FİYATLAR!C417</f>
        <v/>
      </c>
      <c r="G417" s="30">
        <f>[1]FİYATLAR!D417</f>
        <v/>
      </c>
      <c r="H417">
        <f>E417*F417</f>
        <v/>
      </c>
      <c r="I417">
        <f>E417*G417</f>
        <v/>
      </c>
    </row>
    <row r="418">
      <c r="A418" s="29">
        <f>[1]FİYATLAR!A418</f>
        <v/>
      </c>
      <c r="B418" s="29">
        <f>[1]FİYATLAR!B418</f>
        <v/>
      </c>
      <c r="C418" s="35">
        <f>INT(A418)</f>
        <v/>
      </c>
      <c r="D418" s="36">
        <f>MONTH(A418)</f>
        <v/>
      </c>
      <c r="F418" s="30">
        <f>[1]FİYATLAR!C418</f>
        <v/>
      </c>
      <c r="G418" s="30">
        <f>[1]FİYATLAR!D418</f>
        <v/>
      </c>
      <c r="H418">
        <f>E418*F418</f>
        <v/>
      </c>
      <c r="I418">
        <f>E418*G418</f>
        <v/>
      </c>
    </row>
    <row r="419">
      <c r="A419" s="29">
        <f>[1]FİYATLAR!A419</f>
        <v/>
      </c>
      <c r="B419" s="29">
        <f>[1]FİYATLAR!B419</f>
        <v/>
      </c>
      <c r="C419" s="35">
        <f>INT(A419)</f>
        <v/>
      </c>
      <c r="D419" s="36">
        <f>MONTH(A419)</f>
        <v/>
      </c>
      <c r="F419" s="30">
        <f>[1]FİYATLAR!C419</f>
        <v/>
      </c>
      <c r="G419" s="30">
        <f>[1]FİYATLAR!D419</f>
        <v/>
      </c>
      <c r="H419">
        <f>E419*F419</f>
        <v/>
      </c>
      <c r="I419">
        <f>E419*G419</f>
        <v/>
      </c>
    </row>
    <row r="420">
      <c r="A420" s="29">
        <f>[1]FİYATLAR!A420</f>
        <v/>
      </c>
      <c r="B420" s="29">
        <f>[1]FİYATLAR!B420</f>
        <v/>
      </c>
      <c r="C420" s="35">
        <f>INT(A420)</f>
        <v/>
      </c>
      <c r="D420" s="36">
        <f>MONTH(A420)</f>
        <v/>
      </c>
      <c r="F420" s="30">
        <f>[1]FİYATLAR!C420</f>
        <v/>
      </c>
      <c r="G420" s="30">
        <f>[1]FİYATLAR!D420</f>
        <v/>
      </c>
      <c r="H420">
        <f>E420*F420</f>
        <v/>
      </c>
      <c r="I420">
        <f>E420*G420</f>
        <v/>
      </c>
    </row>
    <row r="421">
      <c r="A421" s="29">
        <f>[1]FİYATLAR!A421</f>
        <v/>
      </c>
      <c r="B421" s="29">
        <f>[1]FİYATLAR!B421</f>
        <v/>
      </c>
      <c r="C421" s="35">
        <f>INT(A421)</f>
        <v/>
      </c>
      <c r="D421" s="36">
        <f>MONTH(A421)</f>
        <v/>
      </c>
      <c r="F421" s="30">
        <f>[1]FİYATLAR!C421</f>
        <v/>
      </c>
      <c r="G421" s="30">
        <f>[1]FİYATLAR!D421</f>
        <v/>
      </c>
      <c r="H421">
        <f>E421*F421</f>
        <v/>
      </c>
      <c r="I421">
        <f>E421*G421</f>
        <v/>
      </c>
    </row>
    <row r="422">
      <c r="A422" s="29">
        <f>[1]FİYATLAR!A422</f>
        <v/>
      </c>
      <c r="B422" s="29">
        <f>[1]FİYATLAR!B422</f>
        <v/>
      </c>
      <c r="C422" s="35">
        <f>INT(A422)</f>
        <v/>
      </c>
      <c r="D422" s="36">
        <f>MONTH(A422)</f>
        <v/>
      </c>
      <c r="F422" s="30">
        <f>[1]FİYATLAR!C422</f>
        <v/>
      </c>
      <c r="G422" s="30">
        <f>[1]FİYATLAR!D422</f>
        <v/>
      </c>
      <c r="H422">
        <f>E422*F422</f>
        <v/>
      </c>
      <c r="I422">
        <f>E422*G422</f>
        <v/>
      </c>
    </row>
    <row r="423">
      <c r="A423" s="29">
        <f>[1]FİYATLAR!A423</f>
        <v/>
      </c>
      <c r="B423" s="29">
        <f>[1]FİYATLAR!B423</f>
        <v/>
      </c>
      <c r="C423" s="35">
        <f>INT(A423)</f>
        <v/>
      </c>
      <c r="D423" s="36">
        <f>MONTH(A423)</f>
        <v/>
      </c>
      <c r="F423" s="30">
        <f>[1]FİYATLAR!C423</f>
        <v/>
      </c>
      <c r="G423" s="30">
        <f>[1]FİYATLAR!D423</f>
        <v/>
      </c>
      <c r="H423">
        <f>E423*F423</f>
        <v/>
      </c>
      <c r="I423">
        <f>E423*G423</f>
        <v/>
      </c>
    </row>
    <row r="424">
      <c r="A424" s="29">
        <f>[1]FİYATLAR!A424</f>
        <v/>
      </c>
      <c r="B424" s="29">
        <f>[1]FİYATLAR!B424</f>
        <v/>
      </c>
      <c r="C424" s="35">
        <f>INT(A424)</f>
        <v/>
      </c>
      <c r="D424" s="36">
        <f>MONTH(A424)</f>
        <v/>
      </c>
      <c r="F424" s="30">
        <f>[1]FİYATLAR!C424</f>
        <v/>
      </c>
      <c r="G424" s="30">
        <f>[1]FİYATLAR!D424</f>
        <v/>
      </c>
      <c r="H424">
        <f>E424*F424</f>
        <v/>
      </c>
      <c r="I424">
        <f>E424*G424</f>
        <v/>
      </c>
    </row>
    <row r="425">
      <c r="A425" s="29">
        <f>[1]FİYATLAR!A425</f>
        <v/>
      </c>
      <c r="B425" s="29">
        <f>[1]FİYATLAR!B425</f>
        <v/>
      </c>
      <c r="C425" s="35">
        <f>INT(A425)</f>
        <v/>
      </c>
      <c r="D425" s="36">
        <f>MONTH(A425)</f>
        <v/>
      </c>
      <c r="F425" s="30">
        <f>[1]FİYATLAR!C425</f>
        <v/>
      </c>
      <c r="G425" s="30">
        <f>[1]FİYATLAR!D425</f>
        <v/>
      </c>
      <c r="H425">
        <f>E425*F425</f>
        <v/>
      </c>
      <c r="I425">
        <f>E425*G425</f>
        <v/>
      </c>
    </row>
    <row r="426">
      <c r="A426" s="29">
        <f>[1]FİYATLAR!A426</f>
        <v/>
      </c>
      <c r="B426" s="29">
        <f>[1]FİYATLAR!B426</f>
        <v/>
      </c>
      <c r="C426" s="35">
        <f>INT(A426)</f>
        <v/>
      </c>
      <c r="D426" s="36">
        <f>MONTH(A426)</f>
        <v/>
      </c>
      <c r="F426" s="30">
        <f>[1]FİYATLAR!C426</f>
        <v/>
      </c>
      <c r="G426" s="30">
        <f>[1]FİYATLAR!D426</f>
        <v/>
      </c>
      <c r="H426">
        <f>E426*F426</f>
        <v/>
      </c>
      <c r="I426">
        <f>E426*G426</f>
        <v/>
      </c>
    </row>
    <row r="427">
      <c r="A427" s="29">
        <f>[1]FİYATLAR!A427</f>
        <v/>
      </c>
      <c r="B427" s="29">
        <f>[1]FİYATLAR!B427</f>
        <v/>
      </c>
      <c r="C427" s="35">
        <f>INT(A427)</f>
        <v/>
      </c>
      <c r="D427" s="36">
        <f>MONTH(A427)</f>
        <v/>
      </c>
      <c r="F427" s="30">
        <f>[1]FİYATLAR!C427</f>
        <v/>
      </c>
      <c r="G427" s="30">
        <f>[1]FİYATLAR!D427</f>
        <v/>
      </c>
      <c r="H427">
        <f>E427*F427</f>
        <v/>
      </c>
      <c r="I427">
        <f>E427*G427</f>
        <v/>
      </c>
    </row>
    <row r="428">
      <c r="A428" s="29">
        <f>[1]FİYATLAR!A428</f>
        <v/>
      </c>
      <c r="B428" s="29">
        <f>[1]FİYATLAR!B428</f>
        <v/>
      </c>
      <c r="C428" s="35">
        <f>INT(A428)</f>
        <v/>
      </c>
      <c r="D428" s="36">
        <f>MONTH(A428)</f>
        <v/>
      </c>
      <c r="F428" s="30">
        <f>[1]FİYATLAR!C428</f>
        <v/>
      </c>
      <c r="G428" s="30">
        <f>[1]FİYATLAR!D428</f>
        <v/>
      </c>
      <c r="H428">
        <f>E428*F428</f>
        <v/>
      </c>
      <c r="I428">
        <f>E428*G428</f>
        <v/>
      </c>
    </row>
    <row r="429">
      <c r="A429" s="29">
        <f>[1]FİYATLAR!A429</f>
        <v/>
      </c>
      <c r="B429" s="29">
        <f>[1]FİYATLAR!B429</f>
        <v/>
      </c>
      <c r="C429" s="35">
        <f>INT(A429)</f>
        <v/>
      </c>
      <c r="D429" s="36">
        <f>MONTH(A429)</f>
        <v/>
      </c>
      <c r="F429" s="30">
        <f>[1]FİYATLAR!C429</f>
        <v/>
      </c>
      <c r="G429" s="30">
        <f>[1]FİYATLAR!D429</f>
        <v/>
      </c>
      <c r="H429">
        <f>E429*F429</f>
        <v/>
      </c>
      <c r="I429">
        <f>E429*G429</f>
        <v/>
      </c>
    </row>
    <row r="430">
      <c r="A430" s="29">
        <f>[1]FİYATLAR!A430</f>
        <v/>
      </c>
      <c r="B430" s="29">
        <f>[1]FİYATLAR!B430</f>
        <v/>
      </c>
      <c r="C430" s="35">
        <f>INT(A430)</f>
        <v/>
      </c>
      <c r="D430" s="36">
        <f>MONTH(A430)</f>
        <v/>
      </c>
      <c r="F430" s="30">
        <f>[1]FİYATLAR!C430</f>
        <v/>
      </c>
      <c r="G430" s="30">
        <f>[1]FİYATLAR!D430</f>
        <v/>
      </c>
      <c r="H430">
        <f>E430*F430</f>
        <v/>
      </c>
      <c r="I430">
        <f>E430*G430</f>
        <v/>
      </c>
    </row>
    <row r="431">
      <c r="A431" s="29">
        <f>[1]FİYATLAR!A431</f>
        <v/>
      </c>
      <c r="B431" s="29">
        <f>[1]FİYATLAR!B431</f>
        <v/>
      </c>
      <c r="C431" s="35">
        <f>INT(A431)</f>
        <v/>
      </c>
      <c r="D431" s="36">
        <f>MONTH(A431)</f>
        <v/>
      </c>
      <c r="F431" s="30">
        <f>[1]FİYATLAR!C431</f>
        <v/>
      </c>
      <c r="G431" s="30">
        <f>[1]FİYATLAR!D431</f>
        <v/>
      </c>
      <c r="H431">
        <f>E431*F431</f>
        <v/>
      </c>
      <c r="I431">
        <f>E431*G431</f>
        <v/>
      </c>
    </row>
    <row r="432">
      <c r="A432" s="29">
        <f>[1]FİYATLAR!A432</f>
        <v/>
      </c>
      <c r="B432" s="29">
        <f>[1]FİYATLAR!B432</f>
        <v/>
      </c>
      <c r="C432" s="35">
        <f>INT(A432)</f>
        <v/>
      </c>
      <c r="D432" s="36">
        <f>MONTH(A432)</f>
        <v/>
      </c>
      <c r="F432" s="30">
        <f>[1]FİYATLAR!C432</f>
        <v/>
      </c>
      <c r="G432" s="30">
        <f>[1]FİYATLAR!D432</f>
        <v/>
      </c>
      <c r="H432">
        <f>E432*F432</f>
        <v/>
      </c>
      <c r="I432">
        <f>E432*G432</f>
        <v/>
      </c>
    </row>
    <row r="433">
      <c r="A433" s="29">
        <f>[1]FİYATLAR!A433</f>
        <v/>
      </c>
      <c r="B433" s="29">
        <f>[1]FİYATLAR!B433</f>
        <v/>
      </c>
      <c r="C433" s="35">
        <f>INT(A433)</f>
        <v/>
      </c>
      <c r="D433" s="36">
        <f>MONTH(A433)</f>
        <v/>
      </c>
      <c r="F433" s="30">
        <f>[1]FİYATLAR!C433</f>
        <v/>
      </c>
      <c r="G433" s="30">
        <f>[1]FİYATLAR!D433</f>
        <v/>
      </c>
      <c r="H433">
        <f>E433*F433</f>
        <v/>
      </c>
      <c r="I433">
        <f>E433*G433</f>
        <v/>
      </c>
    </row>
    <row r="434">
      <c r="A434" s="29">
        <f>[1]FİYATLAR!A434</f>
        <v/>
      </c>
      <c r="B434" s="29">
        <f>[1]FİYATLAR!B434</f>
        <v/>
      </c>
      <c r="C434" s="35">
        <f>INT(A434)</f>
        <v/>
      </c>
      <c r="D434" s="36">
        <f>MONTH(A434)</f>
        <v/>
      </c>
      <c r="F434" s="30">
        <f>[1]FİYATLAR!C434</f>
        <v/>
      </c>
      <c r="G434" s="30">
        <f>[1]FİYATLAR!D434</f>
        <v/>
      </c>
      <c r="H434">
        <f>E434*F434</f>
        <v/>
      </c>
      <c r="I434">
        <f>E434*G434</f>
        <v/>
      </c>
    </row>
    <row r="435">
      <c r="A435" s="29">
        <f>[1]FİYATLAR!A435</f>
        <v/>
      </c>
      <c r="B435" s="29">
        <f>[1]FİYATLAR!B435</f>
        <v/>
      </c>
      <c r="C435" s="35">
        <f>INT(A435)</f>
        <v/>
      </c>
      <c r="D435" s="36">
        <f>MONTH(A435)</f>
        <v/>
      </c>
      <c r="F435" s="30">
        <f>[1]FİYATLAR!C435</f>
        <v/>
      </c>
      <c r="G435" s="30">
        <f>[1]FİYATLAR!D435</f>
        <v/>
      </c>
      <c r="H435">
        <f>E435*F435</f>
        <v/>
      </c>
      <c r="I435">
        <f>E435*G435</f>
        <v/>
      </c>
    </row>
    <row r="436">
      <c r="A436" s="29">
        <f>[1]FİYATLAR!A436</f>
        <v/>
      </c>
      <c r="B436" s="29">
        <f>[1]FİYATLAR!B436</f>
        <v/>
      </c>
      <c r="C436" s="35">
        <f>INT(A436)</f>
        <v/>
      </c>
      <c r="D436" s="36">
        <f>MONTH(A436)</f>
        <v/>
      </c>
      <c r="F436" s="30">
        <f>[1]FİYATLAR!C436</f>
        <v/>
      </c>
      <c r="G436" s="30">
        <f>[1]FİYATLAR!D436</f>
        <v/>
      </c>
      <c r="H436">
        <f>E436*F436</f>
        <v/>
      </c>
      <c r="I436">
        <f>E436*G436</f>
        <v/>
      </c>
    </row>
    <row r="437">
      <c r="A437" s="29">
        <f>[1]FİYATLAR!A437</f>
        <v/>
      </c>
      <c r="B437" s="29">
        <f>[1]FİYATLAR!B437</f>
        <v/>
      </c>
      <c r="C437" s="35">
        <f>INT(A437)</f>
        <v/>
      </c>
      <c r="D437" s="36">
        <f>MONTH(A437)</f>
        <v/>
      </c>
      <c r="F437" s="30">
        <f>[1]FİYATLAR!C437</f>
        <v/>
      </c>
      <c r="G437" s="30">
        <f>[1]FİYATLAR!D437</f>
        <v/>
      </c>
      <c r="H437">
        <f>E437*F437</f>
        <v/>
      </c>
      <c r="I437">
        <f>E437*G437</f>
        <v/>
      </c>
    </row>
    <row r="438">
      <c r="A438" s="29">
        <f>[1]FİYATLAR!A438</f>
        <v/>
      </c>
      <c r="B438" s="29">
        <f>[1]FİYATLAR!B438</f>
        <v/>
      </c>
      <c r="C438" s="35">
        <f>INT(A438)</f>
        <v/>
      </c>
      <c r="D438" s="36">
        <f>MONTH(A438)</f>
        <v/>
      </c>
      <c r="F438" s="30">
        <f>[1]FİYATLAR!C438</f>
        <v/>
      </c>
      <c r="G438" s="30">
        <f>[1]FİYATLAR!D438</f>
        <v/>
      </c>
      <c r="H438">
        <f>E438*F438</f>
        <v/>
      </c>
      <c r="I438">
        <f>E438*G438</f>
        <v/>
      </c>
    </row>
    <row r="439">
      <c r="A439" s="29">
        <f>[1]FİYATLAR!A439</f>
        <v/>
      </c>
      <c r="B439" s="29">
        <f>[1]FİYATLAR!B439</f>
        <v/>
      </c>
      <c r="C439" s="35">
        <f>INT(A439)</f>
        <v/>
      </c>
      <c r="D439" s="36">
        <f>MONTH(A439)</f>
        <v/>
      </c>
      <c r="F439" s="30">
        <f>[1]FİYATLAR!C439</f>
        <v/>
      </c>
      <c r="G439" s="30">
        <f>[1]FİYATLAR!D439</f>
        <v/>
      </c>
      <c r="H439">
        <f>E439*F439</f>
        <v/>
      </c>
      <c r="I439">
        <f>E439*G439</f>
        <v/>
      </c>
    </row>
    <row r="440">
      <c r="A440" s="29">
        <f>[1]FİYATLAR!A440</f>
        <v/>
      </c>
      <c r="B440" s="29">
        <f>[1]FİYATLAR!B440</f>
        <v/>
      </c>
      <c r="C440" s="35">
        <f>INT(A440)</f>
        <v/>
      </c>
      <c r="D440" s="36">
        <f>MONTH(A440)</f>
        <v/>
      </c>
      <c r="F440" s="30">
        <f>[1]FİYATLAR!C440</f>
        <v/>
      </c>
      <c r="G440" s="30">
        <f>[1]FİYATLAR!D440</f>
        <v/>
      </c>
      <c r="H440">
        <f>E440*F440</f>
        <v/>
      </c>
      <c r="I440">
        <f>E440*G440</f>
        <v/>
      </c>
    </row>
    <row r="441">
      <c r="A441" s="29">
        <f>[1]FİYATLAR!A441</f>
        <v/>
      </c>
      <c r="B441" s="29">
        <f>[1]FİYATLAR!B441</f>
        <v/>
      </c>
      <c r="C441" s="35">
        <f>INT(A441)</f>
        <v/>
      </c>
      <c r="D441" s="36">
        <f>MONTH(A441)</f>
        <v/>
      </c>
      <c r="F441" s="30">
        <f>[1]FİYATLAR!C441</f>
        <v/>
      </c>
      <c r="G441" s="30">
        <f>[1]FİYATLAR!D441</f>
        <v/>
      </c>
      <c r="H441">
        <f>E441*F441</f>
        <v/>
      </c>
      <c r="I441">
        <f>E441*G441</f>
        <v/>
      </c>
    </row>
    <row r="442">
      <c r="A442" s="29">
        <f>[1]FİYATLAR!A442</f>
        <v/>
      </c>
      <c r="B442" s="29">
        <f>[1]FİYATLAR!B442</f>
        <v/>
      </c>
      <c r="C442" s="35">
        <f>INT(A442)</f>
        <v/>
      </c>
      <c r="D442" s="36">
        <f>MONTH(A442)</f>
        <v/>
      </c>
      <c r="F442" s="30">
        <f>[1]FİYATLAR!C442</f>
        <v/>
      </c>
      <c r="G442" s="30">
        <f>[1]FİYATLAR!D442</f>
        <v/>
      </c>
      <c r="H442">
        <f>E442*F442</f>
        <v/>
      </c>
      <c r="I442">
        <f>E442*G442</f>
        <v/>
      </c>
    </row>
    <row r="443">
      <c r="A443" s="29">
        <f>[1]FİYATLAR!A443</f>
        <v/>
      </c>
      <c r="B443" s="29">
        <f>[1]FİYATLAR!B443</f>
        <v/>
      </c>
      <c r="C443" s="35">
        <f>INT(A443)</f>
        <v/>
      </c>
      <c r="D443" s="36">
        <f>MONTH(A443)</f>
        <v/>
      </c>
      <c r="F443" s="30">
        <f>[1]FİYATLAR!C443</f>
        <v/>
      </c>
      <c r="G443" s="30">
        <f>[1]FİYATLAR!D443</f>
        <v/>
      </c>
      <c r="H443">
        <f>E443*F443</f>
        <v/>
      </c>
      <c r="I443">
        <f>E443*G443</f>
        <v/>
      </c>
    </row>
    <row r="444">
      <c r="A444" s="29">
        <f>[1]FİYATLAR!A444</f>
        <v/>
      </c>
      <c r="B444" s="29">
        <f>[1]FİYATLAR!B444</f>
        <v/>
      </c>
      <c r="C444" s="35">
        <f>INT(A444)</f>
        <v/>
      </c>
      <c r="D444" s="36">
        <f>MONTH(A444)</f>
        <v/>
      </c>
      <c r="F444" s="30">
        <f>[1]FİYATLAR!C444</f>
        <v/>
      </c>
      <c r="G444" s="30">
        <f>[1]FİYATLAR!D444</f>
        <v/>
      </c>
      <c r="H444">
        <f>E444*F444</f>
        <v/>
      </c>
      <c r="I444">
        <f>E444*G444</f>
        <v/>
      </c>
    </row>
    <row r="445">
      <c r="A445" s="29">
        <f>[1]FİYATLAR!A445</f>
        <v/>
      </c>
      <c r="B445" s="29">
        <f>[1]FİYATLAR!B445</f>
        <v/>
      </c>
      <c r="C445" s="35">
        <f>INT(A445)</f>
        <v/>
      </c>
      <c r="D445" s="36">
        <f>MONTH(A445)</f>
        <v/>
      </c>
      <c r="F445" s="30">
        <f>[1]FİYATLAR!C445</f>
        <v/>
      </c>
      <c r="G445" s="30">
        <f>[1]FİYATLAR!D445</f>
        <v/>
      </c>
      <c r="H445">
        <f>E445*F445</f>
        <v/>
      </c>
      <c r="I445">
        <f>E445*G445</f>
        <v/>
      </c>
    </row>
    <row r="446">
      <c r="A446" s="29">
        <f>[1]FİYATLAR!A446</f>
        <v/>
      </c>
      <c r="B446" s="29">
        <f>[1]FİYATLAR!B446</f>
        <v/>
      </c>
      <c r="C446" s="35">
        <f>INT(A446)</f>
        <v/>
      </c>
      <c r="D446" s="36">
        <f>MONTH(A446)</f>
        <v/>
      </c>
      <c r="F446" s="30">
        <f>[1]FİYATLAR!C446</f>
        <v/>
      </c>
      <c r="G446" s="30">
        <f>[1]FİYATLAR!D446</f>
        <v/>
      </c>
      <c r="H446">
        <f>E446*F446</f>
        <v/>
      </c>
      <c r="I446">
        <f>E446*G446</f>
        <v/>
      </c>
    </row>
    <row r="447">
      <c r="A447" s="29">
        <f>[1]FİYATLAR!A447</f>
        <v/>
      </c>
      <c r="B447" s="29">
        <f>[1]FİYATLAR!B447</f>
        <v/>
      </c>
      <c r="C447" s="35">
        <f>INT(A447)</f>
        <v/>
      </c>
      <c r="D447" s="36">
        <f>MONTH(A447)</f>
        <v/>
      </c>
      <c r="F447" s="30">
        <f>[1]FİYATLAR!C447</f>
        <v/>
      </c>
      <c r="G447" s="30">
        <f>[1]FİYATLAR!D447</f>
        <v/>
      </c>
      <c r="H447">
        <f>E447*F447</f>
        <v/>
      </c>
      <c r="I447">
        <f>E447*G447</f>
        <v/>
      </c>
    </row>
    <row r="448">
      <c r="A448" s="29">
        <f>[1]FİYATLAR!A448</f>
        <v/>
      </c>
      <c r="B448" s="29">
        <f>[1]FİYATLAR!B448</f>
        <v/>
      </c>
      <c r="C448" s="35">
        <f>INT(A448)</f>
        <v/>
      </c>
      <c r="D448" s="36">
        <f>MONTH(A448)</f>
        <v/>
      </c>
      <c r="F448" s="30">
        <f>[1]FİYATLAR!C448</f>
        <v/>
      </c>
      <c r="G448" s="30">
        <f>[1]FİYATLAR!D448</f>
        <v/>
      </c>
      <c r="H448">
        <f>E448*F448</f>
        <v/>
      </c>
      <c r="I448">
        <f>E448*G448</f>
        <v/>
      </c>
    </row>
    <row r="449">
      <c r="A449" s="29">
        <f>[1]FİYATLAR!A449</f>
        <v/>
      </c>
      <c r="B449" s="29">
        <f>[1]FİYATLAR!B449</f>
        <v/>
      </c>
      <c r="C449" s="35">
        <f>INT(A449)</f>
        <v/>
      </c>
      <c r="D449" s="36">
        <f>MONTH(A449)</f>
        <v/>
      </c>
      <c r="F449" s="30">
        <f>[1]FİYATLAR!C449</f>
        <v/>
      </c>
      <c r="G449" s="30">
        <f>[1]FİYATLAR!D449</f>
        <v/>
      </c>
      <c r="H449">
        <f>E449*F449</f>
        <v/>
      </c>
      <c r="I449">
        <f>E449*G449</f>
        <v/>
      </c>
    </row>
    <row r="450">
      <c r="A450" s="29">
        <f>[1]FİYATLAR!A450</f>
        <v/>
      </c>
      <c r="B450" s="29">
        <f>[1]FİYATLAR!B450</f>
        <v/>
      </c>
      <c r="C450" s="35">
        <f>INT(A450)</f>
        <v/>
      </c>
      <c r="D450" s="36">
        <f>MONTH(A450)</f>
        <v/>
      </c>
      <c r="F450" s="30">
        <f>[1]FİYATLAR!C450</f>
        <v/>
      </c>
      <c r="G450" s="30">
        <f>[1]FİYATLAR!D450</f>
        <v/>
      </c>
      <c r="H450">
        <f>E450*F450</f>
        <v/>
      </c>
      <c r="I450">
        <f>E450*G450</f>
        <v/>
      </c>
    </row>
    <row r="451">
      <c r="A451" s="29">
        <f>[1]FİYATLAR!A451</f>
        <v/>
      </c>
      <c r="B451" s="29">
        <f>[1]FİYATLAR!B451</f>
        <v/>
      </c>
      <c r="C451" s="35">
        <f>INT(A451)</f>
        <v/>
      </c>
      <c r="D451" s="36">
        <f>MONTH(A451)</f>
        <v/>
      </c>
      <c r="F451" s="30">
        <f>[1]FİYATLAR!C451</f>
        <v/>
      </c>
      <c r="G451" s="30">
        <f>[1]FİYATLAR!D451</f>
        <v/>
      </c>
      <c r="H451">
        <f>E451*F451</f>
        <v/>
      </c>
      <c r="I451">
        <f>E451*G451</f>
        <v/>
      </c>
    </row>
    <row r="452">
      <c r="A452" s="29">
        <f>[1]FİYATLAR!A452</f>
        <v/>
      </c>
      <c r="B452" s="29">
        <f>[1]FİYATLAR!B452</f>
        <v/>
      </c>
      <c r="C452" s="35">
        <f>INT(A452)</f>
        <v/>
      </c>
      <c r="D452" s="36">
        <f>MONTH(A452)</f>
        <v/>
      </c>
      <c r="F452" s="30">
        <f>[1]FİYATLAR!C452</f>
        <v/>
      </c>
      <c r="G452" s="30">
        <f>[1]FİYATLAR!D452</f>
        <v/>
      </c>
      <c r="H452">
        <f>E452*F452</f>
        <v/>
      </c>
      <c r="I452">
        <f>E452*G452</f>
        <v/>
      </c>
    </row>
    <row r="453">
      <c r="A453" s="29">
        <f>[1]FİYATLAR!A453</f>
        <v/>
      </c>
      <c r="B453" s="29">
        <f>[1]FİYATLAR!B453</f>
        <v/>
      </c>
      <c r="C453" s="35">
        <f>INT(A453)</f>
        <v/>
      </c>
      <c r="D453" s="36">
        <f>MONTH(A453)</f>
        <v/>
      </c>
      <c r="F453" s="30">
        <f>[1]FİYATLAR!C453</f>
        <v/>
      </c>
      <c r="G453" s="30">
        <f>[1]FİYATLAR!D453</f>
        <v/>
      </c>
      <c r="H453">
        <f>E453*F453</f>
        <v/>
      </c>
      <c r="I453">
        <f>E453*G453</f>
        <v/>
      </c>
    </row>
    <row r="454">
      <c r="A454" s="29">
        <f>[1]FİYATLAR!A454</f>
        <v/>
      </c>
      <c r="B454" s="29">
        <f>[1]FİYATLAR!B454</f>
        <v/>
      </c>
      <c r="C454" s="35">
        <f>INT(A454)</f>
        <v/>
      </c>
      <c r="D454" s="36">
        <f>MONTH(A454)</f>
        <v/>
      </c>
      <c r="F454" s="30">
        <f>[1]FİYATLAR!C454</f>
        <v/>
      </c>
      <c r="G454" s="30">
        <f>[1]FİYATLAR!D454</f>
        <v/>
      </c>
      <c r="H454">
        <f>E454*F454</f>
        <v/>
      </c>
      <c r="I454">
        <f>E454*G454</f>
        <v/>
      </c>
    </row>
    <row r="455">
      <c r="A455" s="29">
        <f>[1]FİYATLAR!A455</f>
        <v/>
      </c>
      <c r="B455" s="29">
        <f>[1]FİYATLAR!B455</f>
        <v/>
      </c>
      <c r="C455" s="35">
        <f>INT(A455)</f>
        <v/>
      </c>
      <c r="D455" s="36">
        <f>MONTH(A455)</f>
        <v/>
      </c>
      <c r="F455" s="30">
        <f>[1]FİYATLAR!C455</f>
        <v/>
      </c>
      <c r="G455" s="30">
        <f>[1]FİYATLAR!D455</f>
        <v/>
      </c>
      <c r="H455">
        <f>E455*F455</f>
        <v/>
      </c>
      <c r="I455">
        <f>E455*G455</f>
        <v/>
      </c>
    </row>
    <row r="456">
      <c r="A456" s="29">
        <f>[1]FİYATLAR!A456</f>
        <v/>
      </c>
      <c r="B456" s="29">
        <f>[1]FİYATLAR!B456</f>
        <v/>
      </c>
      <c r="C456" s="35">
        <f>INT(A456)</f>
        <v/>
      </c>
      <c r="D456" s="36">
        <f>MONTH(A456)</f>
        <v/>
      </c>
      <c r="F456" s="30">
        <f>[1]FİYATLAR!C456</f>
        <v/>
      </c>
      <c r="G456" s="30">
        <f>[1]FİYATLAR!D456</f>
        <v/>
      </c>
      <c r="H456">
        <f>E456*F456</f>
        <v/>
      </c>
      <c r="I456">
        <f>E456*G456</f>
        <v/>
      </c>
    </row>
    <row r="457">
      <c r="A457" s="29">
        <f>[1]FİYATLAR!A457</f>
        <v/>
      </c>
      <c r="B457" s="29">
        <f>[1]FİYATLAR!B457</f>
        <v/>
      </c>
      <c r="C457" s="35">
        <f>INT(A457)</f>
        <v/>
      </c>
      <c r="D457" s="36">
        <f>MONTH(A457)</f>
        <v/>
      </c>
      <c r="F457" s="30">
        <f>[1]FİYATLAR!C457</f>
        <v/>
      </c>
      <c r="G457" s="30">
        <f>[1]FİYATLAR!D457</f>
        <v/>
      </c>
      <c r="H457">
        <f>E457*F457</f>
        <v/>
      </c>
      <c r="I457">
        <f>E457*G457</f>
        <v/>
      </c>
    </row>
    <row r="458">
      <c r="A458" s="29">
        <f>[1]FİYATLAR!A458</f>
        <v/>
      </c>
      <c r="B458" s="29">
        <f>[1]FİYATLAR!B458</f>
        <v/>
      </c>
      <c r="C458" s="35">
        <f>INT(A458)</f>
        <v/>
      </c>
      <c r="D458" s="36">
        <f>MONTH(A458)</f>
        <v/>
      </c>
      <c r="F458" s="30">
        <f>[1]FİYATLAR!C458</f>
        <v/>
      </c>
      <c r="G458" s="30">
        <f>[1]FİYATLAR!D458</f>
        <v/>
      </c>
      <c r="H458">
        <f>E458*F458</f>
        <v/>
      </c>
      <c r="I458">
        <f>E458*G458</f>
        <v/>
      </c>
    </row>
    <row r="459">
      <c r="A459" s="29">
        <f>[1]FİYATLAR!A459</f>
        <v/>
      </c>
      <c r="B459" s="29">
        <f>[1]FİYATLAR!B459</f>
        <v/>
      </c>
      <c r="C459" s="35">
        <f>INT(A459)</f>
        <v/>
      </c>
      <c r="D459" s="36">
        <f>MONTH(A459)</f>
        <v/>
      </c>
      <c r="F459" s="30">
        <f>[1]FİYATLAR!C459</f>
        <v/>
      </c>
      <c r="G459" s="30">
        <f>[1]FİYATLAR!D459</f>
        <v/>
      </c>
      <c r="H459">
        <f>E459*F459</f>
        <v/>
      </c>
      <c r="I459">
        <f>E459*G459</f>
        <v/>
      </c>
    </row>
    <row r="460">
      <c r="A460" s="29">
        <f>[1]FİYATLAR!A460</f>
        <v/>
      </c>
      <c r="B460" s="29">
        <f>[1]FİYATLAR!B460</f>
        <v/>
      </c>
      <c r="C460" s="35">
        <f>INT(A460)</f>
        <v/>
      </c>
      <c r="D460" s="36">
        <f>MONTH(A460)</f>
        <v/>
      </c>
      <c r="F460" s="30">
        <f>[1]FİYATLAR!C460</f>
        <v/>
      </c>
      <c r="G460" s="30">
        <f>[1]FİYATLAR!D460</f>
        <v/>
      </c>
      <c r="H460">
        <f>E460*F460</f>
        <v/>
      </c>
      <c r="I460">
        <f>E460*G460</f>
        <v/>
      </c>
    </row>
    <row r="461">
      <c r="A461" s="29">
        <f>[1]FİYATLAR!A461</f>
        <v/>
      </c>
      <c r="B461" s="29">
        <f>[1]FİYATLAR!B461</f>
        <v/>
      </c>
      <c r="C461" s="35">
        <f>INT(A461)</f>
        <v/>
      </c>
      <c r="D461" s="36">
        <f>MONTH(A461)</f>
        <v/>
      </c>
      <c r="F461" s="30">
        <f>[1]FİYATLAR!C461</f>
        <v/>
      </c>
      <c r="G461" s="30">
        <f>[1]FİYATLAR!D461</f>
        <v/>
      </c>
      <c r="H461">
        <f>E461*F461</f>
        <v/>
      </c>
      <c r="I461">
        <f>E461*G461</f>
        <v/>
      </c>
    </row>
    <row r="462">
      <c r="A462" s="29">
        <f>[1]FİYATLAR!A462</f>
        <v/>
      </c>
      <c r="B462" s="29">
        <f>[1]FİYATLAR!B462</f>
        <v/>
      </c>
      <c r="C462" s="35">
        <f>INT(A462)</f>
        <v/>
      </c>
      <c r="D462" s="36">
        <f>MONTH(A462)</f>
        <v/>
      </c>
      <c r="F462" s="30">
        <f>[1]FİYATLAR!C462</f>
        <v/>
      </c>
      <c r="G462" s="30">
        <f>[1]FİYATLAR!D462</f>
        <v/>
      </c>
      <c r="H462">
        <f>E462*F462</f>
        <v/>
      </c>
      <c r="I462">
        <f>E462*G462</f>
        <v/>
      </c>
    </row>
    <row r="463">
      <c r="A463" s="29">
        <f>[1]FİYATLAR!A463</f>
        <v/>
      </c>
      <c r="B463" s="29">
        <f>[1]FİYATLAR!B463</f>
        <v/>
      </c>
      <c r="C463" s="35">
        <f>INT(A463)</f>
        <v/>
      </c>
      <c r="D463" s="36">
        <f>MONTH(A463)</f>
        <v/>
      </c>
      <c r="F463" s="30">
        <f>[1]FİYATLAR!C463</f>
        <v/>
      </c>
      <c r="G463" s="30">
        <f>[1]FİYATLAR!D463</f>
        <v/>
      </c>
      <c r="H463">
        <f>E463*F463</f>
        <v/>
      </c>
      <c r="I463">
        <f>E463*G463</f>
        <v/>
      </c>
    </row>
    <row r="464">
      <c r="A464" s="29">
        <f>[1]FİYATLAR!A464</f>
        <v/>
      </c>
      <c r="B464" s="29">
        <f>[1]FİYATLAR!B464</f>
        <v/>
      </c>
      <c r="C464" s="35">
        <f>INT(A464)</f>
        <v/>
      </c>
      <c r="D464" s="36">
        <f>MONTH(A464)</f>
        <v/>
      </c>
      <c r="F464" s="30">
        <f>[1]FİYATLAR!C464</f>
        <v/>
      </c>
      <c r="G464" s="30">
        <f>[1]FİYATLAR!D464</f>
        <v/>
      </c>
      <c r="H464">
        <f>E464*F464</f>
        <v/>
      </c>
      <c r="I464">
        <f>E464*G464</f>
        <v/>
      </c>
    </row>
    <row r="465">
      <c r="A465" s="29">
        <f>[1]FİYATLAR!A465</f>
        <v/>
      </c>
      <c r="B465" s="29">
        <f>[1]FİYATLAR!B465</f>
        <v/>
      </c>
      <c r="C465" s="35">
        <f>INT(A465)</f>
        <v/>
      </c>
      <c r="D465" s="36">
        <f>MONTH(A465)</f>
        <v/>
      </c>
      <c r="F465" s="30">
        <f>[1]FİYATLAR!C465</f>
        <v/>
      </c>
      <c r="G465" s="30">
        <f>[1]FİYATLAR!D465</f>
        <v/>
      </c>
      <c r="H465">
        <f>E465*F465</f>
        <v/>
      </c>
      <c r="I465">
        <f>E465*G465</f>
        <v/>
      </c>
    </row>
    <row r="466">
      <c r="A466" s="29">
        <f>[1]FİYATLAR!A466</f>
        <v/>
      </c>
      <c r="B466" s="29">
        <f>[1]FİYATLAR!B466</f>
        <v/>
      </c>
      <c r="C466" s="35">
        <f>INT(A466)</f>
        <v/>
      </c>
      <c r="D466" s="36">
        <f>MONTH(A466)</f>
        <v/>
      </c>
      <c r="F466" s="30">
        <f>[1]FİYATLAR!C466</f>
        <v/>
      </c>
      <c r="G466" s="30">
        <f>[1]FİYATLAR!D466</f>
        <v/>
      </c>
      <c r="H466">
        <f>E466*F466</f>
        <v/>
      </c>
      <c r="I466">
        <f>E466*G466</f>
        <v/>
      </c>
    </row>
    <row r="467">
      <c r="A467" s="29">
        <f>[1]FİYATLAR!A467</f>
        <v/>
      </c>
      <c r="B467" s="29">
        <f>[1]FİYATLAR!B467</f>
        <v/>
      </c>
      <c r="C467" s="35">
        <f>INT(A467)</f>
        <v/>
      </c>
      <c r="D467" s="36">
        <f>MONTH(A467)</f>
        <v/>
      </c>
      <c r="F467" s="30">
        <f>[1]FİYATLAR!C467</f>
        <v/>
      </c>
      <c r="G467" s="30">
        <f>[1]FİYATLAR!D467</f>
        <v/>
      </c>
      <c r="H467">
        <f>E467*F467</f>
        <v/>
      </c>
      <c r="I467">
        <f>E467*G467</f>
        <v/>
      </c>
    </row>
    <row r="468">
      <c r="A468" s="29">
        <f>[1]FİYATLAR!A468</f>
        <v/>
      </c>
      <c r="B468" s="29">
        <f>[1]FİYATLAR!B468</f>
        <v/>
      </c>
      <c r="C468" s="35">
        <f>INT(A468)</f>
        <v/>
      </c>
      <c r="D468" s="36">
        <f>MONTH(A468)</f>
        <v/>
      </c>
      <c r="F468" s="30">
        <f>[1]FİYATLAR!C468</f>
        <v/>
      </c>
      <c r="G468" s="30">
        <f>[1]FİYATLAR!D468</f>
        <v/>
      </c>
      <c r="H468">
        <f>E468*F468</f>
        <v/>
      </c>
      <c r="I468">
        <f>E468*G468</f>
        <v/>
      </c>
    </row>
    <row r="469">
      <c r="A469" s="29">
        <f>[1]FİYATLAR!A469</f>
        <v/>
      </c>
      <c r="B469" s="29">
        <f>[1]FİYATLAR!B469</f>
        <v/>
      </c>
      <c r="C469" s="35">
        <f>INT(A469)</f>
        <v/>
      </c>
      <c r="D469" s="36">
        <f>MONTH(A469)</f>
        <v/>
      </c>
      <c r="F469" s="30">
        <f>[1]FİYATLAR!C469</f>
        <v/>
      </c>
      <c r="G469" s="30">
        <f>[1]FİYATLAR!D469</f>
        <v/>
      </c>
      <c r="H469">
        <f>E469*F469</f>
        <v/>
      </c>
      <c r="I469">
        <f>E469*G469</f>
        <v/>
      </c>
    </row>
    <row r="470">
      <c r="A470" s="29">
        <f>[1]FİYATLAR!A470</f>
        <v/>
      </c>
      <c r="B470" s="29">
        <f>[1]FİYATLAR!B470</f>
        <v/>
      </c>
      <c r="C470" s="35">
        <f>INT(A470)</f>
        <v/>
      </c>
      <c r="D470" s="36">
        <f>MONTH(A470)</f>
        <v/>
      </c>
      <c r="F470" s="30">
        <f>[1]FİYATLAR!C470</f>
        <v/>
      </c>
      <c r="G470" s="30">
        <f>[1]FİYATLAR!D470</f>
        <v/>
      </c>
      <c r="H470">
        <f>E470*F470</f>
        <v/>
      </c>
      <c r="I470">
        <f>E470*G470</f>
        <v/>
      </c>
    </row>
    <row r="471">
      <c r="A471" s="29">
        <f>[1]FİYATLAR!A471</f>
        <v/>
      </c>
      <c r="B471" s="29">
        <f>[1]FİYATLAR!B471</f>
        <v/>
      </c>
      <c r="C471" s="35">
        <f>INT(A471)</f>
        <v/>
      </c>
      <c r="D471" s="36">
        <f>MONTH(A471)</f>
        <v/>
      </c>
      <c r="F471" s="30">
        <f>[1]FİYATLAR!C471</f>
        <v/>
      </c>
      <c r="G471" s="30">
        <f>[1]FİYATLAR!D471</f>
        <v/>
      </c>
      <c r="H471">
        <f>E471*F471</f>
        <v/>
      </c>
      <c r="I471">
        <f>E471*G471</f>
        <v/>
      </c>
    </row>
    <row r="472">
      <c r="A472" s="29">
        <f>[1]FİYATLAR!A472</f>
        <v/>
      </c>
      <c r="B472" s="29">
        <f>[1]FİYATLAR!B472</f>
        <v/>
      </c>
      <c r="C472" s="35">
        <f>INT(A472)</f>
        <v/>
      </c>
      <c r="D472" s="36">
        <f>MONTH(A472)</f>
        <v/>
      </c>
      <c r="F472" s="30">
        <f>[1]FİYATLAR!C472</f>
        <v/>
      </c>
      <c r="G472" s="30">
        <f>[1]FİYATLAR!D472</f>
        <v/>
      </c>
      <c r="H472">
        <f>E472*F472</f>
        <v/>
      </c>
      <c r="I472">
        <f>E472*G472</f>
        <v/>
      </c>
    </row>
    <row r="473">
      <c r="A473" s="29">
        <f>[1]FİYATLAR!A473</f>
        <v/>
      </c>
      <c r="B473" s="29">
        <f>[1]FİYATLAR!B473</f>
        <v/>
      </c>
      <c r="C473" s="35">
        <f>INT(A473)</f>
        <v/>
      </c>
      <c r="D473" s="36">
        <f>MONTH(A473)</f>
        <v/>
      </c>
      <c r="F473" s="30">
        <f>[1]FİYATLAR!C473</f>
        <v/>
      </c>
      <c r="G473" s="30">
        <f>[1]FİYATLAR!D473</f>
        <v/>
      </c>
      <c r="H473">
        <f>E473*F473</f>
        <v/>
      </c>
      <c r="I473">
        <f>E473*G473</f>
        <v/>
      </c>
    </row>
    <row r="474">
      <c r="A474" s="29">
        <f>[1]FİYATLAR!A474</f>
        <v/>
      </c>
      <c r="B474" s="29">
        <f>[1]FİYATLAR!B474</f>
        <v/>
      </c>
      <c r="C474" s="35">
        <f>INT(A474)</f>
        <v/>
      </c>
      <c r="D474" s="36">
        <f>MONTH(A474)</f>
        <v/>
      </c>
      <c r="F474" s="30">
        <f>[1]FİYATLAR!C474</f>
        <v/>
      </c>
      <c r="G474" s="30">
        <f>[1]FİYATLAR!D474</f>
        <v/>
      </c>
      <c r="H474">
        <f>E474*F474</f>
        <v/>
      </c>
      <c r="I474">
        <f>E474*G474</f>
        <v/>
      </c>
    </row>
    <row r="475">
      <c r="A475" s="29">
        <f>[1]FİYATLAR!A475</f>
        <v/>
      </c>
      <c r="B475" s="29">
        <f>[1]FİYATLAR!B475</f>
        <v/>
      </c>
      <c r="C475" s="35">
        <f>INT(A475)</f>
        <v/>
      </c>
      <c r="D475" s="36">
        <f>MONTH(A475)</f>
        <v/>
      </c>
      <c r="F475" s="30">
        <f>[1]FİYATLAR!C475</f>
        <v/>
      </c>
      <c r="G475" s="30">
        <f>[1]FİYATLAR!D475</f>
        <v/>
      </c>
      <c r="H475">
        <f>E475*F475</f>
        <v/>
      </c>
      <c r="I475">
        <f>E475*G475</f>
        <v/>
      </c>
    </row>
    <row r="476">
      <c r="A476" s="29">
        <f>[1]FİYATLAR!A476</f>
        <v/>
      </c>
      <c r="B476" s="29">
        <f>[1]FİYATLAR!B476</f>
        <v/>
      </c>
      <c r="C476" s="35">
        <f>INT(A476)</f>
        <v/>
      </c>
      <c r="D476" s="36">
        <f>MONTH(A476)</f>
        <v/>
      </c>
      <c r="F476" s="30">
        <f>[1]FİYATLAR!C476</f>
        <v/>
      </c>
      <c r="G476" s="30">
        <f>[1]FİYATLAR!D476</f>
        <v/>
      </c>
      <c r="H476">
        <f>E476*F476</f>
        <v/>
      </c>
      <c r="I476">
        <f>E476*G476</f>
        <v/>
      </c>
    </row>
    <row r="477">
      <c r="A477" s="29">
        <f>[1]FİYATLAR!A477</f>
        <v/>
      </c>
      <c r="B477" s="29">
        <f>[1]FİYATLAR!B477</f>
        <v/>
      </c>
      <c r="C477" s="35">
        <f>INT(A477)</f>
        <v/>
      </c>
      <c r="D477" s="36">
        <f>MONTH(A477)</f>
        <v/>
      </c>
      <c r="F477" s="30">
        <f>[1]FİYATLAR!C477</f>
        <v/>
      </c>
      <c r="G477" s="30">
        <f>[1]FİYATLAR!D477</f>
        <v/>
      </c>
      <c r="H477">
        <f>E477*F477</f>
        <v/>
      </c>
      <c r="I477">
        <f>E477*G477</f>
        <v/>
      </c>
    </row>
    <row r="478">
      <c r="A478" s="29">
        <f>[1]FİYATLAR!A478</f>
        <v/>
      </c>
      <c r="B478" s="29">
        <f>[1]FİYATLAR!B478</f>
        <v/>
      </c>
      <c r="C478" s="35">
        <f>INT(A478)</f>
        <v/>
      </c>
      <c r="D478" s="36">
        <f>MONTH(A478)</f>
        <v/>
      </c>
      <c r="F478" s="30">
        <f>[1]FİYATLAR!C478</f>
        <v/>
      </c>
      <c r="G478" s="30">
        <f>[1]FİYATLAR!D478</f>
        <v/>
      </c>
      <c r="H478">
        <f>E478*F478</f>
        <v/>
      </c>
      <c r="I478">
        <f>E478*G478</f>
        <v/>
      </c>
    </row>
    <row r="479">
      <c r="A479" s="29">
        <f>[1]FİYATLAR!A479</f>
        <v/>
      </c>
      <c r="B479" s="29">
        <f>[1]FİYATLAR!B479</f>
        <v/>
      </c>
      <c r="C479" s="35">
        <f>INT(A479)</f>
        <v/>
      </c>
      <c r="D479" s="36">
        <f>MONTH(A479)</f>
        <v/>
      </c>
      <c r="F479" s="30">
        <f>[1]FİYATLAR!C479</f>
        <v/>
      </c>
      <c r="G479" s="30">
        <f>[1]FİYATLAR!D479</f>
        <v/>
      </c>
      <c r="H479">
        <f>E479*F479</f>
        <v/>
      </c>
      <c r="I479">
        <f>E479*G479</f>
        <v/>
      </c>
    </row>
    <row r="480">
      <c r="A480" s="29">
        <f>[1]FİYATLAR!A480</f>
        <v/>
      </c>
      <c r="B480" s="29">
        <f>[1]FİYATLAR!B480</f>
        <v/>
      </c>
      <c r="C480" s="35">
        <f>INT(A480)</f>
        <v/>
      </c>
      <c r="D480" s="36">
        <f>MONTH(A480)</f>
        <v/>
      </c>
      <c r="F480" s="30">
        <f>[1]FİYATLAR!C480</f>
        <v/>
      </c>
      <c r="G480" s="30">
        <f>[1]FİYATLAR!D480</f>
        <v/>
      </c>
      <c r="H480">
        <f>E480*F480</f>
        <v/>
      </c>
      <c r="I480">
        <f>E480*G480</f>
        <v/>
      </c>
    </row>
    <row r="481">
      <c r="A481" s="29">
        <f>[1]FİYATLAR!A481</f>
        <v/>
      </c>
      <c r="B481" s="29">
        <f>[1]FİYATLAR!B481</f>
        <v/>
      </c>
      <c r="C481" s="35">
        <f>INT(A481)</f>
        <v/>
      </c>
      <c r="D481" s="36">
        <f>MONTH(A481)</f>
        <v/>
      </c>
      <c r="F481" s="30">
        <f>[1]FİYATLAR!C481</f>
        <v/>
      </c>
      <c r="G481" s="30">
        <f>[1]FİYATLAR!D481</f>
        <v/>
      </c>
      <c r="H481">
        <f>E481*F481</f>
        <v/>
      </c>
      <c r="I481">
        <f>E481*G481</f>
        <v/>
      </c>
    </row>
    <row r="482">
      <c r="A482" s="29">
        <f>[1]FİYATLAR!A482</f>
        <v/>
      </c>
      <c r="B482" s="29">
        <f>[1]FİYATLAR!B482</f>
        <v/>
      </c>
      <c r="C482" s="35">
        <f>INT(A482)</f>
        <v/>
      </c>
      <c r="D482" s="36">
        <f>MONTH(A482)</f>
        <v/>
      </c>
      <c r="F482" s="30">
        <f>[1]FİYATLAR!C482</f>
        <v/>
      </c>
      <c r="G482" s="30">
        <f>[1]FİYATLAR!D482</f>
        <v/>
      </c>
      <c r="H482">
        <f>E482*F482</f>
        <v/>
      </c>
      <c r="I482">
        <f>E482*G482</f>
        <v/>
      </c>
    </row>
    <row r="483">
      <c r="A483" s="29">
        <f>[1]FİYATLAR!A483</f>
        <v/>
      </c>
      <c r="B483" s="29">
        <f>[1]FİYATLAR!B483</f>
        <v/>
      </c>
      <c r="C483" s="35">
        <f>INT(A483)</f>
        <v/>
      </c>
      <c r="D483" s="36">
        <f>MONTH(A483)</f>
        <v/>
      </c>
      <c r="F483" s="30">
        <f>[1]FİYATLAR!C483</f>
        <v/>
      </c>
      <c r="G483" s="30">
        <f>[1]FİYATLAR!D483</f>
        <v/>
      </c>
      <c r="H483">
        <f>E483*F483</f>
        <v/>
      </c>
      <c r="I483">
        <f>E483*G483</f>
        <v/>
      </c>
    </row>
    <row r="484">
      <c r="A484" s="29">
        <f>[1]FİYATLAR!A484</f>
        <v/>
      </c>
      <c r="B484" s="29">
        <f>[1]FİYATLAR!B484</f>
        <v/>
      </c>
      <c r="C484" s="35">
        <f>INT(A484)</f>
        <v/>
      </c>
      <c r="D484" s="36">
        <f>MONTH(A484)</f>
        <v/>
      </c>
      <c r="F484" s="30">
        <f>[1]FİYATLAR!C484</f>
        <v/>
      </c>
      <c r="G484" s="30">
        <f>[1]FİYATLAR!D484</f>
        <v/>
      </c>
      <c r="H484">
        <f>E484*F484</f>
        <v/>
      </c>
      <c r="I484">
        <f>E484*G484</f>
        <v/>
      </c>
    </row>
    <row r="485">
      <c r="A485" s="29">
        <f>[1]FİYATLAR!A485</f>
        <v/>
      </c>
      <c r="B485" s="29">
        <f>[1]FİYATLAR!B485</f>
        <v/>
      </c>
      <c r="C485" s="35">
        <f>INT(A485)</f>
        <v/>
      </c>
      <c r="D485" s="36">
        <f>MONTH(A485)</f>
        <v/>
      </c>
      <c r="F485" s="30">
        <f>[1]FİYATLAR!C485</f>
        <v/>
      </c>
      <c r="G485" s="30">
        <f>[1]FİYATLAR!D485</f>
        <v/>
      </c>
      <c r="H485">
        <f>E485*F485</f>
        <v/>
      </c>
      <c r="I485">
        <f>E485*G485</f>
        <v/>
      </c>
    </row>
    <row r="486">
      <c r="A486" s="29">
        <f>[1]FİYATLAR!A486</f>
        <v/>
      </c>
      <c r="B486" s="29">
        <f>[1]FİYATLAR!B486</f>
        <v/>
      </c>
      <c r="C486" s="35">
        <f>INT(A486)</f>
        <v/>
      </c>
      <c r="D486" s="36">
        <f>MONTH(A486)</f>
        <v/>
      </c>
      <c r="F486" s="30">
        <f>[1]FİYATLAR!C486</f>
        <v/>
      </c>
      <c r="G486" s="30">
        <f>[1]FİYATLAR!D486</f>
        <v/>
      </c>
      <c r="H486">
        <f>E486*F486</f>
        <v/>
      </c>
      <c r="I486">
        <f>E486*G486</f>
        <v/>
      </c>
    </row>
    <row r="487">
      <c r="A487" s="29">
        <f>[1]FİYATLAR!A487</f>
        <v/>
      </c>
      <c r="B487" s="29">
        <f>[1]FİYATLAR!B487</f>
        <v/>
      </c>
      <c r="C487" s="35">
        <f>INT(A487)</f>
        <v/>
      </c>
      <c r="D487" s="36">
        <f>MONTH(A487)</f>
        <v/>
      </c>
      <c r="F487" s="30">
        <f>[1]FİYATLAR!C487</f>
        <v/>
      </c>
      <c r="G487" s="30">
        <f>[1]FİYATLAR!D487</f>
        <v/>
      </c>
      <c r="H487">
        <f>E487*F487</f>
        <v/>
      </c>
      <c r="I487">
        <f>E487*G487</f>
        <v/>
      </c>
    </row>
    <row r="488">
      <c r="A488" s="29">
        <f>[1]FİYATLAR!A488</f>
        <v/>
      </c>
      <c r="B488" s="29">
        <f>[1]FİYATLAR!B488</f>
        <v/>
      </c>
      <c r="C488" s="35">
        <f>INT(A488)</f>
        <v/>
      </c>
      <c r="D488" s="36">
        <f>MONTH(A488)</f>
        <v/>
      </c>
      <c r="F488" s="30">
        <f>[1]FİYATLAR!C488</f>
        <v/>
      </c>
      <c r="G488" s="30">
        <f>[1]FİYATLAR!D488</f>
        <v/>
      </c>
      <c r="H488">
        <f>E488*F488</f>
        <v/>
      </c>
      <c r="I488">
        <f>E488*G488</f>
        <v/>
      </c>
    </row>
    <row r="489">
      <c r="A489" s="29">
        <f>[1]FİYATLAR!A489</f>
        <v/>
      </c>
      <c r="B489" s="29">
        <f>[1]FİYATLAR!B489</f>
        <v/>
      </c>
      <c r="C489" s="35">
        <f>INT(A489)</f>
        <v/>
      </c>
      <c r="D489" s="36">
        <f>MONTH(A489)</f>
        <v/>
      </c>
      <c r="F489" s="30">
        <f>[1]FİYATLAR!C489</f>
        <v/>
      </c>
      <c r="G489" s="30">
        <f>[1]FİYATLAR!D489</f>
        <v/>
      </c>
      <c r="H489">
        <f>E489*F489</f>
        <v/>
      </c>
      <c r="I489">
        <f>E489*G489</f>
        <v/>
      </c>
    </row>
    <row r="490">
      <c r="A490" s="29">
        <f>[1]FİYATLAR!A490</f>
        <v/>
      </c>
      <c r="B490" s="29">
        <f>[1]FİYATLAR!B490</f>
        <v/>
      </c>
      <c r="C490" s="35">
        <f>INT(A490)</f>
        <v/>
      </c>
      <c r="D490" s="36">
        <f>MONTH(A490)</f>
        <v/>
      </c>
      <c r="F490" s="30">
        <f>[1]FİYATLAR!C490</f>
        <v/>
      </c>
      <c r="G490" s="30">
        <f>[1]FİYATLAR!D490</f>
        <v/>
      </c>
      <c r="H490">
        <f>E490*F490</f>
        <v/>
      </c>
      <c r="I490">
        <f>E490*G490</f>
        <v/>
      </c>
    </row>
    <row r="491">
      <c r="A491" s="29">
        <f>[1]FİYATLAR!A491</f>
        <v/>
      </c>
      <c r="B491" s="29">
        <f>[1]FİYATLAR!B491</f>
        <v/>
      </c>
      <c r="C491" s="35">
        <f>INT(A491)</f>
        <v/>
      </c>
      <c r="D491" s="36">
        <f>MONTH(A491)</f>
        <v/>
      </c>
      <c r="F491" s="30">
        <f>[1]FİYATLAR!C491</f>
        <v/>
      </c>
      <c r="G491" s="30">
        <f>[1]FİYATLAR!D491</f>
        <v/>
      </c>
      <c r="H491">
        <f>E491*F491</f>
        <v/>
      </c>
      <c r="I491">
        <f>E491*G491</f>
        <v/>
      </c>
    </row>
    <row r="492">
      <c r="A492" s="29">
        <f>[1]FİYATLAR!A492</f>
        <v/>
      </c>
      <c r="B492" s="29">
        <f>[1]FİYATLAR!B492</f>
        <v/>
      </c>
      <c r="C492" s="35">
        <f>INT(A492)</f>
        <v/>
      </c>
      <c r="D492" s="36">
        <f>MONTH(A492)</f>
        <v/>
      </c>
      <c r="F492" s="30">
        <f>[1]FİYATLAR!C492</f>
        <v/>
      </c>
      <c r="G492" s="30">
        <f>[1]FİYATLAR!D492</f>
        <v/>
      </c>
      <c r="H492">
        <f>E492*F492</f>
        <v/>
      </c>
      <c r="I492">
        <f>E492*G492</f>
        <v/>
      </c>
    </row>
    <row r="493">
      <c r="A493" s="29">
        <f>[1]FİYATLAR!A493</f>
        <v/>
      </c>
      <c r="B493" s="29">
        <f>[1]FİYATLAR!B493</f>
        <v/>
      </c>
      <c r="C493" s="35">
        <f>INT(A493)</f>
        <v/>
      </c>
      <c r="D493" s="36">
        <f>MONTH(A493)</f>
        <v/>
      </c>
      <c r="F493" s="30">
        <f>[1]FİYATLAR!C493</f>
        <v/>
      </c>
      <c r="G493" s="30">
        <f>[1]FİYATLAR!D493</f>
        <v/>
      </c>
      <c r="H493">
        <f>E493*F493</f>
        <v/>
      </c>
      <c r="I493">
        <f>E493*G493</f>
        <v/>
      </c>
    </row>
    <row r="494">
      <c r="A494" s="29">
        <f>[1]FİYATLAR!A494</f>
        <v/>
      </c>
      <c r="B494" s="29">
        <f>[1]FİYATLAR!B494</f>
        <v/>
      </c>
      <c r="C494" s="35">
        <f>INT(A494)</f>
        <v/>
      </c>
      <c r="D494" s="36">
        <f>MONTH(A494)</f>
        <v/>
      </c>
      <c r="F494" s="30">
        <f>[1]FİYATLAR!C494</f>
        <v/>
      </c>
      <c r="G494" s="30">
        <f>[1]FİYATLAR!D494</f>
        <v/>
      </c>
      <c r="H494">
        <f>E494*F494</f>
        <v/>
      </c>
      <c r="I494">
        <f>E494*G494</f>
        <v/>
      </c>
    </row>
    <row r="495">
      <c r="A495" s="29">
        <f>[1]FİYATLAR!A495</f>
        <v/>
      </c>
      <c r="B495" s="29">
        <f>[1]FİYATLAR!B495</f>
        <v/>
      </c>
      <c r="C495" s="35">
        <f>INT(A495)</f>
        <v/>
      </c>
      <c r="D495" s="36">
        <f>MONTH(A495)</f>
        <v/>
      </c>
      <c r="F495" s="30">
        <f>[1]FİYATLAR!C495</f>
        <v/>
      </c>
      <c r="G495" s="30">
        <f>[1]FİYATLAR!D495</f>
        <v/>
      </c>
      <c r="H495">
        <f>E495*F495</f>
        <v/>
      </c>
      <c r="I495">
        <f>E495*G495</f>
        <v/>
      </c>
    </row>
    <row r="496">
      <c r="A496" s="29">
        <f>[1]FİYATLAR!A496</f>
        <v/>
      </c>
      <c r="B496" s="29">
        <f>[1]FİYATLAR!B496</f>
        <v/>
      </c>
      <c r="C496" s="35">
        <f>INT(A496)</f>
        <v/>
      </c>
      <c r="D496" s="36">
        <f>MONTH(A496)</f>
        <v/>
      </c>
      <c r="F496" s="30">
        <f>[1]FİYATLAR!C496</f>
        <v/>
      </c>
      <c r="G496" s="30">
        <f>[1]FİYATLAR!D496</f>
        <v/>
      </c>
      <c r="H496">
        <f>E496*F496</f>
        <v/>
      </c>
      <c r="I496">
        <f>E496*G496</f>
        <v/>
      </c>
    </row>
    <row r="497">
      <c r="A497" s="29">
        <f>[1]FİYATLAR!A497</f>
        <v/>
      </c>
      <c r="B497" s="29">
        <f>[1]FİYATLAR!B497</f>
        <v/>
      </c>
      <c r="C497" s="35">
        <f>INT(A497)</f>
        <v/>
      </c>
      <c r="D497" s="36">
        <f>MONTH(A497)</f>
        <v/>
      </c>
      <c r="F497" s="30">
        <f>[1]FİYATLAR!C497</f>
        <v/>
      </c>
      <c r="G497" s="30">
        <f>[1]FİYATLAR!D497</f>
        <v/>
      </c>
      <c r="H497">
        <f>E497*F497</f>
        <v/>
      </c>
      <c r="I497">
        <f>E497*G497</f>
        <v/>
      </c>
    </row>
    <row r="498">
      <c r="A498" s="29">
        <f>[1]FİYATLAR!A498</f>
        <v/>
      </c>
      <c r="B498" s="29">
        <f>[1]FİYATLAR!B498</f>
        <v/>
      </c>
      <c r="C498" s="35">
        <f>INT(A498)</f>
        <v/>
      </c>
      <c r="D498" s="36">
        <f>MONTH(A498)</f>
        <v/>
      </c>
      <c r="F498" s="30">
        <f>[1]FİYATLAR!C498</f>
        <v/>
      </c>
      <c r="G498" s="30">
        <f>[1]FİYATLAR!D498</f>
        <v/>
      </c>
      <c r="H498">
        <f>E498*F498</f>
        <v/>
      </c>
      <c r="I498">
        <f>E498*G498</f>
        <v/>
      </c>
    </row>
    <row r="499">
      <c r="A499" s="29">
        <f>[1]FİYATLAR!A499</f>
        <v/>
      </c>
      <c r="B499" s="29">
        <f>[1]FİYATLAR!B499</f>
        <v/>
      </c>
      <c r="C499" s="35">
        <f>INT(A499)</f>
        <v/>
      </c>
      <c r="D499" s="36">
        <f>MONTH(A499)</f>
        <v/>
      </c>
      <c r="F499" s="30">
        <f>[1]FİYATLAR!C499</f>
        <v/>
      </c>
      <c r="G499" s="30">
        <f>[1]FİYATLAR!D499</f>
        <v/>
      </c>
      <c r="H499">
        <f>E499*F499</f>
        <v/>
      </c>
      <c r="I499">
        <f>E499*G499</f>
        <v/>
      </c>
    </row>
    <row r="500">
      <c r="A500" s="29">
        <f>[1]FİYATLAR!A500</f>
        <v/>
      </c>
      <c r="B500" s="29">
        <f>[1]FİYATLAR!B500</f>
        <v/>
      </c>
      <c r="C500" s="35">
        <f>INT(A500)</f>
        <v/>
      </c>
      <c r="D500" s="36">
        <f>MONTH(A500)</f>
        <v/>
      </c>
      <c r="F500" s="30">
        <f>[1]FİYATLAR!C500</f>
        <v/>
      </c>
      <c r="G500" s="30">
        <f>[1]FİYATLAR!D500</f>
        <v/>
      </c>
      <c r="H500">
        <f>E500*F500</f>
        <v/>
      </c>
      <c r="I500">
        <f>E500*G500</f>
        <v/>
      </c>
    </row>
    <row r="501">
      <c r="A501" s="29">
        <f>[1]FİYATLAR!A501</f>
        <v/>
      </c>
      <c r="B501" s="29">
        <f>[1]FİYATLAR!B501</f>
        <v/>
      </c>
      <c r="C501" s="35">
        <f>INT(A501)</f>
        <v/>
      </c>
      <c r="D501" s="36">
        <f>MONTH(A501)</f>
        <v/>
      </c>
      <c r="F501" s="30">
        <f>[1]FİYATLAR!C501</f>
        <v/>
      </c>
      <c r="G501" s="30">
        <f>[1]FİYATLAR!D501</f>
        <v/>
      </c>
      <c r="H501">
        <f>E501*F501</f>
        <v/>
      </c>
      <c r="I501">
        <f>E501*G501</f>
        <v/>
      </c>
    </row>
    <row r="502">
      <c r="A502" s="29">
        <f>[1]FİYATLAR!A502</f>
        <v/>
      </c>
      <c r="B502" s="29">
        <f>[1]FİYATLAR!B502</f>
        <v/>
      </c>
      <c r="C502" s="35">
        <f>INT(A502)</f>
        <v/>
      </c>
      <c r="D502" s="36">
        <f>MONTH(A502)</f>
        <v/>
      </c>
      <c r="F502" s="30">
        <f>[1]FİYATLAR!C502</f>
        <v/>
      </c>
      <c r="G502" s="30">
        <f>[1]FİYATLAR!D502</f>
        <v/>
      </c>
      <c r="H502">
        <f>E502*F502</f>
        <v/>
      </c>
      <c r="I502">
        <f>E502*G502</f>
        <v/>
      </c>
    </row>
    <row r="503">
      <c r="A503" s="29">
        <f>[1]FİYATLAR!A503</f>
        <v/>
      </c>
      <c r="B503" s="29">
        <f>[1]FİYATLAR!B503</f>
        <v/>
      </c>
      <c r="C503" s="35">
        <f>INT(A503)</f>
        <v/>
      </c>
      <c r="D503" s="36">
        <f>MONTH(A503)</f>
        <v/>
      </c>
      <c r="F503" s="30">
        <f>[1]FİYATLAR!C503</f>
        <v/>
      </c>
      <c r="G503" s="30">
        <f>[1]FİYATLAR!D503</f>
        <v/>
      </c>
      <c r="H503">
        <f>E503*F503</f>
        <v/>
      </c>
      <c r="I503">
        <f>E503*G503</f>
        <v/>
      </c>
    </row>
    <row r="504">
      <c r="A504" s="29">
        <f>[1]FİYATLAR!A504</f>
        <v/>
      </c>
      <c r="B504" s="29">
        <f>[1]FİYATLAR!B504</f>
        <v/>
      </c>
      <c r="C504" s="35">
        <f>INT(A504)</f>
        <v/>
      </c>
      <c r="D504" s="36">
        <f>MONTH(A504)</f>
        <v/>
      </c>
      <c r="F504" s="30">
        <f>[1]FİYATLAR!C504</f>
        <v/>
      </c>
      <c r="G504" s="30">
        <f>[1]FİYATLAR!D504</f>
        <v/>
      </c>
      <c r="H504">
        <f>E504*F504</f>
        <v/>
      </c>
      <c r="I504">
        <f>E504*G504</f>
        <v/>
      </c>
    </row>
    <row r="505">
      <c r="A505" s="29">
        <f>[1]FİYATLAR!A505</f>
        <v/>
      </c>
      <c r="B505" s="29">
        <f>[1]FİYATLAR!B505</f>
        <v/>
      </c>
      <c r="C505" s="35">
        <f>INT(A505)</f>
        <v/>
      </c>
      <c r="D505" s="36">
        <f>MONTH(A505)</f>
        <v/>
      </c>
      <c r="F505" s="30">
        <f>[1]FİYATLAR!C505</f>
        <v/>
      </c>
      <c r="G505" s="30">
        <f>[1]FİYATLAR!D505</f>
        <v/>
      </c>
      <c r="H505">
        <f>E505*F505</f>
        <v/>
      </c>
      <c r="I505">
        <f>E505*G505</f>
        <v/>
      </c>
    </row>
    <row r="506">
      <c r="A506" s="29">
        <f>[1]FİYATLAR!A506</f>
        <v/>
      </c>
      <c r="B506" s="29">
        <f>[1]FİYATLAR!B506</f>
        <v/>
      </c>
      <c r="C506" s="35">
        <f>INT(A506)</f>
        <v/>
      </c>
      <c r="D506" s="36">
        <f>MONTH(A506)</f>
        <v/>
      </c>
      <c r="F506" s="30">
        <f>[1]FİYATLAR!C506</f>
        <v/>
      </c>
      <c r="G506" s="30">
        <f>[1]FİYATLAR!D506</f>
        <v/>
      </c>
      <c r="H506">
        <f>E506*F506</f>
        <v/>
      </c>
      <c r="I506">
        <f>E506*G506</f>
        <v/>
      </c>
    </row>
    <row r="507">
      <c r="A507" s="29">
        <f>[1]FİYATLAR!A507</f>
        <v/>
      </c>
      <c r="B507" s="29">
        <f>[1]FİYATLAR!B507</f>
        <v/>
      </c>
      <c r="C507" s="35">
        <f>INT(A507)</f>
        <v/>
      </c>
      <c r="D507" s="36">
        <f>MONTH(A507)</f>
        <v/>
      </c>
      <c r="F507" s="30">
        <f>[1]FİYATLAR!C507</f>
        <v/>
      </c>
      <c r="G507" s="30">
        <f>[1]FİYATLAR!D507</f>
        <v/>
      </c>
      <c r="H507">
        <f>E507*F507</f>
        <v/>
      </c>
      <c r="I507">
        <f>E507*G507</f>
        <v/>
      </c>
    </row>
    <row r="508">
      <c r="A508" s="29">
        <f>[1]FİYATLAR!A508</f>
        <v/>
      </c>
      <c r="B508" s="29">
        <f>[1]FİYATLAR!B508</f>
        <v/>
      </c>
      <c r="C508" s="35">
        <f>INT(A508)</f>
        <v/>
      </c>
      <c r="D508" s="36">
        <f>MONTH(A508)</f>
        <v/>
      </c>
      <c r="F508" s="30">
        <f>[1]FİYATLAR!C508</f>
        <v/>
      </c>
      <c r="G508" s="30">
        <f>[1]FİYATLAR!D508</f>
        <v/>
      </c>
      <c r="H508">
        <f>E508*F508</f>
        <v/>
      </c>
      <c r="I508">
        <f>E508*G508</f>
        <v/>
      </c>
    </row>
    <row r="509">
      <c r="A509" s="29">
        <f>[1]FİYATLAR!A509</f>
        <v/>
      </c>
      <c r="B509" s="29">
        <f>[1]FİYATLAR!B509</f>
        <v/>
      </c>
      <c r="C509" s="35">
        <f>INT(A509)</f>
        <v/>
      </c>
      <c r="D509" s="36">
        <f>MONTH(A509)</f>
        <v/>
      </c>
      <c r="F509" s="30">
        <f>[1]FİYATLAR!C509</f>
        <v/>
      </c>
      <c r="G509" s="30">
        <f>[1]FİYATLAR!D509</f>
        <v/>
      </c>
      <c r="H509">
        <f>E509*F509</f>
        <v/>
      </c>
      <c r="I509">
        <f>E509*G509</f>
        <v/>
      </c>
    </row>
    <row r="510">
      <c r="A510" s="29">
        <f>[1]FİYATLAR!A510</f>
        <v/>
      </c>
      <c r="B510" s="29">
        <f>[1]FİYATLAR!B510</f>
        <v/>
      </c>
      <c r="C510" s="35">
        <f>INT(A510)</f>
        <v/>
      </c>
      <c r="D510" s="36">
        <f>MONTH(A510)</f>
        <v/>
      </c>
      <c r="F510" s="30">
        <f>[1]FİYATLAR!C510</f>
        <v/>
      </c>
      <c r="G510" s="30">
        <f>[1]FİYATLAR!D510</f>
        <v/>
      </c>
      <c r="H510">
        <f>E510*F510</f>
        <v/>
      </c>
      <c r="I510">
        <f>E510*G510</f>
        <v/>
      </c>
    </row>
    <row r="511">
      <c r="A511" s="29">
        <f>[1]FİYATLAR!A511</f>
        <v/>
      </c>
      <c r="B511" s="29">
        <f>[1]FİYATLAR!B511</f>
        <v/>
      </c>
      <c r="C511" s="35">
        <f>INT(A511)</f>
        <v/>
      </c>
      <c r="D511" s="36">
        <f>MONTH(A511)</f>
        <v/>
      </c>
      <c r="F511" s="30">
        <f>[1]FİYATLAR!C511</f>
        <v/>
      </c>
      <c r="G511" s="30">
        <f>[1]FİYATLAR!D511</f>
        <v/>
      </c>
      <c r="H511">
        <f>E511*F511</f>
        <v/>
      </c>
      <c r="I511">
        <f>E511*G511</f>
        <v/>
      </c>
    </row>
    <row r="512">
      <c r="A512" s="29">
        <f>[1]FİYATLAR!A512</f>
        <v/>
      </c>
      <c r="B512" s="29">
        <f>[1]FİYATLAR!B512</f>
        <v/>
      </c>
      <c r="C512" s="35">
        <f>INT(A512)</f>
        <v/>
      </c>
      <c r="D512" s="36">
        <f>MONTH(A512)</f>
        <v/>
      </c>
      <c r="F512" s="30">
        <f>[1]FİYATLAR!C512</f>
        <v/>
      </c>
      <c r="G512" s="30">
        <f>[1]FİYATLAR!D512</f>
        <v/>
      </c>
      <c r="H512">
        <f>E512*F512</f>
        <v/>
      </c>
      <c r="I512">
        <f>E512*G512</f>
        <v/>
      </c>
    </row>
    <row r="513">
      <c r="A513" s="29">
        <f>[1]FİYATLAR!A513</f>
        <v/>
      </c>
      <c r="B513" s="29">
        <f>[1]FİYATLAR!B513</f>
        <v/>
      </c>
      <c r="C513" s="35">
        <f>INT(A513)</f>
        <v/>
      </c>
      <c r="D513" s="36">
        <f>MONTH(A513)</f>
        <v/>
      </c>
      <c r="F513" s="30">
        <f>[1]FİYATLAR!C513</f>
        <v/>
      </c>
      <c r="G513" s="30">
        <f>[1]FİYATLAR!D513</f>
        <v/>
      </c>
      <c r="H513">
        <f>E513*F513</f>
        <v/>
      </c>
      <c r="I513">
        <f>E513*G513</f>
        <v/>
      </c>
    </row>
    <row r="514">
      <c r="A514" s="29">
        <f>[1]FİYATLAR!A514</f>
        <v/>
      </c>
      <c r="B514" s="29">
        <f>[1]FİYATLAR!B514</f>
        <v/>
      </c>
      <c r="C514" s="35">
        <f>INT(A514)</f>
        <v/>
      </c>
      <c r="D514" s="36">
        <f>MONTH(A514)</f>
        <v/>
      </c>
      <c r="F514" s="30">
        <f>[1]FİYATLAR!C514</f>
        <v/>
      </c>
      <c r="G514" s="30">
        <f>[1]FİYATLAR!D514</f>
        <v/>
      </c>
      <c r="H514">
        <f>E514*F514</f>
        <v/>
      </c>
      <c r="I514">
        <f>E514*G514</f>
        <v/>
      </c>
    </row>
    <row r="515">
      <c r="A515" s="29">
        <f>[1]FİYATLAR!A515</f>
        <v/>
      </c>
      <c r="B515" s="29">
        <f>[1]FİYATLAR!B515</f>
        <v/>
      </c>
      <c r="C515" s="35">
        <f>INT(A515)</f>
        <v/>
      </c>
      <c r="D515" s="36">
        <f>MONTH(A515)</f>
        <v/>
      </c>
      <c r="F515" s="30">
        <f>[1]FİYATLAR!C515</f>
        <v/>
      </c>
      <c r="G515" s="30">
        <f>[1]FİYATLAR!D515</f>
        <v/>
      </c>
      <c r="H515">
        <f>E515*F515</f>
        <v/>
      </c>
      <c r="I515">
        <f>E515*G515</f>
        <v/>
      </c>
    </row>
    <row r="516">
      <c r="A516" s="29">
        <f>[1]FİYATLAR!A516</f>
        <v/>
      </c>
      <c r="B516" s="29">
        <f>[1]FİYATLAR!B516</f>
        <v/>
      </c>
      <c r="C516" s="35">
        <f>INT(A516)</f>
        <v/>
      </c>
      <c r="D516" s="36">
        <f>MONTH(A516)</f>
        <v/>
      </c>
      <c r="F516" s="30">
        <f>[1]FİYATLAR!C516</f>
        <v/>
      </c>
      <c r="G516" s="30">
        <f>[1]FİYATLAR!D516</f>
        <v/>
      </c>
      <c r="H516">
        <f>E516*F516</f>
        <v/>
      </c>
      <c r="I516">
        <f>E516*G516</f>
        <v/>
      </c>
    </row>
    <row r="517">
      <c r="A517" s="29">
        <f>[1]FİYATLAR!A517</f>
        <v/>
      </c>
      <c r="B517" s="29">
        <f>[1]FİYATLAR!B517</f>
        <v/>
      </c>
      <c r="C517" s="35">
        <f>INT(A517)</f>
        <v/>
      </c>
      <c r="D517" s="36">
        <f>MONTH(A517)</f>
        <v/>
      </c>
      <c r="F517" s="30">
        <f>[1]FİYATLAR!C517</f>
        <v/>
      </c>
      <c r="G517" s="30">
        <f>[1]FİYATLAR!D517</f>
        <v/>
      </c>
      <c r="H517">
        <f>E517*F517</f>
        <v/>
      </c>
      <c r="I517">
        <f>E517*G517</f>
        <v/>
      </c>
    </row>
    <row r="518">
      <c r="A518" s="29">
        <f>[1]FİYATLAR!A518</f>
        <v/>
      </c>
      <c r="B518" s="29">
        <f>[1]FİYATLAR!B518</f>
        <v/>
      </c>
      <c r="C518" s="35">
        <f>INT(A518)</f>
        <v/>
      </c>
      <c r="D518" s="36">
        <f>MONTH(A518)</f>
        <v/>
      </c>
      <c r="F518" s="30">
        <f>[1]FİYATLAR!C518</f>
        <v/>
      </c>
      <c r="G518" s="30">
        <f>[1]FİYATLAR!D518</f>
        <v/>
      </c>
      <c r="H518">
        <f>E518*F518</f>
        <v/>
      </c>
      <c r="I518">
        <f>E518*G518</f>
        <v/>
      </c>
    </row>
    <row r="519">
      <c r="A519" s="29">
        <f>[1]FİYATLAR!A519</f>
        <v/>
      </c>
      <c r="B519" s="29">
        <f>[1]FİYATLAR!B519</f>
        <v/>
      </c>
      <c r="C519" s="35">
        <f>INT(A519)</f>
        <v/>
      </c>
      <c r="D519" s="36">
        <f>MONTH(A519)</f>
        <v/>
      </c>
      <c r="F519" s="30">
        <f>[1]FİYATLAR!C519</f>
        <v/>
      </c>
      <c r="G519" s="30">
        <f>[1]FİYATLAR!D519</f>
        <v/>
      </c>
      <c r="H519">
        <f>E519*F519</f>
        <v/>
      </c>
      <c r="I519">
        <f>E519*G519</f>
        <v/>
      </c>
    </row>
    <row r="520">
      <c r="A520" s="29">
        <f>[1]FİYATLAR!A520</f>
        <v/>
      </c>
      <c r="B520" s="29">
        <f>[1]FİYATLAR!B520</f>
        <v/>
      </c>
      <c r="C520" s="35">
        <f>INT(A520)</f>
        <v/>
      </c>
      <c r="D520" s="36">
        <f>MONTH(A520)</f>
        <v/>
      </c>
      <c r="F520" s="30">
        <f>[1]FİYATLAR!C520</f>
        <v/>
      </c>
      <c r="G520" s="30">
        <f>[1]FİYATLAR!D520</f>
        <v/>
      </c>
      <c r="H520">
        <f>E520*F520</f>
        <v/>
      </c>
      <c r="I520">
        <f>E520*G520</f>
        <v/>
      </c>
    </row>
    <row r="521">
      <c r="A521" s="29">
        <f>[1]FİYATLAR!A521</f>
        <v/>
      </c>
      <c r="B521" s="29">
        <f>[1]FİYATLAR!B521</f>
        <v/>
      </c>
      <c r="C521" s="35">
        <f>INT(A521)</f>
        <v/>
      </c>
      <c r="D521" s="36">
        <f>MONTH(A521)</f>
        <v/>
      </c>
      <c r="F521" s="30">
        <f>[1]FİYATLAR!C521</f>
        <v/>
      </c>
      <c r="G521" s="30">
        <f>[1]FİYATLAR!D521</f>
        <v/>
      </c>
      <c r="H521">
        <f>E521*F521</f>
        <v/>
      </c>
      <c r="I521">
        <f>E521*G521</f>
        <v/>
      </c>
    </row>
    <row r="522">
      <c r="A522" s="29">
        <f>[1]FİYATLAR!A522</f>
        <v/>
      </c>
      <c r="B522" s="29">
        <f>[1]FİYATLAR!B522</f>
        <v/>
      </c>
      <c r="C522" s="35">
        <f>INT(A522)</f>
        <v/>
      </c>
      <c r="D522" s="36">
        <f>MONTH(A522)</f>
        <v/>
      </c>
      <c r="F522" s="30">
        <f>[1]FİYATLAR!C522</f>
        <v/>
      </c>
      <c r="G522" s="30">
        <f>[1]FİYATLAR!D522</f>
        <v/>
      </c>
      <c r="H522">
        <f>E522*F522</f>
        <v/>
      </c>
      <c r="I522">
        <f>E522*G522</f>
        <v/>
      </c>
    </row>
    <row r="523">
      <c r="A523" s="29">
        <f>[1]FİYATLAR!A523</f>
        <v/>
      </c>
      <c r="B523" s="29">
        <f>[1]FİYATLAR!B523</f>
        <v/>
      </c>
      <c r="C523" s="35">
        <f>INT(A523)</f>
        <v/>
      </c>
      <c r="D523" s="36">
        <f>MONTH(A523)</f>
        <v/>
      </c>
      <c r="F523" s="30">
        <f>[1]FİYATLAR!C523</f>
        <v/>
      </c>
      <c r="G523" s="30">
        <f>[1]FİYATLAR!D523</f>
        <v/>
      </c>
      <c r="H523">
        <f>E523*F523</f>
        <v/>
      </c>
      <c r="I523">
        <f>E523*G523</f>
        <v/>
      </c>
    </row>
    <row r="524">
      <c r="A524" s="29">
        <f>[1]FİYATLAR!A524</f>
        <v/>
      </c>
      <c r="B524" s="29">
        <f>[1]FİYATLAR!B524</f>
        <v/>
      </c>
      <c r="C524" s="35">
        <f>INT(A524)</f>
        <v/>
      </c>
      <c r="D524" s="36">
        <f>MONTH(A524)</f>
        <v/>
      </c>
      <c r="F524" s="30">
        <f>[1]FİYATLAR!C524</f>
        <v/>
      </c>
      <c r="G524" s="30">
        <f>[1]FİYATLAR!D524</f>
        <v/>
      </c>
      <c r="H524">
        <f>E524*F524</f>
        <v/>
      </c>
      <c r="I524">
        <f>E524*G524</f>
        <v/>
      </c>
    </row>
    <row r="525">
      <c r="A525" s="29">
        <f>[1]FİYATLAR!A525</f>
        <v/>
      </c>
      <c r="B525" s="29">
        <f>[1]FİYATLAR!B525</f>
        <v/>
      </c>
      <c r="C525" s="35">
        <f>INT(A525)</f>
        <v/>
      </c>
      <c r="D525" s="36">
        <f>MONTH(A525)</f>
        <v/>
      </c>
      <c r="F525" s="30">
        <f>[1]FİYATLAR!C525</f>
        <v/>
      </c>
      <c r="G525" s="30">
        <f>[1]FİYATLAR!D525</f>
        <v/>
      </c>
      <c r="H525">
        <f>E525*F525</f>
        <v/>
      </c>
      <c r="I525">
        <f>E525*G525</f>
        <v/>
      </c>
    </row>
    <row r="526">
      <c r="A526" s="29">
        <f>[1]FİYATLAR!A526</f>
        <v/>
      </c>
      <c r="B526" s="29">
        <f>[1]FİYATLAR!B526</f>
        <v/>
      </c>
      <c r="C526" s="35">
        <f>INT(A526)</f>
        <v/>
      </c>
      <c r="D526" s="36">
        <f>MONTH(A526)</f>
        <v/>
      </c>
      <c r="F526" s="30">
        <f>[1]FİYATLAR!C526</f>
        <v/>
      </c>
      <c r="G526" s="30">
        <f>[1]FİYATLAR!D526</f>
        <v/>
      </c>
      <c r="H526">
        <f>E526*F526</f>
        <v/>
      </c>
      <c r="I526">
        <f>E526*G526</f>
        <v/>
      </c>
    </row>
    <row r="527">
      <c r="A527" s="29">
        <f>[1]FİYATLAR!A527</f>
        <v/>
      </c>
      <c r="B527" s="29">
        <f>[1]FİYATLAR!B527</f>
        <v/>
      </c>
      <c r="C527" s="35">
        <f>INT(A527)</f>
        <v/>
      </c>
      <c r="D527" s="36">
        <f>MONTH(A527)</f>
        <v/>
      </c>
      <c r="F527" s="30">
        <f>[1]FİYATLAR!C527</f>
        <v/>
      </c>
      <c r="G527" s="30">
        <f>[1]FİYATLAR!D527</f>
        <v/>
      </c>
      <c r="H527">
        <f>E527*F527</f>
        <v/>
      </c>
      <c r="I527">
        <f>E527*G527</f>
        <v/>
      </c>
    </row>
    <row r="528">
      <c r="A528" s="29">
        <f>[1]FİYATLAR!A528</f>
        <v/>
      </c>
      <c r="B528" s="29">
        <f>[1]FİYATLAR!B528</f>
        <v/>
      </c>
      <c r="C528" s="35">
        <f>INT(A528)</f>
        <v/>
      </c>
      <c r="D528" s="36">
        <f>MONTH(A528)</f>
        <v/>
      </c>
      <c r="F528" s="30">
        <f>[1]FİYATLAR!C528</f>
        <v/>
      </c>
      <c r="G528" s="30">
        <f>[1]FİYATLAR!D528</f>
        <v/>
      </c>
      <c r="H528">
        <f>E528*F528</f>
        <v/>
      </c>
      <c r="I528">
        <f>E528*G528</f>
        <v/>
      </c>
    </row>
    <row r="529">
      <c r="A529" s="29">
        <f>[1]FİYATLAR!A529</f>
        <v/>
      </c>
      <c r="B529" s="29">
        <f>[1]FİYATLAR!B529</f>
        <v/>
      </c>
      <c r="C529" s="35">
        <f>INT(A529)</f>
        <v/>
      </c>
      <c r="D529" s="36">
        <f>MONTH(A529)</f>
        <v/>
      </c>
      <c r="F529" s="30">
        <f>[1]FİYATLAR!C529</f>
        <v/>
      </c>
      <c r="G529" s="30">
        <f>[1]FİYATLAR!D529</f>
        <v/>
      </c>
      <c r="H529">
        <f>E529*F529</f>
        <v/>
      </c>
      <c r="I529">
        <f>E529*G529</f>
        <v/>
      </c>
    </row>
    <row r="530">
      <c r="A530" s="29">
        <f>[1]FİYATLAR!A530</f>
        <v/>
      </c>
      <c r="B530" s="29">
        <f>[1]FİYATLAR!B530</f>
        <v/>
      </c>
      <c r="C530" s="35">
        <f>INT(A530)</f>
        <v/>
      </c>
      <c r="D530" s="36">
        <f>MONTH(A530)</f>
        <v/>
      </c>
      <c r="F530" s="30">
        <f>[1]FİYATLAR!C530</f>
        <v/>
      </c>
      <c r="G530" s="30">
        <f>[1]FİYATLAR!D530</f>
        <v/>
      </c>
      <c r="H530">
        <f>E530*F530</f>
        <v/>
      </c>
      <c r="I530">
        <f>E530*G530</f>
        <v/>
      </c>
    </row>
    <row r="531">
      <c r="A531" s="29">
        <f>[1]FİYATLAR!A531</f>
        <v/>
      </c>
      <c r="B531" s="29">
        <f>[1]FİYATLAR!B531</f>
        <v/>
      </c>
      <c r="C531" s="35">
        <f>INT(A531)</f>
        <v/>
      </c>
      <c r="D531" s="36">
        <f>MONTH(A531)</f>
        <v/>
      </c>
      <c r="F531" s="30">
        <f>[1]FİYATLAR!C531</f>
        <v/>
      </c>
      <c r="G531" s="30">
        <f>[1]FİYATLAR!D531</f>
        <v/>
      </c>
      <c r="H531">
        <f>E531*F531</f>
        <v/>
      </c>
      <c r="I531">
        <f>E531*G531</f>
        <v/>
      </c>
    </row>
    <row r="532">
      <c r="A532" s="29">
        <f>[1]FİYATLAR!A532</f>
        <v/>
      </c>
      <c r="B532" s="29">
        <f>[1]FİYATLAR!B532</f>
        <v/>
      </c>
      <c r="C532" s="35">
        <f>INT(A532)</f>
        <v/>
      </c>
      <c r="D532" s="36">
        <f>MONTH(A532)</f>
        <v/>
      </c>
      <c r="F532" s="30">
        <f>[1]FİYATLAR!C532</f>
        <v/>
      </c>
      <c r="G532" s="30">
        <f>[1]FİYATLAR!D532</f>
        <v/>
      </c>
      <c r="H532">
        <f>E532*F532</f>
        <v/>
      </c>
      <c r="I532">
        <f>E532*G532</f>
        <v/>
      </c>
    </row>
    <row r="533">
      <c r="A533" s="29">
        <f>[1]FİYATLAR!A533</f>
        <v/>
      </c>
      <c r="B533" s="29">
        <f>[1]FİYATLAR!B533</f>
        <v/>
      </c>
      <c r="C533" s="35">
        <f>INT(A533)</f>
        <v/>
      </c>
      <c r="D533" s="36">
        <f>MONTH(A533)</f>
        <v/>
      </c>
      <c r="F533" s="30">
        <f>[1]FİYATLAR!C533</f>
        <v/>
      </c>
      <c r="G533" s="30">
        <f>[1]FİYATLAR!D533</f>
        <v/>
      </c>
      <c r="H533">
        <f>E533*F533</f>
        <v/>
      </c>
      <c r="I533">
        <f>E533*G533</f>
        <v/>
      </c>
    </row>
    <row r="534">
      <c r="A534" s="29">
        <f>[1]FİYATLAR!A534</f>
        <v/>
      </c>
      <c r="B534" s="29">
        <f>[1]FİYATLAR!B534</f>
        <v/>
      </c>
      <c r="C534" s="35">
        <f>INT(A534)</f>
        <v/>
      </c>
      <c r="D534" s="36">
        <f>MONTH(A534)</f>
        <v/>
      </c>
      <c r="F534" s="30">
        <f>[1]FİYATLAR!C534</f>
        <v/>
      </c>
      <c r="G534" s="30">
        <f>[1]FİYATLAR!D534</f>
        <v/>
      </c>
      <c r="H534">
        <f>E534*F534</f>
        <v/>
      </c>
      <c r="I534">
        <f>E534*G534</f>
        <v/>
      </c>
    </row>
    <row r="535">
      <c r="A535" s="29">
        <f>[1]FİYATLAR!A535</f>
        <v/>
      </c>
      <c r="B535" s="29">
        <f>[1]FİYATLAR!B535</f>
        <v/>
      </c>
      <c r="C535" s="35">
        <f>INT(A535)</f>
        <v/>
      </c>
      <c r="D535" s="36">
        <f>MONTH(A535)</f>
        <v/>
      </c>
      <c r="F535" s="30">
        <f>[1]FİYATLAR!C535</f>
        <v/>
      </c>
      <c r="G535" s="30">
        <f>[1]FİYATLAR!D535</f>
        <v/>
      </c>
      <c r="H535">
        <f>E535*F535</f>
        <v/>
      </c>
      <c r="I535">
        <f>E535*G535</f>
        <v/>
      </c>
    </row>
    <row r="536">
      <c r="A536" s="29">
        <f>[1]FİYATLAR!A536</f>
        <v/>
      </c>
      <c r="B536" s="29">
        <f>[1]FİYATLAR!B536</f>
        <v/>
      </c>
      <c r="C536" s="35">
        <f>INT(A536)</f>
        <v/>
      </c>
      <c r="D536" s="36">
        <f>MONTH(A536)</f>
        <v/>
      </c>
      <c r="F536" s="30">
        <f>[1]FİYATLAR!C536</f>
        <v/>
      </c>
      <c r="G536" s="30">
        <f>[1]FİYATLAR!D536</f>
        <v/>
      </c>
      <c r="H536">
        <f>E536*F536</f>
        <v/>
      </c>
      <c r="I536">
        <f>E536*G536</f>
        <v/>
      </c>
    </row>
    <row r="537">
      <c r="A537" s="29">
        <f>[1]FİYATLAR!A537</f>
        <v/>
      </c>
      <c r="B537" s="29">
        <f>[1]FİYATLAR!B537</f>
        <v/>
      </c>
      <c r="C537" s="35">
        <f>INT(A537)</f>
        <v/>
      </c>
      <c r="D537" s="36">
        <f>MONTH(A537)</f>
        <v/>
      </c>
      <c r="F537" s="30">
        <f>[1]FİYATLAR!C537</f>
        <v/>
      </c>
      <c r="G537" s="30">
        <f>[1]FİYATLAR!D537</f>
        <v/>
      </c>
      <c r="H537">
        <f>E537*F537</f>
        <v/>
      </c>
      <c r="I537">
        <f>E537*G537</f>
        <v/>
      </c>
    </row>
    <row r="538">
      <c r="A538" s="29">
        <f>[1]FİYATLAR!A538</f>
        <v/>
      </c>
      <c r="B538" s="29">
        <f>[1]FİYATLAR!B538</f>
        <v/>
      </c>
      <c r="C538" s="35">
        <f>INT(A538)</f>
        <v/>
      </c>
      <c r="D538" s="36">
        <f>MONTH(A538)</f>
        <v/>
      </c>
      <c r="F538" s="30">
        <f>[1]FİYATLAR!C538</f>
        <v/>
      </c>
      <c r="G538" s="30">
        <f>[1]FİYATLAR!D538</f>
        <v/>
      </c>
      <c r="H538">
        <f>E538*F538</f>
        <v/>
      </c>
      <c r="I538">
        <f>E538*G538</f>
        <v/>
      </c>
    </row>
    <row r="539">
      <c r="A539" s="29">
        <f>[1]FİYATLAR!A539</f>
        <v/>
      </c>
      <c r="B539" s="29">
        <f>[1]FİYATLAR!B539</f>
        <v/>
      </c>
      <c r="C539" s="35">
        <f>INT(A539)</f>
        <v/>
      </c>
      <c r="D539" s="36">
        <f>MONTH(A539)</f>
        <v/>
      </c>
      <c r="F539" s="30">
        <f>[1]FİYATLAR!C539</f>
        <v/>
      </c>
      <c r="G539" s="30">
        <f>[1]FİYATLAR!D539</f>
        <v/>
      </c>
      <c r="H539">
        <f>E539*F539</f>
        <v/>
      </c>
      <c r="I539">
        <f>E539*G539</f>
        <v/>
      </c>
    </row>
    <row r="540">
      <c r="A540" s="29">
        <f>[1]FİYATLAR!A540</f>
        <v/>
      </c>
      <c r="B540" s="29">
        <f>[1]FİYATLAR!B540</f>
        <v/>
      </c>
      <c r="C540" s="35">
        <f>INT(A540)</f>
        <v/>
      </c>
      <c r="D540" s="36">
        <f>MONTH(A540)</f>
        <v/>
      </c>
      <c r="F540" s="30">
        <f>[1]FİYATLAR!C540</f>
        <v/>
      </c>
      <c r="G540" s="30">
        <f>[1]FİYATLAR!D540</f>
        <v/>
      </c>
      <c r="H540">
        <f>E540*F540</f>
        <v/>
      </c>
      <c r="I540">
        <f>E540*G540</f>
        <v/>
      </c>
    </row>
    <row r="541">
      <c r="A541" s="29">
        <f>[1]FİYATLAR!A541</f>
        <v/>
      </c>
      <c r="B541" s="29">
        <f>[1]FİYATLAR!B541</f>
        <v/>
      </c>
      <c r="C541" s="35">
        <f>INT(A541)</f>
        <v/>
      </c>
      <c r="D541" s="36">
        <f>MONTH(A541)</f>
        <v/>
      </c>
      <c r="F541" s="30">
        <f>[1]FİYATLAR!C541</f>
        <v/>
      </c>
      <c r="G541" s="30">
        <f>[1]FİYATLAR!D541</f>
        <v/>
      </c>
      <c r="H541">
        <f>E541*F541</f>
        <v/>
      </c>
      <c r="I541">
        <f>E541*G541</f>
        <v/>
      </c>
    </row>
    <row r="542">
      <c r="A542" s="29">
        <f>[1]FİYATLAR!A542</f>
        <v/>
      </c>
      <c r="B542" s="29">
        <f>[1]FİYATLAR!B542</f>
        <v/>
      </c>
      <c r="C542" s="35">
        <f>INT(A542)</f>
        <v/>
      </c>
      <c r="D542" s="36">
        <f>MONTH(A542)</f>
        <v/>
      </c>
      <c r="F542" s="30">
        <f>[1]FİYATLAR!C542</f>
        <v/>
      </c>
      <c r="G542" s="30">
        <f>[1]FİYATLAR!D542</f>
        <v/>
      </c>
      <c r="H542">
        <f>E542*F542</f>
        <v/>
      </c>
      <c r="I542">
        <f>E542*G542</f>
        <v/>
      </c>
    </row>
    <row r="543">
      <c r="A543" s="29">
        <f>[1]FİYATLAR!A543</f>
        <v/>
      </c>
      <c r="B543" s="29">
        <f>[1]FİYATLAR!B543</f>
        <v/>
      </c>
      <c r="C543" s="35">
        <f>INT(A543)</f>
        <v/>
      </c>
      <c r="D543" s="36">
        <f>MONTH(A543)</f>
        <v/>
      </c>
      <c r="F543" s="30">
        <f>[1]FİYATLAR!C543</f>
        <v/>
      </c>
      <c r="G543" s="30">
        <f>[1]FİYATLAR!D543</f>
        <v/>
      </c>
      <c r="H543">
        <f>E543*F543</f>
        <v/>
      </c>
      <c r="I543">
        <f>E543*G543</f>
        <v/>
      </c>
    </row>
    <row r="544">
      <c r="A544" s="29">
        <f>[1]FİYATLAR!A544</f>
        <v/>
      </c>
      <c r="B544" s="29">
        <f>[1]FİYATLAR!B544</f>
        <v/>
      </c>
      <c r="C544" s="35">
        <f>INT(A544)</f>
        <v/>
      </c>
      <c r="D544" s="36">
        <f>MONTH(A544)</f>
        <v/>
      </c>
      <c r="F544" s="30">
        <f>[1]FİYATLAR!C544</f>
        <v/>
      </c>
      <c r="G544" s="30">
        <f>[1]FİYATLAR!D544</f>
        <v/>
      </c>
      <c r="H544">
        <f>E544*F544</f>
        <v/>
      </c>
      <c r="I544">
        <f>E544*G544</f>
        <v/>
      </c>
    </row>
    <row r="545">
      <c r="A545" s="29">
        <f>[1]FİYATLAR!A545</f>
        <v/>
      </c>
      <c r="B545" s="29">
        <f>[1]FİYATLAR!B545</f>
        <v/>
      </c>
      <c r="C545" s="35">
        <f>INT(A545)</f>
        <v/>
      </c>
      <c r="D545" s="36">
        <f>MONTH(A545)</f>
        <v/>
      </c>
      <c r="F545" s="30">
        <f>[1]FİYATLAR!C545</f>
        <v/>
      </c>
      <c r="G545" s="30">
        <f>[1]FİYATLAR!D545</f>
        <v/>
      </c>
      <c r="H545">
        <f>E545*F545</f>
        <v/>
      </c>
      <c r="I545">
        <f>E545*G545</f>
        <v/>
      </c>
    </row>
    <row r="546">
      <c r="A546" s="29">
        <f>[1]FİYATLAR!A546</f>
        <v/>
      </c>
      <c r="B546" s="29">
        <f>[1]FİYATLAR!B546</f>
        <v/>
      </c>
      <c r="C546" s="35">
        <f>INT(A546)</f>
        <v/>
      </c>
      <c r="D546" s="36">
        <f>MONTH(A546)</f>
        <v/>
      </c>
      <c r="F546" s="30">
        <f>[1]FİYATLAR!C546</f>
        <v/>
      </c>
      <c r="G546" s="30">
        <f>[1]FİYATLAR!D546</f>
        <v/>
      </c>
      <c r="H546">
        <f>E546*F546</f>
        <v/>
      </c>
      <c r="I546">
        <f>E546*G546</f>
        <v/>
      </c>
    </row>
    <row r="547">
      <c r="A547" s="29">
        <f>[1]FİYATLAR!A547</f>
        <v/>
      </c>
      <c r="B547" s="29">
        <f>[1]FİYATLAR!B547</f>
        <v/>
      </c>
      <c r="C547" s="35">
        <f>INT(A547)</f>
        <v/>
      </c>
      <c r="D547" s="36">
        <f>MONTH(A547)</f>
        <v/>
      </c>
      <c r="F547" s="30">
        <f>[1]FİYATLAR!C547</f>
        <v/>
      </c>
      <c r="G547" s="30">
        <f>[1]FİYATLAR!D547</f>
        <v/>
      </c>
      <c r="H547">
        <f>E547*F547</f>
        <v/>
      </c>
      <c r="I547">
        <f>E547*G547</f>
        <v/>
      </c>
    </row>
    <row r="548">
      <c r="A548" s="29">
        <f>[1]FİYATLAR!A548</f>
        <v/>
      </c>
      <c r="B548" s="29">
        <f>[1]FİYATLAR!B548</f>
        <v/>
      </c>
      <c r="C548" s="35">
        <f>INT(A548)</f>
        <v/>
      </c>
      <c r="D548" s="36">
        <f>MONTH(A548)</f>
        <v/>
      </c>
      <c r="F548" s="30">
        <f>[1]FİYATLAR!C548</f>
        <v/>
      </c>
      <c r="G548" s="30">
        <f>[1]FİYATLAR!D548</f>
        <v/>
      </c>
      <c r="H548">
        <f>E548*F548</f>
        <v/>
      </c>
      <c r="I548">
        <f>E548*G548</f>
        <v/>
      </c>
    </row>
    <row r="549">
      <c r="A549" s="29">
        <f>[1]FİYATLAR!A549</f>
        <v/>
      </c>
      <c r="B549" s="29">
        <f>[1]FİYATLAR!B549</f>
        <v/>
      </c>
      <c r="C549" s="35">
        <f>INT(A549)</f>
        <v/>
      </c>
      <c r="D549" s="36">
        <f>MONTH(A549)</f>
        <v/>
      </c>
      <c r="F549" s="30">
        <f>[1]FİYATLAR!C549</f>
        <v/>
      </c>
      <c r="G549" s="30">
        <f>[1]FİYATLAR!D549</f>
        <v/>
      </c>
      <c r="H549">
        <f>E549*F549</f>
        <v/>
      </c>
      <c r="I549">
        <f>E549*G549</f>
        <v/>
      </c>
    </row>
    <row r="550">
      <c r="A550" s="29">
        <f>[1]FİYATLAR!A550</f>
        <v/>
      </c>
      <c r="B550" s="29">
        <f>[1]FİYATLAR!B550</f>
        <v/>
      </c>
      <c r="C550" s="35">
        <f>INT(A550)</f>
        <v/>
      </c>
      <c r="D550" s="36">
        <f>MONTH(A550)</f>
        <v/>
      </c>
      <c r="F550" s="30">
        <f>[1]FİYATLAR!C550</f>
        <v/>
      </c>
      <c r="G550" s="30">
        <f>[1]FİYATLAR!D550</f>
        <v/>
      </c>
      <c r="H550">
        <f>E550*F550</f>
        <v/>
      </c>
      <c r="I550">
        <f>E550*G550</f>
        <v/>
      </c>
    </row>
    <row r="551">
      <c r="A551" s="29">
        <f>[1]FİYATLAR!A551</f>
        <v/>
      </c>
      <c r="B551" s="29">
        <f>[1]FİYATLAR!B551</f>
        <v/>
      </c>
      <c r="C551" s="35">
        <f>INT(A551)</f>
        <v/>
      </c>
      <c r="D551" s="36">
        <f>MONTH(A551)</f>
        <v/>
      </c>
      <c r="F551" s="30">
        <f>[1]FİYATLAR!C551</f>
        <v/>
      </c>
      <c r="G551" s="30">
        <f>[1]FİYATLAR!D551</f>
        <v/>
      </c>
      <c r="H551">
        <f>E551*F551</f>
        <v/>
      </c>
      <c r="I551">
        <f>E551*G551</f>
        <v/>
      </c>
    </row>
    <row r="552">
      <c r="A552" s="29">
        <f>[1]FİYATLAR!A552</f>
        <v/>
      </c>
      <c r="B552" s="29">
        <f>[1]FİYATLAR!B552</f>
        <v/>
      </c>
      <c r="C552" s="35">
        <f>INT(A552)</f>
        <v/>
      </c>
      <c r="D552" s="36">
        <f>MONTH(A552)</f>
        <v/>
      </c>
      <c r="F552" s="30">
        <f>[1]FİYATLAR!C552</f>
        <v/>
      </c>
      <c r="G552" s="30">
        <f>[1]FİYATLAR!D552</f>
        <v/>
      </c>
      <c r="H552">
        <f>E552*F552</f>
        <v/>
      </c>
      <c r="I552">
        <f>E552*G552</f>
        <v/>
      </c>
    </row>
    <row r="553">
      <c r="A553" s="29">
        <f>[1]FİYATLAR!A553</f>
        <v/>
      </c>
      <c r="B553" s="29">
        <f>[1]FİYATLAR!B553</f>
        <v/>
      </c>
      <c r="C553" s="35">
        <f>INT(A553)</f>
        <v/>
      </c>
      <c r="D553" s="36">
        <f>MONTH(A553)</f>
        <v/>
      </c>
      <c r="F553" s="30">
        <f>[1]FİYATLAR!C553</f>
        <v/>
      </c>
      <c r="G553" s="30">
        <f>[1]FİYATLAR!D553</f>
        <v/>
      </c>
      <c r="H553">
        <f>E553*F553</f>
        <v/>
      </c>
      <c r="I553">
        <f>E553*G553</f>
        <v/>
      </c>
    </row>
    <row r="554">
      <c r="A554" s="29">
        <f>[1]FİYATLAR!A554</f>
        <v/>
      </c>
      <c r="B554" s="29">
        <f>[1]FİYATLAR!B554</f>
        <v/>
      </c>
      <c r="C554" s="35">
        <f>INT(A554)</f>
        <v/>
      </c>
      <c r="D554" s="36">
        <f>MONTH(A554)</f>
        <v/>
      </c>
      <c r="F554" s="30">
        <f>[1]FİYATLAR!C554</f>
        <v/>
      </c>
      <c r="G554" s="30">
        <f>[1]FİYATLAR!D554</f>
        <v/>
      </c>
      <c r="H554">
        <f>E554*F554</f>
        <v/>
      </c>
      <c r="I554">
        <f>E554*G554</f>
        <v/>
      </c>
    </row>
    <row r="555">
      <c r="A555" s="29">
        <f>[1]FİYATLAR!A555</f>
        <v/>
      </c>
      <c r="B555" s="29">
        <f>[1]FİYATLAR!B555</f>
        <v/>
      </c>
      <c r="C555" s="35">
        <f>INT(A555)</f>
        <v/>
      </c>
      <c r="D555" s="36">
        <f>MONTH(A555)</f>
        <v/>
      </c>
      <c r="F555" s="30">
        <f>[1]FİYATLAR!C555</f>
        <v/>
      </c>
      <c r="G555" s="30">
        <f>[1]FİYATLAR!D555</f>
        <v/>
      </c>
      <c r="H555">
        <f>E555*F555</f>
        <v/>
      </c>
      <c r="I555">
        <f>E555*G555</f>
        <v/>
      </c>
    </row>
    <row r="556">
      <c r="A556" s="29">
        <f>[1]FİYATLAR!A556</f>
        <v/>
      </c>
      <c r="B556" s="29">
        <f>[1]FİYATLAR!B556</f>
        <v/>
      </c>
      <c r="C556" s="35">
        <f>INT(A556)</f>
        <v/>
      </c>
      <c r="D556" s="36">
        <f>MONTH(A556)</f>
        <v/>
      </c>
      <c r="F556" s="30">
        <f>[1]FİYATLAR!C556</f>
        <v/>
      </c>
      <c r="G556" s="30">
        <f>[1]FİYATLAR!D556</f>
        <v/>
      </c>
      <c r="H556">
        <f>E556*F556</f>
        <v/>
      </c>
      <c r="I556">
        <f>E556*G556</f>
        <v/>
      </c>
    </row>
    <row r="557">
      <c r="A557" s="29">
        <f>[1]FİYATLAR!A557</f>
        <v/>
      </c>
      <c r="B557" s="29">
        <f>[1]FİYATLAR!B557</f>
        <v/>
      </c>
      <c r="C557" s="35">
        <f>INT(A557)</f>
        <v/>
      </c>
      <c r="D557" s="36">
        <f>MONTH(A557)</f>
        <v/>
      </c>
      <c r="F557" s="30">
        <f>[1]FİYATLAR!C557</f>
        <v/>
      </c>
      <c r="G557" s="30">
        <f>[1]FİYATLAR!D557</f>
        <v/>
      </c>
      <c r="H557">
        <f>E557*F557</f>
        <v/>
      </c>
      <c r="I557">
        <f>E557*G557</f>
        <v/>
      </c>
    </row>
    <row r="558">
      <c r="A558" s="29">
        <f>[1]FİYATLAR!A558</f>
        <v/>
      </c>
      <c r="B558" s="29">
        <f>[1]FİYATLAR!B558</f>
        <v/>
      </c>
      <c r="C558" s="35">
        <f>INT(A558)</f>
        <v/>
      </c>
      <c r="D558" s="36">
        <f>MONTH(A558)</f>
        <v/>
      </c>
      <c r="F558" s="30">
        <f>[1]FİYATLAR!C558</f>
        <v/>
      </c>
      <c r="G558" s="30">
        <f>[1]FİYATLAR!D558</f>
        <v/>
      </c>
      <c r="H558">
        <f>E558*F558</f>
        <v/>
      </c>
      <c r="I558">
        <f>E558*G558</f>
        <v/>
      </c>
    </row>
    <row r="559">
      <c r="A559" s="29">
        <f>[1]FİYATLAR!A559</f>
        <v/>
      </c>
      <c r="B559" s="29">
        <f>[1]FİYATLAR!B559</f>
        <v/>
      </c>
      <c r="C559" s="35">
        <f>INT(A559)</f>
        <v/>
      </c>
      <c r="D559" s="36">
        <f>MONTH(A559)</f>
        <v/>
      </c>
      <c r="F559" s="30">
        <f>[1]FİYATLAR!C559</f>
        <v/>
      </c>
      <c r="G559" s="30">
        <f>[1]FİYATLAR!D559</f>
        <v/>
      </c>
      <c r="H559">
        <f>E559*F559</f>
        <v/>
      </c>
      <c r="I559">
        <f>E559*G559</f>
        <v/>
      </c>
    </row>
    <row r="560">
      <c r="A560" s="29">
        <f>[1]FİYATLAR!A560</f>
        <v/>
      </c>
      <c r="B560" s="29">
        <f>[1]FİYATLAR!B560</f>
        <v/>
      </c>
      <c r="C560" s="35">
        <f>INT(A560)</f>
        <v/>
      </c>
      <c r="D560" s="36">
        <f>MONTH(A560)</f>
        <v/>
      </c>
      <c r="F560" s="30">
        <f>[1]FİYATLAR!C560</f>
        <v/>
      </c>
      <c r="G560" s="30">
        <f>[1]FİYATLAR!D560</f>
        <v/>
      </c>
      <c r="H560">
        <f>E560*F560</f>
        <v/>
      </c>
      <c r="I560">
        <f>E560*G560</f>
        <v/>
      </c>
    </row>
    <row r="561">
      <c r="A561" s="29">
        <f>[1]FİYATLAR!A561</f>
        <v/>
      </c>
      <c r="B561" s="29">
        <f>[1]FİYATLAR!B561</f>
        <v/>
      </c>
      <c r="C561" s="35">
        <f>INT(A561)</f>
        <v/>
      </c>
      <c r="D561" s="36">
        <f>MONTH(A561)</f>
        <v/>
      </c>
      <c r="F561" s="30">
        <f>[1]FİYATLAR!C561</f>
        <v/>
      </c>
      <c r="G561" s="30">
        <f>[1]FİYATLAR!D561</f>
        <v/>
      </c>
      <c r="H561">
        <f>E561*F561</f>
        <v/>
      </c>
      <c r="I561">
        <f>E561*G561</f>
        <v/>
      </c>
    </row>
    <row r="562">
      <c r="A562" s="29">
        <f>[1]FİYATLAR!A562</f>
        <v/>
      </c>
      <c r="B562" s="29">
        <f>[1]FİYATLAR!B562</f>
        <v/>
      </c>
      <c r="C562" s="35">
        <f>INT(A562)</f>
        <v/>
      </c>
      <c r="D562" s="36">
        <f>MONTH(A562)</f>
        <v/>
      </c>
      <c r="F562" s="30">
        <f>[1]FİYATLAR!C562</f>
        <v/>
      </c>
      <c r="G562" s="30">
        <f>[1]FİYATLAR!D562</f>
        <v/>
      </c>
      <c r="H562">
        <f>E562*F562</f>
        <v/>
      </c>
      <c r="I562">
        <f>E562*G562</f>
        <v/>
      </c>
    </row>
    <row r="563">
      <c r="A563" s="29">
        <f>[1]FİYATLAR!A563</f>
        <v/>
      </c>
      <c r="B563" s="29">
        <f>[1]FİYATLAR!B563</f>
        <v/>
      </c>
      <c r="C563" s="35">
        <f>INT(A563)</f>
        <v/>
      </c>
      <c r="D563" s="36">
        <f>MONTH(A563)</f>
        <v/>
      </c>
      <c r="F563" s="30">
        <f>[1]FİYATLAR!C563</f>
        <v/>
      </c>
      <c r="G563" s="30">
        <f>[1]FİYATLAR!D563</f>
        <v/>
      </c>
      <c r="H563">
        <f>E563*F563</f>
        <v/>
      </c>
      <c r="I563">
        <f>E563*G563</f>
        <v/>
      </c>
    </row>
    <row r="564">
      <c r="A564" s="29">
        <f>[1]FİYATLAR!A564</f>
        <v/>
      </c>
      <c r="B564" s="29">
        <f>[1]FİYATLAR!B564</f>
        <v/>
      </c>
      <c r="C564" s="35">
        <f>INT(A564)</f>
        <v/>
      </c>
      <c r="D564" s="36">
        <f>MONTH(A564)</f>
        <v/>
      </c>
      <c r="F564" s="30">
        <f>[1]FİYATLAR!C564</f>
        <v/>
      </c>
      <c r="G564" s="30">
        <f>[1]FİYATLAR!D564</f>
        <v/>
      </c>
      <c r="H564">
        <f>E564*F564</f>
        <v/>
      </c>
      <c r="I564">
        <f>E564*G564</f>
        <v/>
      </c>
    </row>
    <row r="565">
      <c r="A565" s="29">
        <f>[1]FİYATLAR!A565</f>
        <v/>
      </c>
      <c r="B565" s="29">
        <f>[1]FİYATLAR!B565</f>
        <v/>
      </c>
      <c r="C565" s="35">
        <f>INT(A565)</f>
        <v/>
      </c>
      <c r="D565" s="36">
        <f>MONTH(A565)</f>
        <v/>
      </c>
      <c r="F565" s="30">
        <f>[1]FİYATLAR!C565</f>
        <v/>
      </c>
      <c r="G565" s="30">
        <f>[1]FİYATLAR!D565</f>
        <v/>
      </c>
      <c r="H565">
        <f>E565*F565</f>
        <v/>
      </c>
      <c r="I565">
        <f>E565*G565</f>
        <v/>
      </c>
    </row>
    <row r="566">
      <c r="A566" s="29">
        <f>[1]FİYATLAR!A566</f>
        <v/>
      </c>
      <c r="B566" s="29">
        <f>[1]FİYATLAR!B566</f>
        <v/>
      </c>
      <c r="C566" s="35">
        <f>INT(A566)</f>
        <v/>
      </c>
      <c r="D566" s="36">
        <f>MONTH(A566)</f>
        <v/>
      </c>
      <c r="F566" s="30">
        <f>[1]FİYATLAR!C566</f>
        <v/>
      </c>
      <c r="G566" s="30">
        <f>[1]FİYATLAR!D566</f>
        <v/>
      </c>
      <c r="H566">
        <f>E566*F566</f>
        <v/>
      </c>
      <c r="I566">
        <f>E566*G566</f>
        <v/>
      </c>
    </row>
    <row r="567">
      <c r="A567" s="29">
        <f>[1]FİYATLAR!A567</f>
        <v/>
      </c>
      <c r="B567" s="29">
        <f>[1]FİYATLAR!B567</f>
        <v/>
      </c>
      <c r="C567" s="35">
        <f>INT(A567)</f>
        <v/>
      </c>
      <c r="D567" s="36">
        <f>MONTH(A567)</f>
        <v/>
      </c>
      <c r="F567" s="30">
        <f>[1]FİYATLAR!C567</f>
        <v/>
      </c>
      <c r="G567" s="30">
        <f>[1]FİYATLAR!D567</f>
        <v/>
      </c>
      <c r="H567">
        <f>E567*F567</f>
        <v/>
      </c>
      <c r="I567">
        <f>E567*G567</f>
        <v/>
      </c>
    </row>
    <row r="568">
      <c r="A568" s="29">
        <f>[1]FİYATLAR!A568</f>
        <v/>
      </c>
      <c r="B568" s="29">
        <f>[1]FİYATLAR!B568</f>
        <v/>
      </c>
      <c r="C568" s="35">
        <f>INT(A568)</f>
        <v/>
      </c>
      <c r="D568" s="36">
        <f>MONTH(A568)</f>
        <v/>
      </c>
      <c r="F568" s="30">
        <f>[1]FİYATLAR!C568</f>
        <v/>
      </c>
      <c r="G568" s="30">
        <f>[1]FİYATLAR!D568</f>
        <v/>
      </c>
      <c r="H568">
        <f>E568*F568</f>
        <v/>
      </c>
      <c r="I568">
        <f>E568*G568</f>
        <v/>
      </c>
    </row>
    <row r="569">
      <c r="A569" s="29">
        <f>[1]FİYATLAR!A569</f>
        <v/>
      </c>
      <c r="B569" s="29">
        <f>[1]FİYATLAR!B569</f>
        <v/>
      </c>
      <c r="C569" s="35">
        <f>INT(A569)</f>
        <v/>
      </c>
      <c r="D569" s="36">
        <f>MONTH(A569)</f>
        <v/>
      </c>
      <c r="F569" s="30">
        <f>[1]FİYATLAR!C569</f>
        <v/>
      </c>
      <c r="G569" s="30">
        <f>[1]FİYATLAR!D569</f>
        <v/>
      </c>
      <c r="H569">
        <f>E569*F569</f>
        <v/>
      </c>
      <c r="I569">
        <f>E569*G569</f>
        <v/>
      </c>
    </row>
    <row r="570">
      <c r="A570" s="29">
        <f>[1]FİYATLAR!A570</f>
        <v/>
      </c>
      <c r="B570" s="29">
        <f>[1]FİYATLAR!B570</f>
        <v/>
      </c>
      <c r="C570" s="35">
        <f>INT(A570)</f>
        <v/>
      </c>
      <c r="D570" s="36">
        <f>MONTH(A570)</f>
        <v/>
      </c>
      <c r="F570" s="30">
        <f>[1]FİYATLAR!C570</f>
        <v/>
      </c>
      <c r="G570" s="30">
        <f>[1]FİYATLAR!D570</f>
        <v/>
      </c>
      <c r="H570">
        <f>E570*F570</f>
        <v/>
      </c>
      <c r="I570">
        <f>E570*G570</f>
        <v/>
      </c>
    </row>
    <row r="571">
      <c r="A571" s="29">
        <f>[1]FİYATLAR!A571</f>
        <v/>
      </c>
      <c r="B571" s="29">
        <f>[1]FİYATLAR!B571</f>
        <v/>
      </c>
      <c r="C571" s="35">
        <f>INT(A571)</f>
        <v/>
      </c>
      <c r="D571" s="36">
        <f>MONTH(A571)</f>
        <v/>
      </c>
      <c r="F571" s="30">
        <f>[1]FİYATLAR!C571</f>
        <v/>
      </c>
      <c r="G571" s="30">
        <f>[1]FİYATLAR!D571</f>
        <v/>
      </c>
      <c r="H571">
        <f>E571*F571</f>
        <v/>
      </c>
      <c r="I571">
        <f>E571*G571</f>
        <v/>
      </c>
    </row>
    <row r="572">
      <c r="A572" s="29">
        <f>[1]FİYATLAR!A572</f>
        <v/>
      </c>
      <c r="B572" s="29">
        <f>[1]FİYATLAR!B572</f>
        <v/>
      </c>
      <c r="C572" s="35">
        <f>INT(A572)</f>
        <v/>
      </c>
      <c r="D572" s="36">
        <f>MONTH(A572)</f>
        <v/>
      </c>
      <c r="F572" s="30">
        <f>[1]FİYATLAR!C572</f>
        <v/>
      </c>
      <c r="G572" s="30">
        <f>[1]FİYATLAR!D572</f>
        <v/>
      </c>
      <c r="H572">
        <f>E572*F572</f>
        <v/>
      </c>
      <c r="I572">
        <f>E572*G572</f>
        <v/>
      </c>
    </row>
    <row r="573">
      <c r="A573" s="29">
        <f>[1]FİYATLAR!A573</f>
        <v/>
      </c>
      <c r="B573" s="29">
        <f>[1]FİYATLAR!B573</f>
        <v/>
      </c>
      <c r="C573" s="35">
        <f>INT(A573)</f>
        <v/>
      </c>
      <c r="D573" s="36">
        <f>MONTH(A573)</f>
        <v/>
      </c>
      <c r="F573" s="30">
        <f>[1]FİYATLAR!C573</f>
        <v/>
      </c>
      <c r="G573" s="30">
        <f>[1]FİYATLAR!D573</f>
        <v/>
      </c>
      <c r="H573">
        <f>E573*F573</f>
        <v/>
      </c>
      <c r="I573">
        <f>E573*G573</f>
        <v/>
      </c>
    </row>
    <row r="574">
      <c r="A574" s="29">
        <f>[1]FİYATLAR!A574</f>
        <v/>
      </c>
      <c r="B574" s="29">
        <f>[1]FİYATLAR!B574</f>
        <v/>
      </c>
      <c r="C574" s="35">
        <f>INT(A574)</f>
        <v/>
      </c>
      <c r="D574" s="36">
        <f>MONTH(A574)</f>
        <v/>
      </c>
      <c r="F574" s="30">
        <f>[1]FİYATLAR!C574</f>
        <v/>
      </c>
      <c r="G574" s="30">
        <f>[1]FİYATLAR!D574</f>
        <v/>
      </c>
      <c r="H574">
        <f>E574*F574</f>
        <v/>
      </c>
      <c r="I574">
        <f>E574*G574</f>
        <v/>
      </c>
    </row>
    <row r="575">
      <c r="A575" s="29">
        <f>[1]FİYATLAR!A575</f>
        <v/>
      </c>
      <c r="B575" s="29">
        <f>[1]FİYATLAR!B575</f>
        <v/>
      </c>
      <c r="C575" s="35">
        <f>INT(A575)</f>
        <v/>
      </c>
      <c r="D575" s="36">
        <f>MONTH(A575)</f>
        <v/>
      </c>
      <c r="F575" s="30">
        <f>[1]FİYATLAR!C575</f>
        <v/>
      </c>
      <c r="G575" s="30">
        <f>[1]FİYATLAR!D575</f>
        <v/>
      </c>
      <c r="H575">
        <f>E575*F575</f>
        <v/>
      </c>
      <c r="I575">
        <f>E575*G575</f>
        <v/>
      </c>
    </row>
    <row r="576">
      <c r="A576" s="29">
        <f>[1]FİYATLAR!A576</f>
        <v/>
      </c>
      <c r="B576" s="29">
        <f>[1]FİYATLAR!B576</f>
        <v/>
      </c>
      <c r="C576" s="35">
        <f>INT(A576)</f>
        <v/>
      </c>
      <c r="D576" s="36">
        <f>MONTH(A576)</f>
        <v/>
      </c>
      <c r="F576" s="30">
        <f>[1]FİYATLAR!C576</f>
        <v/>
      </c>
      <c r="G576" s="30">
        <f>[1]FİYATLAR!D576</f>
        <v/>
      </c>
      <c r="H576">
        <f>E576*F576</f>
        <v/>
      </c>
      <c r="I576">
        <f>E576*G576</f>
        <v/>
      </c>
    </row>
    <row r="577">
      <c r="A577" s="29">
        <f>[1]FİYATLAR!A577</f>
        <v/>
      </c>
      <c r="B577" s="29">
        <f>[1]FİYATLAR!B577</f>
        <v/>
      </c>
      <c r="C577" s="35">
        <f>INT(A577)</f>
        <v/>
      </c>
      <c r="D577" s="36">
        <f>MONTH(A577)</f>
        <v/>
      </c>
      <c r="F577" s="30">
        <f>[1]FİYATLAR!C577</f>
        <v/>
      </c>
      <c r="G577" s="30">
        <f>[1]FİYATLAR!D577</f>
        <v/>
      </c>
      <c r="H577">
        <f>E577*F577</f>
        <v/>
      </c>
      <c r="I577">
        <f>E577*G577</f>
        <v/>
      </c>
    </row>
    <row r="578">
      <c r="A578" s="29">
        <f>[1]FİYATLAR!A578</f>
        <v/>
      </c>
      <c r="B578" s="29">
        <f>[1]FİYATLAR!B578</f>
        <v/>
      </c>
      <c r="C578" s="35">
        <f>INT(A578)</f>
        <v/>
      </c>
      <c r="D578" s="36">
        <f>MONTH(A578)</f>
        <v/>
      </c>
      <c r="F578" s="30">
        <f>[1]FİYATLAR!C578</f>
        <v/>
      </c>
      <c r="G578" s="30">
        <f>[1]FİYATLAR!D578</f>
        <v/>
      </c>
      <c r="H578">
        <f>E578*F578</f>
        <v/>
      </c>
      <c r="I578">
        <f>E578*G578</f>
        <v/>
      </c>
    </row>
    <row r="579">
      <c r="A579" s="29">
        <f>[1]FİYATLAR!A579</f>
        <v/>
      </c>
      <c r="B579" s="29">
        <f>[1]FİYATLAR!B579</f>
        <v/>
      </c>
      <c r="C579" s="35">
        <f>INT(A579)</f>
        <v/>
      </c>
      <c r="D579" s="36">
        <f>MONTH(A579)</f>
        <v/>
      </c>
      <c r="F579" s="30">
        <f>[1]FİYATLAR!C579</f>
        <v/>
      </c>
      <c r="G579" s="30">
        <f>[1]FİYATLAR!D579</f>
        <v/>
      </c>
      <c r="H579">
        <f>E579*F579</f>
        <v/>
      </c>
      <c r="I579">
        <f>E579*G579</f>
        <v/>
      </c>
    </row>
    <row r="580">
      <c r="A580" s="29">
        <f>[1]FİYATLAR!A580</f>
        <v/>
      </c>
      <c r="B580" s="29">
        <f>[1]FİYATLAR!B580</f>
        <v/>
      </c>
      <c r="C580" s="35">
        <f>INT(A580)</f>
        <v/>
      </c>
      <c r="D580" s="36">
        <f>MONTH(A580)</f>
        <v/>
      </c>
      <c r="F580" s="30">
        <f>[1]FİYATLAR!C580</f>
        <v/>
      </c>
      <c r="G580" s="30">
        <f>[1]FİYATLAR!D580</f>
        <v/>
      </c>
      <c r="H580">
        <f>E580*F580</f>
        <v/>
      </c>
      <c r="I580">
        <f>E580*G580</f>
        <v/>
      </c>
    </row>
    <row r="581">
      <c r="A581" s="29">
        <f>[1]FİYATLAR!A581</f>
        <v/>
      </c>
      <c r="B581" s="29">
        <f>[1]FİYATLAR!B581</f>
        <v/>
      </c>
      <c r="C581" s="35">
        <f>INT(A581)</f>
        <v/>
      </c>
      <c r="D581" s="36">
        <f>MONTH(A581)</f>
        <v/>
      </c>
      <c r="F581" s="30">
        <f>[1]FİYATLAR!C581</f>
        <v/>
      </c>
      <c r="G581" s="30">
        <f>[1]FİYATLAR!D581</f>
        <v/>
      </c>
      <c r="H581">
        <f>E581*F581</f>
        <v/>
      </c>
      <c r="I581">
        <f>E581*G581</f>
        <v/>
      </c>
    </row>
    <row r="582">
      <c r="A582" s="29">
        <f>[1]FİYATLAR!A582</f>
        <v/>
      </c>
      <c r="B582" s="29">
        <f>[1]FİYATLAR!B582</f>
        <v/>
      </c>
      <c r="C582" s="35">
        <f>INT(A582)</f>
        <v/>
      </c>
      <c r="D582" s="36">
        <f>MONTH(A582)</f>
        <v/>
      </c>
      <c r="F582" s="30">
        <f>[1]FİYATLAR!C582</f>
        <v/>
      </c>
      <c r="G582" s="30">
        <f>[1]FİYATLAR!D582</f>
        <v/>
      </c>
      <c r="H582">
        <f>E582*F582</f>
        <v/>
      </c>
      <c r="I582">
        <f>E582*G582</f>
        <v/>
      </c>
    </row>
    <row r="583">
      <c r="A583" s="29">
        <f>[1]FİYATLAR!A583</f>
        <v/>
      </c>
      <c r="B583" s="29">
        <f>[1]FİYATLAR!B583</f>
        <v/>
      </c>
      <c r="C583" s="35">
        <f>INT(A583)</f>
        <v/>
      </c>
      <c r="D583" s="36">
        <f>MONTH(A583)</f>
        <v/>
      </c>
      <c r="F583" s="30">
        <f>[1]FİYATLAR!C583</f>
        <v/>
      </c>
      <c r="G583" s="30">
        <f>[1]FİYATLAR!D583</f>
        <v/>
      </c>
      <c r="H583">
        <f>E583*F583</f>
        <v/>
      </c>
      <c r="I583">
        <f>E583*G583</f>
        <v/>
      </c>
    </row>
    <row r="584">
      <c r="A584" s="29">
        <f>[1]FİYATLAR!A584</f>
        <v/>
      </c>
      <c r="B584" s="29">
        <f>[1]FİYATLAR!B584</f>
        <v/>
      </c>
      <c r="C584" s="35">
        <f>INT(A584)</f>
        <v/>
      </c>
      <c r="D584" s="36">
        <f>MONTH(A584)</f>
        <v/>
      </c>
      <c r="F584" s="30">
        <f>[1]FİYATLAR!C584</f>
        <v/>
      </c>
      <c r="G584" s="30">
        <f>[1]FİYATLAR!D584</f>
        <v/>
      </c>
      <c r="H584">
        <f>E584*F584</f>
        <v/>
      </c>
      <c r="I584">
        <f>E584*G584</f>
        <v/>
      </c>
    </row>
    <row r="585">
      <c r="A585" s="29">
        <f>[1]FİYATLAR!A585</f>
        <v/>
      </c>
      <c r="B585" s="29">
        <f>[1]FİYATLAR!B585</f>
        <v/>
      </c>
      <c r="C585" s="35">
        <f>INT(A585)</f>
        <v/>
      </c>
      <c r="D585" s="36">
        <f>MONTH(A585)</f>
        <v/>
      </c>
      <c r="F585" s="30">
        <f>[1]FİYATLAR!C585</f>
        <v/>
      </c>
      <c r="G585" s="30">
        <f>[1]FİYATLAR!D585</f>
        <v/>
      </c>
      <c r="H585">
        <f>E585*F585</f>
        <v/>
      </c>
      <c r="I585">
        <f>E585*G585</f>
        <v/>
      </c>
    </row>
    <row r="586">
      <c r="A586" s="29">
        <f>[1]FİYATLAR!A586</f>
        <v/>
      </c>
      <c r="B586" s="29">
        <f>[1]FİYATLAR!B586</f>
        <v/>
      </c>
      <c r="C586" s="35">
        <f>INT(A586)</f>
        <v/>
      </c>
      <c r="D586" s="36">
        <f>MONTH(A586)</f>
        <v/>
      </c>
      <c r="F586" s="30">
        <f>[1]FİYATLAR!C586</f>
        <v/>
      </c>
      <c r="G586" s="30">
        <f>[1]FİYATLAR!D586</f>
        <v/>
      </c>
      <c r="H586">
        <f>E586*F586</f>
        <v/>
      </c>
      <c r="I586">
        <f>E586*G586</f>
        <v/>
      </c>
    </row>
    <row r="587">
      <c r="A587" s="29">
        <f>[1]FİYATLAR!A587</f>
        <v/>
      </c>
      <c r="B587" s="29">
        <f>[1]FİYATLAR!B587</f>
        <v/>
      </c>
      <c r="C587" s="35">
        <f>INT(A587)</f>
        <v/>
      </c>
      <c r="D587" s="36">
        <f>MONTH(A587)</f>
        <v/>
      </c>
      <c r="F587" s="30">
        <f>[1]FİYATLAR!C587</f>
        <v/>
      </c>
      <c r="G587" s="30">
        <f>[1]FİYATLAR!D587</f>
        <v/>
      </c>
      <c r="H587">
        <f>E587*F587</f>
        <v/>
      </c>
      <c r="I587">
        <f>E587*G587</f>
        <v/>
      </c>
    </row>
    <row r="588">
      <c r="A588" s="29">
        <f>[1]FİYATLAR!A588</f>
        <v/>
      </c>
      <c r="B588" s="29">
        <f>[1]FİYATLAR!B588</f>
        <v/>
      </c>
      <c r="C588" s="35">
        <f>INT(A588)</f>
        <v/>
      </c>
      <c r="D588" s="36">
        <f>MONTH(A588)</f>
        <v/>
      </c>
      <c r="F588" s="30">
        <f>[1]FİYATLAR!C588</f>
        <v/>
      </c>
      <c r="G588" s="30">
        <f>[1]FİYATLAR!D588</f>
        <v/>
      </c>
      <c r="H588">
        <f>E588*F588</f>
        <v/>
      </c>
      <c r="I588">
        <f>E588*G588</f>
        <v/>
      </c>
    </row>
    <row r="589">
      <c r="A589" s="29">
        <f>[1]FİYATLAR!A589</f>
        <v/>
      </c>
      <c r="B589" s="29">
        <f>[1]FİYATLAR!B589</f>
        <v/>
      </c>
      <c r="C589" s="35">
        <f>INT(A589)</f>
        <v/>
      </c>
      <c r="D589" s="36">
        <f>MONTH(A589)</f>
        <v/>
      </c>
      <c r="F589" s="30">
        <f>[1]FİYATLAR!C589</f>
        <v/>
      </c>
      <c r="G589" s="30">
        <f>[1]FİYATLAR!D589</f>
        <v/>
      </c>
      <c r="H589">
        <f>E589*F589</f>
        <v/>
      </c>
      <c r="I589">
        <f>E589*G589</f>
        <v/>
      </c>
    </row>
    <row r="590">
      <c r="A590" s="29">
        <f>[1]FİYATLAR!A590</f>
        <v/>
      </c>
      <c r="B590" s="29">
        <f>[1]FİYATLAR!B590</f>
        <v/>
      </c>
      <c r="C590" s="35">
        <f>INT(A590)</f>
        <v/>
      </c>
      <c r="D590" s="36">
        <f>MONTH(A590)</f>
        <v/>
      </c>
      <c r="F590" s="30">
        <f>[1]FİYATLAR!C590</f>
        <v/>
      </c>
      <c r="G590" s="30">
        <f>[1]FİYATLAR!D590</f>
        <v/>
      </c>
      <c r="H590">
        <f>E590*F590</f>
        <v/>
      </c>
      <c r="I590">
        <f>E590*G590</f>
        <v/>
      </c>
    </row>
    <row r="591">
      <c r="A591" s="29">
        <f>[1]FİYATLAR!A591</f>
        <v/>
      </c>
      <c r="B591" s="29">
        <f>[1]FİYATLAR!B591</f>
        <v/>
      </c>
      <c r="C591" s="35">
        <f>INT(A591)</f>
        <v/>
      </c>
      <c r="D591" s="36">
        <f>MONTH(A591)</f>
        <v/>
      </c>
      <c r="F591" s="30">
        <f>[1]FİYATLAR!C591</f>
        <v/>
      </c>
      <c r="G591" s="30">
        <f>[1]FİYATLAR!D591</f>
        <v/>
      </c>
      <c r="H591">
        <f>E591*F591</f>
        <v/>
      </c>
      <c r="I591">
        <f>E591*G591</f>
        <v/>
      </c>
    </row>
    <row r="592">
      <c r="A592" s="29">
        <f>[1]FİYATLAR!A592</f>
        <v/>
      </c>
      <c r="B592" s="29">
        <f>[1]FİYATLAR!B592</f>
        <v/>
      </c>
      <c r="C592" s="35">
        <f>INT(A592)</f>
        <v/>
      </c>
      <c r="D592" s="36">
        <f>MONTH(A592)</f>
        <v/>
      </c>
      <c r="F592" s="30">
        <f>[1]FİYATLAR!C592</f>
        <v/>
      </c>
      <c r="G592" s="30">
        <f>[1]FİYATLAR!D592</f>
        <v/>
      </c>
      <c r="H592">
        <f>E592*F592</f>
        <v/>
      </c>
      <c r="I592">
        <f>E592*G592</f>
        <v/>
      </c>
    </row>
    <row r="593">
      <c r="A593" s="29">
        <f>[1]FİYATLAR!A593</f>
        <v/>
      </c>
      <c r="B593" s="29">
        <f>[1]FİYATLAR!B593</f>
        <v/>
      </c>
      <c r="C593" s="35">
        <f>INT(A593)</f>
        <v/>
      </c>
      <c r="D593" s="36">
        <f>MONTH(A593)</f>
        <v/>
      </c>
      <c r="F593" s="30">
        <f>[1]FİYATLAR!C593</f>
        <v/>
      </c>
      <c r="G593" s="30">
        <f>[1]FİYATLAR!D593</f>
        <v/>
      </c>
      <c r="H593">
        <f>E593*F593</f>
        <v/>
      </c>
      <c r="I593">
        <f>E593*G593</f>
        <v/>
      </c>
    </row>
    <row r="594">
      <c r="A594" s="29">
        <f>[1]FİYATLAR!A594</f>
        <v/>
      </c>
      <c r="B594" s="29">
        <f>[1]FİYATLAR!B594</f>
        <v/>
      </c>
      <c r="C594" s="35">
        <f>INT(A594)</f>
        <v/>
      </c>
      <c r="D594" s="36">
        <f>MONTH(A594)</f>
        <v/>
      </c>
      <c r="F594" s="30">
        <f>[1]FİYATLAR!C594</f>
        <v/>
      </c>
      <c r="G594" s="30">
        <f>[1]FİYATLAR!D594</f>
        <v/>
      </c>
      <c r="H594">
        <f>E594*F594</f>
        <v/>
      </c>
      <c r="I594">
        <f>E594*G594</f>
        <v/>
      </c>
    </row>
    <row r="595">
      <c r="A595" s="29">
        <f>[1]FİYATLAR!A595</f>
        <v/>
      </c>
      <c r="B595" s="29">
        <f>[1]FİYATLAR!B595</f>
        <v/>
      </c>
      <c r="C595" s="35">
        <f>INT(A595)</f>
        <v/>
      </c>
      <c r="D595" s="36">
        <f>MONTH(A595)</f>
        <v/>
      </c>
      <c r="F595" s="30">
        <f>[1]FİYATLAR!C595</f>
        <v/>
      </c>
      <c r="G595" s="30">
        <f>[1]FİYATLAR!D595</f>
        <v/>
      </c>
      <c r="H595">
        <f>E595*F595</f>
        <v/>
      </c>
      <c r="I595">
        <f>E595*G595</f>
        <v/>
      </c>
    </row>
    <row r="596">
      <c r="A596" s="29">
        <f>[1]FİYATLAR!A596</f>
        <v/>
      </c>
      <c r="B596" s="29">
        <f>[1]FİYATLAR!B596</f>
        <v/>
      </c>
      <c r="C596" s="35">
        <f>INT(A596)</f>
        <v/>
      </c>
      <c r="D596" s="36">
        <f>MONTH(A596)</f>
        <v/>
      </c>
      <c r="F596" s="30">
        <f>[1]FİYATLAR!C596</f>
        <v/>
      </c>
      <c r="G596" s="30">
        <f>[1]FİYATLAR!D596</f>
        <v/>
      </c>
      <c r="H596">
        <f>E596*F596</f>
        <v/>
      </c>
      <c r="I596">
        <f>E596*G596</f>
        <v/>
      </c>
    </row>
    <row r="597">
      <c r="A597" s="29">
        <f>[1]FİYATLAR!A597</f>
        <v/>
      </c>
      <c r="B597" s="29">
        <f>[1]FİYATLAR!B597</f>
        <v/>
      </c>
      <c r="C597" s="35">
        <f>INT(A597)</f>
        <v/>
      </c>
      <c r="D597" s="36">
        <f>MONTH(A597)</f>
        <v/>
      </c>
      <c r="F597" s="30">
        <f>[1]FİYATLAR!C597</f>
        <v/>
      </c>
      <c r="G597" s="30">
        <f>[1]FİYATLAR!D597</f>
        <v/>
      </c>
      <c r="H597">
        <f>E597*F597</f>
        <v/>
      </c>
      <c r="I597">
        <f>E597*G597</f>
        <v/>
      </c>
    </row>
    <row r="598">
      <c r="A598" s="29">
        <f>[1]FİYATLAR!A598</f>
        <v/>
      </c>
      <c r="B598" s="29">
        <f>[1]FİYATLAR!B598</f>
        <v/>
      </c>
      <c r="C598" s="35">
        <f>INT(A598)</f>
        <v/>
      </c>
      <c r="D598" s="36">
        <f>MONTH(A598)</f>
        <v/>
      </c>
      <c r="F598" s="30">
        <f>[1]FİYATLAR!C598</f>
        <v/>
      </c>
      <c r="G598" s="30">
        <f>[1]FİYATLAR!D598</f>
        <v/>
      </c>
      <c r="H598">
        <f>E598*F598</f>
        <v/>
      </c>
      <c r="I598">
        <f>E598*G598</f>
        <v/>
      </c>
    </row>
    <row r="599">
      <c r="A599" s="29">
        <f>[1]FİYATLAR!A599</f>
        <v/>
      </c>
      <c r="B599" s="29">
        <f>[1]FİYATLAR!B599</f>
        <v/>
      </c>
      <c r="C599" s="35">
        <f>INT(A599)</f>
        <v/>
      </c>
      <c r="D599" s="36">
        <f>MONTH(A599)</f>
        <v/>
      </c>
      <c r="F599" s="30">
        <f>[1]FİYATLAR!C599</f>
        <v/>
      </c>
      <c r="G599" s="30">
        <f>[1]FİYATLAR!D599</f>
        <v/>
      </c>
      <c r="H599">
        <f>E599*F599</f>
        <v/>
      </c>
      <c r="I599">
        <f>E599*G599</f>
        <v/>
      </c>
    </row>
    <row r="600">
      <c r="A600" s="29">
        <f>[1]FİYATLAR!A600</f>
        <v/>
      </c>
      <c r="B600" s="29">
        <f>[1]FİYATLAR!B600</f>
        <v/>
      </c>
      <c r="C600" s="35">
        <f>INT(A600)</f>
        <v/>
      </c>
      <c r="D600" s="36">
        <f>MONTH(A600)</f>
        <v/>
      </c>
      <c r="F600" s="30">
        <f>[1]FİYATLAR!C600</f>
        <v/>
      </c>
      <c r="G600" s="30">
        <f>[1]FİYATLAR!D600</f>
        <v/>
      </c>
      <c r="H600">
        <f>E600*F600</f>
        <v/>
      </c>
      <c r="I600">
        <f>E600*G600</f>
        <v/>
      </c>
    </row>
    <row r="601">
      <c r="A601" s="29">
        <f>[1]FİYATLAR!A601</f>
        <v/>
      </c>
      <c r="B601" s="29">
        <f>[1]FİYATLAR!B601</f>
        <v/>
      </c>
      <c r="C601" s="35">
        <f>INT(A601)</f>
        <v/>
      </c>
      <c r="D601" s="36">
        <f>MONTH(A601)</f>
        <v/>
      </c>
      <c r="F601" s="30">
        <f>[1]FİYATLAR!C601</f>
        <v/>
      </c>
      <c r="G601" s="30">
        <f>[1]FİYATLAR!D601</f>
        <v/>
      </c>
      <c r="H601">
        <f>E601*F601</f>
        <v/>
      </c>
      <c r="I601">
        <f>E601*G601</f>
        <v/>
      </c>
    </row>
    <row r="602">
      <c r="A602" s="29">
        <f>[1]FİYATLAR!A602</f>
        <v/>
      </c>
      <c r="B602" s="29">
        <f>[1]FİYATLAR!B602</f>
        <v/>
      </c>
      <c r="C602" s="35">
        <f>INT(A602)</f>
        <v/>
      </c>
      <c r="D602" s="36">
        <f>MONTH(A602)</f>
        <v/>
      </c>
      <c r="F602" s="30">
        <f>[1]FİYATLAR!C602</f>
        <v/>
      </c>
      <c r="G602" s="30">
        <f>[1]FİYATLAR!D602</f>
        <v/>
      </c>
      <c r="H602">
        <f>E602*F602</f>
        <v/>
      </c>
      <c r="I602">
        <f>E602*G602</f>
        <v/>
      </c>
    </row>
    <row r="603">
      <c r="A603" s="29">
        <f>[1]FİYATLAR!A603</f>
        <v/>
      </c>
      <c r="B603" s="29">
        <f>[1]FİYATLAR!B603</f>
        <v/>
      </c>
      <c r="C603" s="35">
        <f>INT(A603)</f>
        <v/>
      </c>
      <c r="D603" s="36">
        <f>MONTH(A603)</f>
        <v/>
      </c>
      <c r="F603" s="30">
        <f>[1]FİYATLAR!C603</f>
        <v/>
      </c>
      <c r="G603" s="30">
        <f>[1]FİYATLAR!D603</f>
        <v/>
      </c>
      <c r="H603">
        <f>E603*F603</f>
        <v/>
      </c>
      <c r="I603">
        <f>E603*G603</f>
        <v/>
      </c>
    </row>
    <row r="604">
      <c r="A604" s="29">
        <f>[1]FİYATLAR!A604</f>
        <v/>
      </c>
      <c r="B604" s="29">
        <f>[1]FİYATLAR!B604</f>
        <v/>
      </c>
      <c r="C604" s="35">
        <f>INT(A604)</f>
        <v/>
      </c>
      <c r="D604" s="36">
        <f>MONTH(A604)</f>
        <v/>
      </c>
      <c r="F604" s="30">
        <f>[1]FİYATLAR!C604</f>
        <v/>
      </c>
      <c r="G604" s="30">
        <f>[1]FİYATLAR!D604</f>
        <v/>
      </c>
      <c r="H604">
        <f>E604*F604</f>
        <v/>
      </c>
      <c r="I604">
        <f>E604*G604</f>
        <v/>
      </c>
    </row>
    <row r="605">
      <c r="A605" s="29">
        <f>[1]FİYATLAR!A605</f>
        <v/>
      </c>
      <c r="B605" s="29">
        <f>[1]FİYATLAR!B605</f>
        <v/>
      </c>
      <c r="C605" s="35">
        <f>INT(A605)</f>
        <v/>
      </c>
      <c r="D605" s="36">
        <f>MONTH(A605)</f>
        <v/>
      </c>
      <c r="F605" s="30">
        <f>[1]FİYATLAR!C605</f>
        <v/>
      </c>
      <c r="G605" s="30">
        <f>[1]FİYATLAR!D605</f>
        <v/>
      </c>
      <c r="H605">
        <f>E605*F605</f>
        <v/>
      </c>
      <c r="I605">
        <f>E605*G605</f>
        <v/>
      </c>
    </row>
    <row r="606">
      <c r="A606" s="29">
        <f>[1]FİYATLAR!A606</f>
        <v/>
      </c>
      <c r="B606" s="29">
        <f>[1]FİYATLAR!B606</f>
        <v/>
      </c>
      <c r="C606" s="35">
        <f>INT(A606)</f>
        <v/>
      </c>
      <c r="D606" s="36">
        <f>MONTH(A606)</f>
        <v/>
      </c>
      <c r="F606" s="30">
        <f>[1]FİYATLAR!C606</f>
        <v/>
      </c>
      <c r="G606" s="30">
        <f>[1]FİYATLAR!D606</f>
        <v/>
      </c>
      <c r="H606">
        <f>E606*F606</f>
        <v/>
      </c>
      <c r="I606">
        <f>E606*G606</f>
        <v/>
      </c>
    </row>
    <row r="607">
      <c r="A607" s="29">
        <f>[1]FİYATLAR!A607</f>
        <v/>
      </c>
      <c r="B607" s="29">
        <f>[1]FİYATLAR!B607</f>
        <v/>
      </c>
      <c r="C607" s="35">
        <f>INT(A607)</f>
        <v/>
      </c>
      <c r="D607" s="36">
        <f>MONTH(A607)</f>
        <v/>
      </c>
      <c r="F607" s="30">
        <f>[1]FİYATLAR!C607</f>
        <v/>
      </c>
      <c r="G607" s="30">
        <f>[1]FİYATLAR!D607</f>
        <v/>
      </c>
      <c r="H607">
        <f>E607*F607</f>
        <v/>
      </c>
      <c r="I607">
        <f>E607*G607</f>
        <v/>
      </c>
    </row>
    <row r="608">
      <c r="A608" s="29">
        <f>[1]FİYATLAR!A608</f>
        <v/>
      </c>
      <c r="B608" s="29">
        <f>[1]FİYATLAR!B608</f>
        <v/>
      </c>
      <c r="C608" s="35">
        <f>INT(A608)</f>
        <v/>
      </c>
      <c r="D608" s="36">
        <f>MONTH(A608)</f>
        <v/>
      </c>
      <c r="F608" s="30">
        <f>[1]FİYATLAR!C608</f>
        <v/>
      </c>
      <c r="G608" s="30">
        <f>[1]FİYATLAR!D608</f>
        <v/>
      </c>
      <c r="H608">
        <f>E608*F608</f>
        <v/>
      </c>
      <c r="I608">
        <f>E608*G608</f>
        <v/>
      </c>
    </row>
    <row r="609">
      <c r="A609" s="29">
        <f>[1]FİYATLAR!A609</f>
        <v/>
      </c>
      <c r="B609" s="29">
        <f>[1]FİYATLAR!B609</f>
        <v/>
      </c>
      <c r="C609" s="35">
        <f>INT(A609)</f>
        <v/>
      </c>
      <c r="D609" s="36">
        <f>MONTH(A609)</f>
        <v/>
      </c>
      <c r="F609" s="30">
        <f>[1]FİYATLAR!C609</f>
        <v/>
      </c>
      <c r="G609" s="30">
        <f>[1]FİYATLAR!D609</f>
        <v/>
      </c>
      <c r="H609">
        <f>E609*F609</f>
        <v/>
      </c>
      <c r="I609">
        <f>E609*G609</f>
        <v/>
      </c>
    </row>
    <row r="610">
      <c r="A610" s="29">
        <f>[1]FİYATLAR!A610</f>
        <v/>
      </c>
      <c r="B610" s="29">
        <f>[1]FİYATLAR!B610</f>
        <v/>
      </c>
      <c r="C610" s="35">
        <f>INT(A610)</f>
        <v/>
      </c>
      <c r="D610" s="36">
        <f>MONTH(A610)</f>
        <v/>
      </c>
      <c r="F610" s="30">
        <f>[1]FİYATLAR!C610</f>
        <v/>
      </c>
      <c r="G610" s="30">
        <f>[1]FİYATLAR!D610</f>
        <v/>
      </c>
      <c r="H610">
        <f>E610*F610</f>
        <v/>
      </c>
      <c r="I610">
        <f>E610*G610</f>
        <v/>
      </c>
    </row>
    <row r="611">
      <c r="A611" s="29">
        <f>[1]FİYATLAR!A611</f>
        <v/>
      </c>
      <c r="B611" s="29">
        <f>[1]FİYATLAR!B611</f>
        <v/>
      </c>
      <c r="C611" s="35">
        <f>INT(A611)</f>
        <v/>
      </c>
      <c r="D611" s="36">
        <f>MONTH(A611)</f>
        <v/>
      </c>
      <c r="F611" s="30">
        <f>[1]FİYATLAR!C611</f>
        <v/>
      </c>
      <c r="G611" s="30">
        <f>[1]FİYATLAR!D611</f>
        <v/>
      </c>
      <c r="H611">
        <f>E611*F611</f>
        <v/>
      </c>
      <c r="I611">
        <f>E611*G611</f>
        <v/>
      </c>
    </row>
    <row r="612">
      <c r="A612" s="29">
        <f>[1]FİYATLAR!A612</f>
        <v/>
      </c>
      <c r="B612" s="29">
        <f>[1]FİYATLAR!B612</f>
        <v/>
      </c>
      <c r="C612" s="35">
        <f>INT(A612)</f>
        <v/>
      </c>
      <c r="D612" s="36">
        <f>MONTH(A612)</f>
        <v/>
      </c>
      <c r="F612" s="30">
        <f>[1]FİYATLAR!C612</f>
        <v/>
      </c>
      <c r="G612" s="30">
        <f>[1]FİYATLAR!D612</f>
        <v/>
      </c>
      <c r="H612">
        <f>E612*F612</f>
        <v/>
      </c>
      <c r="I612">
        <f>E612*G612</f>
        <v/>
      </c>
    </row>
    <row r="613">
      <c r="A613" s="29">
        <f>[1]FİYATLAR!A613</f>
        <v/>
      </c>
      <c r="B613" s="29">
        <f>[1]FİYATLAR!B613</f>
        <v/>
      </c>
      <c r="C613" s="35">
        <f>INT(A613)</f>
        <v/>
      </c>
      <c r="D613" s="36">
        <f>MONTH(A613)</f>
        <v/>
      </c>
      <c r="F613" s="30">
        <f>[1]FİYATLAR!C613</f>
        <v/>
      </c>
      <c r="G613" s="30">
        <f>[1]FİYATLAR!D613</f>
        <v/>
      </c>
      <c r="H613">
        <f>E613*F613</f>
        <v/>
      </c>
      <c r="I613">
        <f>E613*G613</f>
        <v/>
      </c>
    </row>
    <row r="614">
      <c r="A614" s="29">
        <f>[1]FİYATLAR!A614</f>
        <v/>
      </c>
      <c r="B614" s="29">
        <f>[1]FİYATLAR!B614</f>
        <v/>
      </c>
      <c r="C614" s="35">
        <f>INT(A614)</f>
        <v/>
      </c>
      <c r="D614" s="36">
        <f>MONTH(A614)</f>
        <v/>
      </c>
      <c r="F614" s="30">
        <f>[1]FİYATLAR!C614</f>
        <v/>
      </c>
      <c r="G614" s="30">
        <f>[1]FİYATLAR!D614</f>
        <v/>
      </c>
      <c r="H614">
        <f>E614*F614</f>
        <v/>
      </c>
      <c r="I614">
        <f>E614*G614</f>
        <v/>
      </c>
    </row>
    <row r="615">
      <c r="A615" s="29">
        <f>[1]FİYATLAR!A615</f>
        <v/>
      </c>
      <c r="B615" s="29">
        <f>[1]FİYATLAR!B615</f>
        <v/>
      </c>
      <c r="C615" s="35">
        <f>INT(A615)</f>
        <v/>
      </c>
      <c r="D615" s="36">
        <f>MONTH(A615)</f>
        <v/>
      </c>
      <c r="F615" s="30">
        <f>[1]FİYATLAR!C615</f>
        <v/>
      </c>
      <c r="G615" s="30">
        <f>[1]FİYATLAR!D615</f>
        <v/>
      </c>
      <c r="H615">
        <f>E615*F615</f>
        <v/>
      </c>
      <c r="I615">
        <f>E615*G615</f>
        <v/>
      </c>
    </row>
    <row r="616">
      <c r="A616" s="29">
        <f>[1]FİYATLAR!A616</f>
        <v/>
      </c>
      <c r="B616" s="29">
        <f>[1]FİYATLAR!B616</f>
        <v/>
      </c>
      <c r="C616" s="35">
        <f>INT(A616)</f>
        <v/>
      </c>
      <c r="D616" s="36">
        <f>MONTH(A616)</f>
        <v/>
      </c>
      <c r="F616" s="30">
        <f>[1]FİYATLAR!C616</f>
        <v/>
      </c>
      <c r="G616" s="30">
        <f>[1]FİYATLAR!D616</f>
        <v/>
      </c>
      <c r="H616">
        <f>E616*F616</f>
        <v/>
      </c>
      <c r="I616">
        <f>E616*G616</f>
        <v/>
      </c>
    </row>
    <row r="617">
      <c r="A617" s="29">
        <f>[1]FİYATLAR!A617</f>
        <v/>
      </c>
      <c r="B617" s="29">
        <f>[1]FİYATLAR!B617</f>
        <v/>
      </c>
      <c r="C617" s="35">
        <f>INT(A617)</f>
        <v/>
      </c>
      <c r="D617" s="36">
        <f>MONTH(A617)</f>
        <v/>
      </c>
      <c r="F617" s="30">
        <f>[1]FİYATLAR!C617</f>
        <v/>
      </c>
      <c r="G617" s="30">
        <f>[1]FİYATLAR!D617</f>
        <v/>
      </c>
      <c r="H617">
        <f>E617*F617</f>
        <v/>
      </c>
      <c r="I617">
        <f>E617*G617</f>
        <v/>
      </c>
    </row>
    <row r="618">
      <c r="A618" s="29">
        <f>[1]FİYATLAR!A618</f>
        <v/>
      </c>
      <c r="B618" s="29">
        <f>[1]FİYATLAR!B618</f>
        <v/>
      </c>
      <c r="C618" s="35">
        <f>INT(A618)</f>
        <v/>
      </c>
      <c r="D618" s="36">
        <f>MONTH(A618)</f>
        <v/>
      </c>
      <c r="F618" s="30">
        <f>[1]FİYATLAR!C618</f>
        <v/>
      </c>
      <c r="G618" s="30">
        <f>[1]FİYATLAR!D618</f>
        <v/>
      </c>
      <c r="H618">
        <f>E618*F618</f>
        <v/>
      </c>
      <c r="I618">
        <f>E618*G618</f>
        <v/>
      </c>
    </row>
    <row r="619">
      <c r="A619" s="29">
        <f>[1]FİYATLAR!A619</f>
        <v/>
      </c>
      <c r="B619" s="29">
        <f>[1]FİYATLAR!B619</f>
        <v/>
      </c>
      <c r="C619" s="35">
        <f>INT(A619)</f>
        <v/>
      </c>
      <c r="D619" s="36">
        <f>MONTH(A619)</f>
        <v/>
      </c>
      <c r="F619" s="30">
        <f>[1]FİYATLAR!C619</f>
        <v/>
      </c>
      <c r="G619" s="30">
        <f>[1]FİYATLAR!D619</f>
        <v/>
      </c>
      <c r="H619">
        <f>E619*F619</f>
        <v/>
      </c>
      <c r="I619">
        <f>E619*G619</f>
        <v/>
      </c>
    </row>
    <row r="620">
      <c r="A620" s="29">
        <f>[1]FİYATLAR!A620</f>
        <v/>
      </c>
      <c r="B620" s="29">
        <f>[1]FİYATLAR!B620</f>
        <v/>
      </c>
      <c r="C620" s="35">
        <f>INT(A620)</f>
        <v/>
      </c>
      <c r="D620" s="36">
        <f>MONTH(A620)</f>
        <v/>
      </c>
      <c r="F620" s="30">
        <f>[1]FİYATLAR!C620</f>
        <v/>
      </c>
      <c r="G620" s="30">
        <f>[1]FİYATLAR!D620</f>
        <v/>
      </c>
      <c r="H620">
        <f>E620*F620</f>
        <v/>
      </c>
      <c r="I620">
        <f>E620*G620</f>
        <v/>
      </c>
    </row>
    <row r="621">
      <c r="A621" s="29">
        <f>[1]FİYATLAR!A621</f>
        <v/>
      </c>
      <c r="B621" s="29">
        <f>[1]FİYATLAR!B621</f>
        <v/>
      </c>
      <c r="C621" s="35">
        <f>INT(A621)</f>
        <v/>
      </c>
      <c r="D621" s="36">
        <f>MONTH(A621)</f>
        <v/>
      </c>
      <c r="F621" s="30">
        <f>[1]FİYATLAR!C621</f>
        <v/>
      </c>
      <c r="G621" s="30">
        <f>[1]FİYATLAR!D621</f>
        <v/>
      </c>
      <c r="H621">
        <f>E621*F621</f>
        <v/>
      </c>
      <c r="I621">
        <f>E621*G621</f>
        <v/>
      </c>
    </row>
    <row r="622">
      <c r="A622" s="29">
        <f>[1]FİYATLAR!A622</f>
        <v/>
      </c>
      <c r="B622" s="29">
        <f>[1]FİYATLAR!B622</f>
        <v/>
      </c>
      <c r="C622" s="35">
        <f>INT(A622)</f>
        <v/>
      </c>
      <c r="D622" s="36">
        <f>MONTH(A622)</f>
        <v/>
      </c>
      <c r="F622" s="30">
        <f>[1]FİYATLAR!C622</f>
        <v/>
      </c>
      <c r="G622" s="30">
        <f>[1]FİYATLAR!D622</f>
        <v/>
      </c>
      <c r="H622">
        <f>E622*F622</f>
        <v/>
      </c>
      <c r="I622">
        <f>E622*G622</f>
        <v/>
      </c>
    </row>
    <row r="623">
      <c r="A623" s="29">
        <f>[1]FİYATLAR!A623</f>
        <v/>
      </c>
      <c r="B623" s="29">
        <f>[1]FİYATLAR!B623</f>
        <v/>
      </c>
      <c r="C623" s="35">
        <f>INT(A623)</f>
        <v/>
      </c>
      <c r="D623" s="36">
        <f>MONTH(A623)</f>
        <v/>
      </c>
      <c r="F623" s="30">
        <f>[1]FİYATLAR!C623</f>
        <v/>
      </c>
      <c r="G623" s="30">
        <f>[1]FİYATLAR!D623</f>
        <v/>
      </c>
      <c r="H623">
        <f>E623*F623</f>
        <v/>
      </c>
      <c r="I623">
        <f>E623*G623</f>
        <v/>
      </c>
    </row>
    <row r="624">
      <c r="A624" s="29">
        <f>[1]FİYATLAR!A624</f>
        <v/>
      </c>
      <c r="B624" s="29">
        <f>[1]FİYATLAR!B624</f>
        <v/>
      </c>
      <c r="C624" s="35">
        <f>INT(A624)</f>
        <v/>
      </c>
      <c r="D624" s="36">
        <f>MONTH(A624)</f>
        <v/>
      </c>
      <c r="F624" s="30">
        <f>[1]FİYATLAR!C624</f>
        <v/>
      </c>
      <c r="G624" s="30">
        <f>[1]FİYATLAR!D624</f>
        <v/>
      </c>
      <c r="H624">
        <f>E624*F624</f>
        <v/>
      </c>
      <c r="I624">
        <f>E624*G624</f>
        <v/>
      </c>
    </row>
    <row r="625">
      <c r="A625" s="29">
        <f>[1]FİYATLAR!A625</f>
        <v/>
      </c>
      <c r="B625" s="29">
        <f>[1]FİYATLAR!B625</f>
        <v/>
      </c>
      <c r="C625" s="35">
        <f>INT(A625)</f>
        <v/>
      </c>
      <c r="D625" s="36">
        <f>MONTH(A625)</f>
        <v/>
      </c>
      <c r="F625" s="30">
        <f>[1]FİYATLAR!C625</f>
        <v/>
      </c>
      <c r="G625" s="30">
        <f>[1]FİYATLAR!D625</f>
        <v/>
      </c>
      <c r="H625">
        <f>E625*F625</f>
        <v/>
      </c>
      <c r="I625">
        <f>E625*G625</f>
        <v/>
      </c>
    </row>
    <row r="626">
      <c r="A626" s="29">
        <f>[1]FİYATLAR!A626</f>
        <v/>
      </c>
      <c r="B626" s="29">
        <f>[1]FİYATLAR!B626</f>
        <v/>
      </c>
      <c r="C626" s="35">
        <f>INT(A626)</f>
        <v/>
      </c>
      <c r="D626" s="36">
        <f>MONTH(A626)</f>
        <v/>
      </c>
      <c r="F626" s="30">
        <f>[1]FİYATLAR!C626</f>
        <v/>
      </c>
      <c r="G626" s="30">
        <f>[1]FİYATLAR!D626</f>
        <v/>
      </c>
      <c r="H626">
        <f>E626*F626</f>
        <v/>
      </c>
      <c r="I626">
        <f>E626*G626</f>
        <v/>
      </c>
    </row>
    <row r="627">
      <c r="A627" s="29">
        <f>[1]FİYATLAR!A627</f>
        <v/>
      </c>
      <c r="B627" s="29">
        <f>[1]FİYATLAR!B627</f>
        <v/>
      </c>
      <c r="C627" s="35">
        <f>INT(A627)</f>
        <v/>
      </c>
      <c r="D627" s="36">
        <f>MONTH(A627)</f>
        <v/>
      </c>
      <c r="F627" s="30">
        <f>[1]FİYATLAR!C627</f>
        <v/>
      </c>
      <c r="G627" s="30">
        <f>[1]FİYATLAR!D627</f>
        <v/>
      </c>
      <c r="H627">
        <f>E627*F627</f>
        <v/>
      </c>
      <c r="I627">
        <f>E627*G627</f>
        <v/>
      </c>
    </row>
    <row r="628">
      <c r="A628" s="29">
        <f>[1]FİYATLAR!A628</f>
        <v/>
      </c>
      <c r="B628" s="29">
        <f>[1]FİYATLAR!B628</f>
        <v/>
      </c>
      <c r="C628" s="35">
        <f>INT(A628)</f>
        <v/>
      </c>
      <c r="D628" s="36">
        <f>MONTH(A628)</f>
        <v/>
      </c>
      <c r="F628" s="30">
        <f>[1]FİYATLAR!C628</f>
        <v/>
      </c>
      <c r="G628" s="30">
        <f>[1]FİYATLAR!D628</f>
        <v/>
      </c>
      <c r="H628">
        <f>E628*F628</f>
        <v/>
      </c>
      <c r="I628">
        <f>E628*G628</f>
        <v/>
      </c>
    </row>
    <row r="629">
      <c r="A629" s="29">
        <f>[1]FİYATLAR!A629</f>
        <v/>
      </c>
      <c r="B629" s="29">
        <f>[1]FİYATLAR!B629</f>
        <v/>
      </c>
      <c r="C629" s="35">
        <f>INT(A629)</f>
        <v/>
      </c>
      <c r="D629" s="36">
        <f>MONTH(A629)</f>
        <v/>
      </c>
      <c r="F629" s="30">
        <f>[1]FİYATLAR!C629</f>
        <v/>
      </c>
      <c r="G629" s="30">
        <f>[1]FİYATLAR!D629</f>
        <v/>
      </c>
      <c r="H629">
        <f>E629*F629</f>
        <v/>
      </c>
      <c r="I629">
        <f>E629*G629</f>
        <v/>
      </c>
    </row>
    <row r="630">
      <c r="A630" s="29">
        <f>[1]FİYATLAR!A630</f>
        <v/>
      </c>
      <c r="B630" s="29">
        <f>[1]FİYATLAR!B630</f>
        <v/>
      </c>
      <c r="C630" s="35">
        <f>INT(A630)</f>
        <v/>
      </c>
      <c r="D630" s="36">
        <f>MONTH(A630)</f>
        <v/>
      </c>
      <c r="F630" s="30">
        <f>[1]FİYATLAR!C630</f>
        <v/>
      </c>
      <c r="G630" s="30">
        <f>[1]FİYATLAR!D630</f>
        <v/>
      </c>
      <c r="H630">
        <f>E630*F630</f>
        <v/>
      </c>
      <c r="I630">
        <f>E630*G630</f>
        <v/>
      </c>
    </row>
    <row r="631">
      <c r="A631" s="29">
        <f>[1]FİYATLAR!A631</f>
        <v/>
      </c>
      <c r="B631" s="29">
        <f>[1]FİYATLAR!B631</f>
        <v/>
      </c>
      <c r="C631" s="35">
        <f>INT(A631)</f>
        <v/>
      </c>
      <c r="D631" s="36">
        <f>MONTH(A631)</f>
        <v/>
      </c>
      <c r="F631" s="30">
        <f>[1]FİYATLAR!C631</f>
        <v/>
      </c>
      <c r="G631" s="30">
        <f>[1]FİYATLAR!D631</f>
        <v/>
      </c>
      <c r="H631">
        <f>E631*F631</f>
        <v/>
      </c>
      <c r="I631">
        <f>E631*G631</f>
        <v/>
      </c>
    </row>
    <row r="632">
      <c r="A632" s="29">
        <f>[1]FİYATLAR!A632</f>
        <v/>
      </c>
      <c r="B632" s="29">
        <f>[1]FİYATLAR!B632</f>
        <v/>
      </c>
      <c r="C632" s="35">
        <f>INT(A632)</f>
        <v/>
      </c>
      <c r="D632" s="36">
        <f>MONTH(A632)</f>
        <v/>
      </c>
      <c r="F632" s="30">
        <f>[1]FİYATLAR!C632</f>
        <v/>
      </c>
      <c r="G632" s="30">
        <f>[1]FİYATLAR!D632</f>
        <v/>
      </c>
      <c r="H632">
        <f>E632*F632</f>
        <v/>
      </c>
      <c r="I632">
        <f>E632*G632</f>
        <v/>
      </c>
    </row>
    <row r="633">
      <c r="A633" s="29">
        <f>[1]FİYATLAR!A633</f>
        <v/>
      </c>
      <c r="B633" s="29">
        <f>[1]FİYATLAR!B633</f>
        <v/>
      </c>
      <c r="C633" s="35">
        <f>INT(A633)</f>
        <v/>
      </c>
      <c r="D633" s="36">
        <f>MONTH(A633)</f>
        <v/>
      </c>
      <c r="F633" s="30">
        <f>[1]FİYATLAR!C633</f>
        <v/>
      </c>
      <c r="G633" s="30">
        <f>[1]FİYATLAR!D633</f>
        <v/>
      </c>
      <c r="H633">
        <f>E633*F633</f>
        <v/>
      </c>
      <c r="I633">
        <f>E633*G633</f>
        <v/>
      </c>
    </row>
    <row r="634">
      <c r="A634" s="29">
        <f>[1]FİYATLAR!A634</f>
        <v/>
      </c>
      <c r="B634" s="29">
        <f>[1]FİYATLAR!B634</f>
        <v/>
      </c>
      <c r="C634" s="35">
        <f>INT(A634)</f>
        <v/>
      </c>
      <c r="D634" s="36">
        <f>MONTH(A634)</f>
        <v/>
      </c>
      <c r="F634" s="30">
        <f>[1]FİYATLAR!C634</f>
        <v/>
      </c>
      <c r="G634" s="30">
        <f>[1]FİYATLAR!D634</f>
        <v/>
      </c>
      <c r="H634">
        <f>E634*F634</f>
        <v/>
      </c>
      <c r="I634">
        <f>E634*G634</f>
        <v/>
      </c>
    </row>
    <row r="635">
      <c r="A635" s="29">
        <f>[1]FİYATLAR!A635</f>
        <v/>
      </c>
      <c r="B635" s="29">
        <f>[1]FİYATLAR!B635</f>
        <v/>
      </c>
      <c r="C635" s="35">
        <f>INT(A635)</f>
        <v/>
      </c>
      <c r="D635" s="36">
        <f>MONTH(A635)</f>
        <v/>
      </c>
      <c r="F635" s="30">
        <f>[1]FİYATLAR!C635</f>
        <v/>
      </c>
      <c r="G635" s="30">
        <f>[1]FİYATLAR!D635</f>
        <v/>
      </c>
      <c r="H635">
        <f>E635*F635</f>
        <v/>
      </c>
      <c r="I635">
        <f>E635*G635</f>
        <v/>
      </c>
    </row>
    <row r="636">
      <c r="A636" s="29">
        <f>[1]FİYATLAR!A636</f>
        <v/>
      </c>
      <c r="B636" s="29">
        <f>[1]FİYATLAR!B636</f>
        <v/>
      </c>
      <c r="C636" s="35">
        <f>INT(A636)</f>
        <v/>
      </c>
      <c r="D636" s="36">
        <f>MONTH(A636)</f>
        <v/>
      </c>
      <c r="F636" s="30">
        <f>[1]FİYATLAR!C636</f>
        <v/>
      </c>
      <c r="G636" s="30">
        <f>[1]FİYATLAR!D636</f>
        <v/>
      </c>
      <c r="H636">
        <f>E636*F636</f>
        <v/>
      </c>
      <c r="I636">
        <f>E636*G636</f>
        <v/>
      </c>
    </row>
    <row r="637">
      <c r="A637" s="29">
        <f>[1]FİYATLAR!A637</f>
        <v/>
      </c>
      <c r="B637" s="29">
        <f>[1]FİYATLAR!B637</f>
        <v/>
      </c>
      <c r="C637" s="35">
        <f>INT(A637)</f>
        <v/>
      </c>
      <c r="D637" s="36">
        <f>MONTH(A637)</f>
        <v/>
      </c>
      <c r="F637" s="30">
        <f>[1]FİYATLAR!C637</f>
        <v/>
      </c>
      <c r="G637" s="30">
        <f>[1]FİYATLAR!D637</f>
        <v/>
      </c>
      <c r="H637">
        <f>E637*F637</f>
        <v/>
      </c>
      <c r="I637">
        <f>E637*G637</f>
        <v/>
      </c>
    </row>
    <row r="638">
      <c r="A638" s="29">
        <f>[1]FİYATLAR!A638</f>
        <v/>
      </c>
      <c r="B638" s="29">
        <f>[1]FİYATLAR!B638</f>
        <v/>
      </c>
      <c r="C638" s="35">
        <f>INT(A638)</f>
        <v/>
      </c>
      <c r="D638" s="36">
        <f>MONTH(A638)</f>
        <v/>
      </c>
      <c r="F638" s="30">
        <f>[1]FİYATLAR!C638</f>
        <v/>
      </c>
      <c r="G638" s="30">
        <f>[1]FİYATLAR!D638</f>
        <v/>
      </c>
      <c r="H638">
        <f>E638*F638</f>
        <v/>
      </c>
      <c r="I638">
        <f>E638*G638</f>
        <v/>
      </c>
    </row>
    <row r="639">
      <c r="A639" s="29">
        <f>[1]FİYATLAR!A639</f>
        <v/>
      </c>
      <c r="B639" s="29">
        <f>[1]FİYATLAR!B639</f>
        <v/>
      </c>
      <c r="C639" s="35">
        <f>INT(A639)</f>
        <v/>
      </c>
      <c r="D639" s="36">
        <f>MONTH(A639)</f>
        <v/>
      </c>
      <c r="F639" s="30">
        <f>[1]FİYATLAR!C639</f>
        <v/>
      </c>
      <c r="G639" s="30">
        <f>[1]FİYATLAR!D639</f>
        <v/>
      </c>
      <c r="H639">
        <f>E639*F639</f>
        <v/>
      </c>
      <c r="I639">
        <f>E639*G639</f>
        <v/>
      </c>
    </row>
    <row r="640">
      <c r="A640" s="29">
        <f>[1]FİYATLAR!A640</f>
        <v/>
      </c>
      <c r="B640" s="29">
        <f>[1]FİYATLAR!B640</f>
        <v/>
      </c>
      <c r="C640" s="35">
        <f>INT(A640)</f>
        <v/>
      </c>
      <c r="D640" s="36">
        <f>MONTH(A640)</f>
        <v/>
      </c>
      <c r="F640" s="30">
        <f>[1]FİYATLAR!C640</f>
        <v/>
      </c>
      <c r="G640" s="30">
        <f>[1]FİYATLAR!D640</f>
        <v/>
      </c>
      <c r="H640">
        <f>E640*F640</f>
        <v/>
      </c>
      <c r="I640">
        <f>E640*G640</f>
        <v/>
      </c>
    </row>
    <row r="641">
      <c r="A641" s="29">
        <f>[1]FİYATLAR!A641</f>
        <v/>
      </c>
      <c r="B641" s="29">
        <f>[1]FİYATLAR!B641</f>
        <v/>
      </c>
      <c r="C641" s="35">
        <f>INT(A641)</f>
        <v/>
      </c>
      <c r="D641" s="36">
        <f>MONTH(A641)</f>
        <v/>
      </c>
      <c r="F641" s="30">
        <f>[1]FİYATLAR!C641</f>
        <v/>
      </c>
      <c r="G641" s="30">
        <f>[1]FİYATLAR!D641</f>
        <v/>
      </c>
      <c r="H641">
        <f>E641*F641</f>
        <v/>
      </c>
      <c r="I641">
        <f>E641*G641</f>
        <v/>
      </c>
    </row>
    <row r="642">
      <c r="A642" s="29">
        <f>[1]FİYATLAR!A642</f>
        <v/>
      </c>
      <c r="B642" s="29">
        <f>[1]FİYATLAR!B642</f>
        <v/>
      </c>
      <c r="C642" s="35">
        <f>INT(A642)</f>
        <v/>
      </c>
      <c r="D642" s="36">
        <f>MONTH(A642)</f>
        <v/>
      </c>
      <c r="F642" s="30">
        <f>[1]FİYATLAR!C642</f>
        <v/>
      </c>
      <c r="G642" s="30">
        <f>[1]FİYATLAR!D642</f>
        <v/>
      </c>
      <c r="H642">
        <f>E642*F642</f>
        <v/>
      </c>
      <c r="I642">
        <f>E642*G642</f>
        <v/>
      </c>
    </row>
    <row r="643">
      <c r="A643" s="29">
        <f>[1]FİYATLAR!A643</f>
        <v/>
      </c>
      <c r="B643" s="29">
        <f>[1]FİYATLAR!B643</f>
        <v/>
      </c>
      <c r="C643" s="35">
        <f>INT(A643)</f>
        <v/>
      </c>
      <c r="D643" s="36">
        <f>MONTH(A643)</f>
        <v/>
      </c>
      <c r="F643" s="30">
        <f>[1]FİYATLAR!C643</f>
        <v/>
      </c>
      <c r="G643" s="30">
        <f>[1]FİYATLAR!D643</f>
        <v/>
      </c>
      <c r="H643">
        <f>E643*F643</f>
        <v/>
      </c>
      <c r="I643">
        <f>E643*G643</f>
        <v/>
      </c>
    </row>
    <row r="644">
      <c r="A644" s="29">
        <f>[1]FİYATLAR!A644</f>
        <v/>
      </c>
      <c r="B644" s="29">
        <f>[1]FİYATLAR!B644</f>
        <v/>
      </c>
      <c r="C644" s="35">
        <f>INT(A644)</f>
        <v/>
      </c>
      <c r="D644" s="36">
        <f>MONTH(A644)</f>
        <v/>
      </c>
      <c r="F644" s="30">
        <f>[1]FİYATLAR!C644</f>
        <v/>
      </c>
      <c r="G644" s="30">
        <f>[1]FİYATLAR!D644</f>
        <v/>
      </c>
      <c r="H644">
        <f>E644*F644</f>
        <v/>
      </c>
      <c r="I644">
        <f>E644*G644</f>
        <v/>
      </c>
    </row>
    <row r="645">
      <c r="A645" s="29">
        <f>[1]FİYATLAR!A645</f>
        <v/>
      </c>
      <c r="B645" s="29">
        <f>[1]FİYATLAR!B645</f>
        <v/>
      </c>
      <c r="C645" s="35">
        <f>INT(A645)</f>
        <v/>
      </c>
      <c r="D645" s="36">
        <f>MONTH(A645)</f>
        <v/>
      </c>
      <c r="F645" s="30">
        <f>[1]FİYATLAR!C645</f>
        <v/>
      </c>
      <c r="G645" s="30">
        <f>[1]FİYATLAR!D645</f>
        <v/>
      </c>
      <c r="H645">
        <f>E645*F645</f>
        <v/>
      </c>
      <c r="I645">
        <f>E645*G645</f>
        <v/>
      </c>
    </row>
    <row r="646">
      <c r="A646" s="29">
        <f>[1]FİYATLAR!A646</f>
        <v/>
      </c>
      <c r="B646" s="29">
        <f>[1]FİYATLAR!B646</f>
        <v/>
      </c>
      <c r="C646" s="35">
        <f>INT(A646)</f>
        <v/>
      </c>
      <c r="D646" s="36">
        <f>MONTH(A646)</f>
        <v/>
      </c>
      <c r="F646" s="30">
        <f>[1]FİYATLAR!C646</f>
        <v/>
      </c>
      <c r="G646" s="30">
        <f>[1]FİYATLAR!D646</f>
        <v/>
      </c>
      <c r="H646">
        <f>E646*F646</f>
        <v/>
      </c>
      <c r="I646">
        <f>E646*G646</f>
        <v/>
      </c>
    </row>
    <row r="647">
      <c r="A647" s="29">
        <f>[1]FİYATLAR!A647</f>
        <v/>
      </c>
      <c r="B647" s="29">
        <f>[1]FİYATLAR!B647</f>
        <v/>
      </c>
      <c r="C647" s="35">
        <f>INT(A647)</f>
        <v/>
      </c>
      <c r="D647" s="36">
        <f>MONTH(A647)</f>
        <v/>
      </c>
      <c r="F647" s="30">
        <f>[1]FİYATLAR!C647</f>
        <v/>
      </c>
      <c r="G647" s="30">
        <f>[1]FİYATLAR!D647</f>
        <v/>
      </c>
      <c r="H647">
        <f>E647*F647</f>
        <v/>
      </c>
      <c r="I647">
        <f>E647*G647</f>
        <v/>
      </c>
    </row>
    <row r="648">
      <c r="A648" s="29">
        <f>[1]FİYATLAR!A648</f>
        <v/>
      </c>
      <c r="B648" s="29">
        <f>[1]FİYATLAR!B648</f>
        <v/>
      </c>
      <c r="C648" s="35">
        <f>INT(A648)</f>
        <v/>
      </c>
      <c r="D648" s="36">
        <f>MONTH(A648)</f>
        <v/>
      </c>
      <c r="F648" s="30">
        <f>[1]FİYATLAR!C648</f>
        <v/>
      </c>
      <c r="G648" s="30">
        <f>[1]FİYATLAR!D648</f>
        <v/>
      </c>
      <c r="H648">
        <f>E648*F648</f>
        <v/>
      </c>
      <c r="I648">
        <f>E648*G648</f>
        <v/>
      </c>
    </row>
    <row r="649">
      <c r="A649" s="29">
        <f>[1]FİYATLAR!A649</f>
        <v/>
      </c>
      <c r="B649" s="29">
        <f>[1]FİYATLAR!B649</f>
        <v/>
      </c>
      <c r="C649" s="35">
        <f>INT(A649)</f>
        <v/>
      </c>
      <c r="D649" s="36">
        <f>MONTH(A649)</f>
        <v/>
      </c>
      <c r="F649" s="30">
        <f>[1]FİYATLAR!C649</f>
        <v/>
      </c>
      <c r="G649" s="30">
        <f>[1]FİYATLAR!D649</f>
        <v/>
      </c>
      <c r="H649">
        <f>E649*F649</f>
        <v/>
      </c>
      <c r="I649">
        <f>E649*G649</f>
        <v/>
      </c>
    </row>
    <row r="650">
      <c r="A650" s="29">
        <f>[1]FİYATLAR!A650</f>
        <v/>
      </c>
      <c r="B650" s="29">
        <f>[1]FİYATLAR!B650</f>
        <v/>
      </c>
      <c r="C650" s="35">
        <f>INT(A650)</f>
        <v/>
      </c>
      <c r="D650" s="36">
        <f>MONTH(A650)</f>
        <v/>
      </c>
      <c r="F650" s="30">
        <f>[1]FİYATLAR!C650</f>
        <v/>
      </c>
      <c r="G650" s="30">
        <f>[1]FİYATLAR!D650</f>
        <v/>
      </c>
      <c r="H650">
        <f>E650*F650</f>
        <v/>
      </c>
      <c r="I650">
        <f>E650*G650</f>
        <v/>
      </c>
    </row>
    <row r="651">
      <c r="A651" s="29">
        <f>[1]FİYATLAR!A651</f>
        <v/>
      </c>
      <c r="B651" s="29">
        <f>[1]FİYATLAR!B651</f>
        <v/>
      </c>
      <c r="C651" s="35">
        <f>INT(A651)</f>
        <v/>
      </c>
      <c r="D651" s="36">
        <f>MONTH(A651)</f>
        <v/>
      </c>
      <c r="F651" s="30">
        <f>[1]FİYATLAR!C651</f>
        <v/>
      </c>
      <c r="G651" s="30">
        <f>[1]FİYATLAR!D651</f>
        <v/>
      </c>
      <c r="H651">
        <f>E651*F651</f>
        <v/>
      </c>
      <c r="I651">
        <f>E651*G651</f>
        <v/>
      </c>
    </row>
    <row r="652">
      <c r="A652" s="29">
        <f>[1]FİYATLAR!A652</f>
        <v/>
      </c>
      <c r="B652" s="29">
        <f>[1]FİYATLAR!B652</f>
        <v/>
      </c>
      <c r="C652" s="35">
        <f>INT(A652)</f>
        <v/>
      </c>
      <c r="D652" s="36">
        <f>MONTH(A652)</f>
        <v/>
      </c>
      <c r="F652" s="30">
        <f>[1]FİYATLAR!C652</f>
        <v/>
      </c>
      <c r="G652" s="30">
        <f>[1]FİYATLAR!D652</f>
        <v/>
      </c>
      <c r="H652">
        <f>E652*F652</f>
        <v/>
      </c>
      <c r="I652">
        <f>E652*G652</f>
        <v/>
      </c>
    </row>
    <row r="653">
      <c r="A653" s="29">
        <f>[1]FİYATLAR!A653</f>
        <v/>
      </c>
      <c r="B653" s="29">
        <f>[1]FİYATLAR!B653</f>
        <v/>
      </c>
      <c r="C653" s="35">
        <f>INT(A653)</f>
        <v/>
      </c>
      <c r="D653" s="36">
        <f>MONTH(A653)</f>
        <v/>
      </c>
      <c r="F653" s="30">
        <f>[1]FİYATLAR!C653</f>
        <v/>
      </c>
      <c r="G653" s="30">
        <f>[1]FİYATLAR!D653</f>
        <v/>
      </c>
      <c r="H653">
        <f>E653*F653</f>
        <v/>
      </c>
      <c r="I653">
        <f>E653*G653</f>
        <v/>
      </c>
    </row>
    <row r="654">
      <c r="A654" s="29">
        <f>[1]FİYATLAR!A654</f>
        <v/>
      </c>
      <c r="B654" s="29">
        <f>[1]FİYATLAR!B654</f>
        <v/>
      </c>
      <c r="C654" s="35">
        <f>INT(A654)</f>
        <v/>
      </c>
      <c r="D654" s="36">
        <f>MONTH(A654)</f>
        <v/>
      </c>
      <c r="F654" s="30">
        <f>[1]FİYATLAR!C654</f>
        <v/>
      </c>
      <c r="G654" s="30">
        <f>[1]FİYATLAR!D654</f>
        <v/>
      </c>
      <c r="H654">
        <f>E654*F654</f>
        <v/>
      </c>
      <c r="I654">
        <f>E654*G654</f>
        <v/>
      </c>
    </row>
    <row r="655">
      <c r="A655" s="29">
        <f>[1]FİYATLAR!A655</f>
        <v/>
      </c>
      <c r="B655" s="29">
        <f>[1]FİYATLAR!B655</f>
        <v/>
      </c>
      <c r="C655" s="35">
        <f>INT(A655)</f>
        <v/>
      </c>
      <c r="D655" s="36">
        <f>MONTH(A655)</f>
        <v/>
      </c>
      <c r="F655" s="30">
        <f>[1]FİYATLAR!C655</f>
        <v/>
      </c>
      <c r="G655" s="30">
        <f>[1]FİYATLAR!D655</f>
        <v/>
      </c>
      <c r="H655">
        <f>E655*F655</f>
        <v/>
      </c>
      <c r="I655">
        <f>E655*G655</f>
        <v/>
      </c>
    </row>
    <row r="656">
      <c r="A656" s="29">
        <f>[1]FİYATLAR!A656</f>
        <v/>
      </c>
      <c r="B656" s="29">
        <f>[1]FİYATLAR!B656</f>
        <v/>
      </c>
      <c r="C656" s="35">
        <f>INT(A656)</f>
        <v/>
      </c>
      <c r="D656" s="36">
        <f>MONTH(A656)</f>
        <v/>
      </c>
      <c r="F656" s="30">
        <f>[1]FİYATLAR!C656</f>
        <v/>
      </c>
      <c r="G656" s="30">
        <f>[1]FİYATLAR!D656</f>
        <v/>
      </c>
      <c r="H656">
        <f>E656*F656</f>
        <v/>
      </c>
      <c r="I656">
        <f>E656*G656</f>
        <v/>
      </c>
    </row>
    <row r="657">
      <c r="A657" s="29">
        <f>[1]FİYATLAR!A657</f>
        <v/>
      </c>
      <c r="B657" s="29">
        <f>[1]FİYATLAR!B657</f>
        <v/>
      </c>
      <c r="C657" s="35">
        <f>INT(A657)</f>
        <v/>
      </c>
      <c r="D657" s="36">
        <f>MONTH(A657)</f>
        <v/>
      </c>
      <c r="F657" s="30">
        <f>[1]FİYATLAR!C657</f>
        <v/>
      </c>
      <c r="G657" s="30">
        <f>[1]FİYATLAR!D657</f>
        <v/>
      </c>
      <c r="H657">
        <f>E657*F657</f>
        <v/>
      </c>
      <c r="I657">
        <f>E657*G657</f>
        <v/>
      </c>
    </row>
    <row r="658">
      <c r="A658" s="29">
        <f>[1]FİYATLAR!A658</f>
        <v/>
      </c>
      <c r="B658" s="29">
        <f>[1]FİYATLAR!B658</f>
        <v/>
      </c>
      <c r="C658" s="35">
        <f>INT(A658)</f>
        <v/>
      </c>
      <c r="D658" s="36">
        <f>MONTH(A658)</f>
        <v/>
      </c>
      <c r="F658" s="30">
        <f>[1]FİYATLAR!C658</f>
        <v/>
      </c>
      <c r="G658" s="30">
        <f>[1]FİYATLAR!D658</f>
        <v/>
      </c>
      <c r="H658">
        <f>E658*F658</f>
        <v/>
      </c>
      <c r="I658">
        <f>E658*G658</f>
        <v/>
      </c>
    </row>
    <row r="659">
      <c r="A659" s="29">
        <f>[1]FİYATLAR!A659</f>
        <v/>
      </c>
      <c r="B659" s="29">
        <f>[1]FİYATLAR!B659</f>
        <v/>
      </c>
      <c r="C659" s="35">
        <f>INT(A659)</f>
        <v/>
      </c>
      <c r="D659" s="36">
        <f>MONTH(A659)</f>
        <v/>
      </c>
      <c r="F659" s="30">
        <f>[1]FİYATLAR!C659</f>
        <v/>
      </c>
      <c r="G659" s="30">
        <f>[1]FİYATLAR!D659</f>
        <v/>
      </c>
      <c r="H659">
        <f>E659*F659</f>
        <v/>
      </c>
      <c r="I659">
        <f>E659*G659</f>
        <v/>
      </c>
    </row>
    <row r="660">
      <c r="A660" s="29">
        <f>[1]FİYATLAR!A660</f>
        <v/>
      </c>
      <c r="B660" s="29">
        <f>[1]FİYATLAR!B660</f>
        <v/>
      </c>
      <c r="C660" s="35">
        <f>INT(A660)</f>
        <v/>
      </c>
      <c r="D660" s="36">
        <f>MONTH(A660)</f>
        <v/>
      </c>
      <c r="F660" s="30">
        <f>[1]FİYATLAR!C660</f>
        <v/>
      </c>
      <c r="G660" s="30">
        <f>[1]FİYATLAR!D660</f>
        <v/>
      </c>
      <c r="H660">
        <f>E660*F660</f>
        <v/>
      </c>
      <c r="I660">
        <f>E660*G660</f>
        <v/>
      </c>
    </row>
    <row r="661">
      <c r="A661" s="29">
        <f>[1]FİYATLAR!A661</f>
        <v/>
      </c>
      <c r="B661" s="29">
        <f>[1]FİYATLAR!B661</f>
        <v/>
      </c>
      <c r="C661" s="35">
        <f>INT(A661)</f>
        <v/>
      </c>
      <c r="D661" s="36">
        <f>MONTH(A661)</f>
        <v/>
      </c>
      <c r="F661" s="30">
        <f>[1]FİYATLAR!C661</f>
        <v/>
      </c>
      <c r="G661" s="30">
        <f>[1]FİYATLAR!D661</f>
        <v/>
      </c>
      <c r="H661">
        <f>E661*F661</f>
        <v/>
      </c>
      <c r="I661">
        <f>E661*G661</f>
        <v/>
      </c>
    </row>
    <row r="662">
      <c r="A662" s="29">
        <f>[1]FİYATLAR!A662</f>
        <v/>
      </c>
      <c r="B662" s="29">
        <f>[1]FİYATLAR!B662</f>
        <v/>
      </c>
      <c r="C662" s="35">
        <f>INT(A662)</f>
        <v/>
      </c>
      <c r="D662" s="36">
        <f>MONTH(A662)</f>
        <v/>
      </c>
      <c r="F662" s="30">
        <f>[1]FİYATLAR!C662</f>
        <v/>
      </c>
      <c r="G662" s="30">
        <f>[1]FİYATLAR!D662</f>
        <v/>
      </c>
      <c r="H662">
        <f>E662*F662</f>
        <v/>
      </c>
      <c r="I662">
        <f>E662*G662</f>
        <v/>
      </c>
    </row>
    <row r="663">
      <c r="A663" s="29">
        <f>[1]FİYATLAR!A663</f>
        <v/>
      </c>
      <c r="B663" s="29">
        <f>[1]FİYATLAR!B663</f>
        <v/>
      </c>
      <c r="C663" s="35">
        <f>INT(A663)</f>
        <v/>
      </c>
      <c r="D663" s="36">
        <f>MONTH(A663)</f>
        <v/>
      </c>
      <c r="F663" s="30">
        <f>[1]FİYATLAR!C663</f>
        <v/>
      </c>
      <c r="G663" s="30">
        <f>[1]FİYATLAR!D663</f>
        <v/>
      </c>
      <c r="H663">
        <f>E663*F663</f>
        <v/>
      </c>
      <c r="I663">
        <f>E663*G663</f>
        <v/>
      </c>
    </row>
    <row r="664">
      <c r="A664" s="29">
        <f>[1]FİYATLAR!A664</f>
        <v/>
      </c>
      <c r="B664" s="29">
        <f>[1]FİYATLAR!B664</f>
        <v/>
      </c>
      <c r="C664" s="35">
        <f>INT(A664)</f>
        <v/>
      </c>
      <c r="D664" s="36">
        <f>MONTH(A664)</f>
        <v/>
      </c>
      <c r="F664" s="30">
        <f>[1]FİYATLAR!C664</f>
        <v/>
      </c>
      <c r="G664" s="30">
        <f>[1]FİYATLAR!D664</f>
        <v/>
      </c>
      <c r="H664">
        <f>E664*F664</f>
        <v/>
      </c>
      <c r="I664">
        <f>E664*G664</f>
        <v/>
      </c>
    </row>
    <row r="665">
      <c r="A665" s="29">
        <f>[1]FİYATLAR!A665</f>
        <v/>
      </c>
      <c r="B665" s="29">
        <f>[1]FİYATLAR!B665</f>
        <v/>
      </c>
      <c r="C665" s="35">
        <f>INT(A665)</f>
        <v/>
      </c>
      <c r="D665" s="36">
        <f>MONTH(A665)</f>
        <v/>
      </c>
      <c r="F665" s="30">
        <f>[1]FİYATLAR!C665</f>
        <v/>
      </c>
      <c r="G665" s="30">
        <f>[1]FİYATLAR!D665</f>
        <v/>
      </c>
      <c r="H665">
        <f>E665*F665</f>
        <v/>
      </c>
      <c r="I665">
        <f>E665*G665</f>
        <v/>
      </c>
    </row>
    <row r="666">
      <c r="A666" s="29">
        <f>[1]FİYATLAR!A666</f>
        <v/>
      </c>
      <c r="B666" s="29">
        <f>[1]FİYATLAR!B666</f>
        <v/>
      </c>
      <c r="C666" s="35">
        <f>INT(A666)</f>
        <v/>
      </c>
      <c r="D666" s="36">
        <f>MONTH(A666)</f>
        <v/>
      </c>
      <c r="F666" s="30">
        <f>[1]FİYATLAR!C666</f>
        <v/>
      </c>
      <c r="G666" s="30">
        <f>[1]FİYATLAR!D666</f>
        <v/>
      </c>
      <c r="H666">
        <f>E666*F666</f>
        <v/>
      </c>
      <c r="I666">
        <f>E666*G666</f>
        <v/>
      </c>
    </row>
    <row r="667">
      <c r="A667" s="29">
        <f>[1]FİYATLAR!A667</f>
        <v/>
      </c>
      <c r="B667" s="29">
        <f>[1]FİYATLAR!B667</f>
        <v/>
      </c>
      <c r="C667" s="35">
        <f>INT(A667)</f>
        <v/>
      </c>
      <c r="D667" s="36">
        <f>MONTH(A667)</f>
        <v/>
      </c>
      <c r="F667" s="30">
        <f>[1]FİYATLAR!C667</f>
        <v/>
      </c>
      <c r="G667" s="30">
        <f>[1]FİYATLAR!D667</f>
        <v/>
      </c>
      <c r="H667">
        <f>E667*F667</f>
        <v/>
      </c>
      <c r="I667">
        <f>E667*G667</f>
        <v/>
      </c>
    </row>
    <row r="668">
      <c r="A668" s="29">
        <f>[1]FİYATLAR!A668</f>
        <v/>
      </c>
      <c r="B668" s="29">
        <f>[1]FİYATLAR!B668</f>
        <v/>
      </c>
      <c r="C668" s="35">
        <f>INT(A668)</f>
        <v/>
      </c>
      <c r="D668" s="36">
        <f>MONTH(A668)</f>
        <v/>
      </c>
      <c r="F668" s="30">
        <f>[1]FİYATLAR!C668</f>
        <v/>
      </c>
      <c r="G668" s="30">
        <f>[1]FİYATLAR!D668</f>
        <v/>
      </c>
      <c r="H668">
        <f>E668*F668</f>
        <v/>
      </c>
      <c r="I668">
        <f>E668*G668</f>
        <v/>
      </c>
    </row>
    <row r="669">
      <c r="A669" s="29">
        <f>[1]FİYATLAR!A669</f>
        <v/>
      </c>
      <c r="B669" s="29">
        <f>[1]FİYATLAR!B669</f>
        <v/>
      </c>
      <c r="C669" s="35">
        <f>INT(A669)</f>
        <v/>
      </c>
      <c r="D669" s="36">
        <f>MONTH(A669)</f>
        <v/>
      </c>
      <c r="F669" s="30">
        <f>[1]FİYATLAR!C669</f>
        <v/>
      </c>
      <c r="G669" s="30">
        <f>[1]FİYATLAR!D669</f>
        <v/>
      </c>
      <c r="H669">
        <f>E669*F669</f>
        <v/>
      </c>
      <c r="I669">
        <f>E669*G669</f>
        <v/>
      </c>
    </row>
    <row r="670">
      <c r="A670" s="29">
        <f>[1]FİYATLAR!A670</f>
        <v/>
      </c>
      <c r="B670" s="29">
        <f>[1]FİYATLAR!B670</f>
        <v/>
      </c>
      <c r="C670" s="35">
        <f>INT(A670)</f>
        <v/>
      </c>
      <c r="D670" s="36">
        <f>MONTH(A670)</f>
        <v/>
      </c>
      <c r="F670" s="30">
        <f>[1]FİYATLAR!C670</f>
        <v/>
      </c>
      <c r="G670" s="30">
        <f>[1]FİYATLAR!D670</f>
        <v/>
      </c>
      <c r="H670">
        <f>E670*F670</f>
        <v/>
      </c>
      <c r="I670">
        <f>E670*G670</f>
        <v/>
      </c>
    </row>
    <row r="671">
      <c r="A671" s="29">
        <f>[1]FİYATLAR!A671</f>
        <v/>
      </c>
      <c r="B671" s="29">
        <f>[1]FİYATLAR!B671</f>
        <v/>
      </c>
      <c r="C671" s="35">
        <f>INT(A671)</f>
        <v/>
      </c>
      <c r="D671" s="36">
        <f>MONTH(A671)</f>
        <v/>
      </c>
      <c r="F671" s="30">
        <f>[1]FİYATLAR!C671</f>
        <v/>
      </c>
      <c r="G671" s="30">
        <f>[1]FİYATLAR!D671</f>
        <v/>
      </c>
      <c r="H671">
        <f>E671*F671</f>
        <v/>
      </c>
      <c r="I671">
        <f>E671*G671</f>
        <v/>
      </c>
    </row>
    <row r="672">
      <c r="A672" s="29">
        <f>[1]FİYATLAR!A672</f>
        <v/>
      </c>
      <c r="B672" s="29">
        <f>[1]FİYATLAR!B672</f>
        <v/>
      </c>
      <c r="C672" s="35">
        <f>INT(A672)</f>
        <v/>
      </c>
      <c r="D672" s="36">
        <f>MONTH(A672)</f>
        <v/>
      </c>
      <c r="F672" s="30">
        <f>[1]FİYATLAR!C672</f>
        <v/>
      </c>
      <c r="G672" s="30">
        <f>[1]FİYATLAR!D672</f>
        <v/>
      </c>
      <c r="H672">
        <f>E672*F672</f>
        <v/>
      </c>
      <c r="I672">
        <f>E672*G672</f>
        <v/>
      </c>
    </row>
    <row r="673">
      <c r="A673" s="29">
        <f>[1]FİYATLAR!A673</f>
        <v/>
      </c>
      <c r="B673" s="29">
        <f>[1]FİYATLAR!B673</f>
        <v/>
      </c>
      <c r="C673" s="35">
        <f>INT(A673)</f>
        <v/>
      </c>
      <c r="D673" s="36">
        <f>MONTH(A673)</f>
        <v/>
      </c>
      <c r="F673" s="30">
        <f>[1]FİYATLAR!C673</f>
        <v/>
      </c>
      <c r="G673" s="30">
        <f>[1]FİYATLAR!D673</f>
        <v/>
      </c>
      <c r="H673">
        <f>E673*F673</f>
        <v/>
      </c>
      <c r="I673">
        <f>E673*G673</f>
        <v/>
      </c>
    </row>
    <row r="674">
      <c r="A674" s="29">
        <f>[1]FİYATLAR!A674</f>
        <v/>
      </c>
      <c r="B674" s="29">
        <f>[1]FİYATLAR!B674</f>
        <v/>
      </c>
      <c r="C674" s="35">
        <f>INT(A674)</f>
        <v/>
      </c>
      <c r="D674" s="36">
        <f>MONTH(A674)</f>
        <v/>
      </c>
      <c r="F674" s="30">
        <f>[1]FİYATLAR!C674</f>
        <v/>
      </c>
      <c r="G674" s="30">
        <f>[1]FİYATLAR!D674</f>
        <v/>
      </c>
      <c r="H674">
        <f>E674*F674</f>
        <v/>
      </c>
      <c r="I674">
        <f>E674*G674</f>
        <v/>
      </c>
    </row>
    <row r="675">
      <c r="A675" s="29">
        <f>[1]FİYATLAR!A675</f>
        <v/>
      </c>
      <c r="B675" s="29">
        <f>[1]FİYATLAR!B675</f>
        <v/>
      </c>
      <c r="C675" s="35">
        <f>INT(A675)</f>
        <v/>
      </c>
      <c r="D675" s="36">
        <f>MONTH(A675)</f>
        <v/>
      </c>
      <c r="F675" s="30">
        <f>[1]FİYATLAR!C675</f>
        <v/>
      </c>
      <c r="G675" s="30">
        <f>[1]FİYATLAR!D675</f>
        <v/>
      </c>
      <c r="H675">
        <f>E675*F675</f>
        <v/>
      </c>
      <c r="I675">
        <f>E675*G675</f>
        <v/>
      </c>
    </row>
    <row r="676">
      <c r="A676" s="29">
        <f>[1]FİYATLAR!A676</f>
        <v/>
      </c>
      <c r="B676" s="29">
        <f>[1]FİYATLAR!B676</f>
        <v/>
      </c>
      <c r="C676" s="35">
        <f>INT(A676)</f>
        <v/>
      </c>
      <c r="D676" s="36">
        <f>MONTH(A676)</f>
        <v/>
      </c>
      <c r="F676" s="30">
        <f>[1]FİYATLAR!C676</f>
        <v/>
      </c>
      <c r="G676" s="30">
        <f>[1]FİYATLAR!D676</f>
        <v/>
      </c>
      <c r="H676">
        <f>E676*F676</f>
        <v/>
      </c>
      <c r="I676">
        <f>E676*G676</f>
        <v/>
      </c>
    </row>
    <row r="677">
      <c r="A677" s="29">
        <f>[1]FİYATLAR!A677</f>
        <v/>
      </c>
      <c r="B677" s="29">
        <f>[1]FİYATLAR!B677</f>
        <v/>
      </c>
      <c r="C677" s="35">
        <f>INT(A677)</f>
        <v/>
      </c>
      <c r="D677" s="36">
        <f>MONTH(A677)</f>
        <v/>
      </c>
      <c r="F677" s="30">
        <f>[1]FİYATLAR!C677</f>
        <v/>
      </c>
      <c r="G677" s="30">
        <f>[1]FİYATLAR!D677</f>
        <v/>
      </c>
      <c r="H677">
        <f>E677*F677</f>
        <v/>
      </c>
      <c r="I677">
        <f>E677*G677</f>
        <v/>
      </c>
    </row>
    <row r="678">
      <c r="A678" s="29">
        <f>[1]FİYATLAR!A678</f>
        <v/>
      </c>
      <c r="B678" s="29">
        <f>[1]FİYATLAR!B678</f>
        <v/>
      </c>
      <c r="C678" s="35">
        <f>INT(A678)</f>
        <v/>
      </c>
      <c r="D678" s="36">
        <f>MONTH(A678)</f>
        <v/>
      </c>
      <c r="F678" s="30">
        <f>[1]FİYATLAR!C678</f>
        <v/>
      </c>
      <c r="G678" s="30">
        <f>[1]FİYATLAR!D678</f>
        <v/>
      </c>
      <c r="H678">
        <f>E678*F678</f>
        <v/>
      </c>
      <c r="I678">
        <f>E678*G678</f>
        <v/>
      </c>
    </row>
    <row r="679">
      <c r="A679" s="29">
        <f>[1]FİYATLAR!A679</f>
        <v/>
      </c>
      <c r="B679" s="29">
        <f>[1]FİYATLAR!B679</f>
        <v/>
      </c>
      <c r="C679" s="35">
        <f>INT(A679)</f>
        <v/>
      </c>
      <c r="D679" s="36">
        <f>MONTH(A679)</f>
        <v/>
      </c>
      <c r="F679" s="30">
        <f>[1]FİYATLAR!C679</f>
        <v/>
      </c>
      <c r="G679" s="30">
        <f>[1]FİYATLAR!D679</f>
        <v/>
      </c>
      <c r="H679">
        <f>E679*F679</f>
        <v/>
      </c>
      <c r="I679">
        <f>E679*G679</f>
        <v/>
      </c>
    </row>
    <row r="680">
      <c r="A680" s="29">
        <f>[1]FİYATLAR!A680</f>
        <v/>
      </c>
      <c r="B680" s="29">
        <f>[1]FİYATLAR!B680</f>
        <v/>
      </c>
      <c r="C680" s="35">
        <f>INT(A680)</f>
        <v/>
      </c>
      <c r="D680" s="36">
        <f>MONTH(A680)</f>
        <v/>
      </c>
      <c r="F680" s="30">
        <f>[1]FİYATLAR!C680</f>
        <v/>
      </c>
      <c r="G680" s="30">
        <f>[1]FİYATLAR!D680</f>
        <v/>
      </c>
      <c r="H680">
        <f>E680*F680</f>
        <v/>
      </c>
      <c r="I680">
        <f>E680*G680</f>
        <v/>
      </c>
    </row>
    <row r="681">
      <c r="A681" s="29">
        <f>[1]FİYATLAR!A681</f>
        <v/>
      </c>
      <c r="B681" s="29">
        <f>[1]FİYATLAR!B681</f>
        <v/>
      </c>
      <c r="C681" s="35">
        <f>INT(A681)</f>
        <v/>
      </c>
      <c r="D681" s="36">
        <f>MONTH(A681)</f>
        <v/>
      </c>
      <c r="F681" s="30">
        <f>[1]FİYATLAR!C681</f>
        <v/>
      </c>
      <c r="G681" s="30">
        <f>[1]FİYATLAR!D681</f>
        <v/>
      </c>
      <c r="H681">
        <f>E681*F681</f>
        <v/>
      </c>
      <c r="I681">
        <f>E681*G681</f>
        <v/>
      </c>
    </row>
    <row r="682">
      <c r="A682" s="29">
        <f>[1]FİYATLAR!A682</f>
        <v/>
      </c>
      <c r="B682" s="29">
        <f>[1]FİYATLAR!B682</f>
        <v/>
      </c>
      <c r="C682" s="35">
        <f>INT(A682)</f>
        <v/>
      </c>
      <c r="D682" s="36">
        <f>MONTH(A682)</f>
        <v/>
      </c>
      <c r="F682" s="30">
        <f>[1]FİYATLAR!C682</f>
        <v/>
      </c>
      <c r="G682" s="30">
        <f>[1]FİYATLAR!D682</f>
        <v/>
      </c>
      <c r="H682">
        <f>E682*F682</f>
        <v/>
      </c>
      <c r="I682">
        <f>E682*G682</f>
        <v/>
      </c>
    </row>
    <row r="683">
      <c r="A683" s="29">
        <f>[1]FİYATLAR!A683</f>
        <v/>
      </c>
      <c r="B683" s="29">
        <f>[1]FİYATLAR!B683</f>
        <v/>
      </c>
      <c r="C683" s="35">
        <f>INT(A683)</f>
        <v/>
      </c>
      <c r="D683" s="36">
        <f>MONTH(A683)</f>
        <v/>
      </c>
      <c r="F683" s="30">
        <f>[1]FİYATLAR!C683</f>
        <v/>
      </c>
      <c r="G683" s="30">
        <f>[1]FİYATLAR!D683</f>
        <v/>
      </c>
      <c r="H683">
        <f>E683*F683</f>
        <v/>
      </c>
      <c r="I683">
        <f>E683*G683</f>
        <v/>
      </c>
    </row>
    <row r="684">
      <c r="A684" s="29">
        <f>[1]FİYATLAR!A684</f>
        <v/>
      </c>
      <c r="B684" s="29">
        <f>[1]FİYATLAR!B684</f>
        <v/>
      </c>
      <c r="C684" s="35">
        <f>INT(A684)</f>
        <v/>
      </c>
      <c r="D684" s="36">
        <f>MONTH(A684)</f>
        <v/>
      </c>
      <c r="F684" s="30">
        <f>[1]FİYATLAR!C684</f>
        <v/>
      </c>
      <c r="G684" s="30">
        <f>[1]FİYATLAR!D684</f>
        <v/>
      </c>
      <c r="H684">
        <f>E684*F684</f>
        <v/>
      </c>
      <c r="I684">
        <f>E684*G684</f>
        <v/>
      </c>
    </row>
    <row r="685">
      <c r="A685" s="29">
        <f>[1]FİYATLAR!A685</f>
        <v/>
      </c>
      <c r="B685" s="29">
        <f>[1]FİYATLAR!B685</f>
        <v/>
      </c>
      <c r="C685" s="35">
        <f>INT(A685)</f>
        <v/>
      </c>
      <c r="D685" s="36">
        <f>MONTH(A685)</f>
        <v/>
      </c>
      <c r="F685" s="30">
        <f>[1]FİYATLAR!C685</f>
        <v/>
      </c>
      <c r="G685" s="30">
        <f>[1]FİYATLAR!D685</f>
        <v/>
      </c>
      <c r="H685">
        <f>E685*F685</f>
        <v/>
      </c>
      <c r="I685">
        <f>E685*G685</f>
        <v/>
      </c>
    </row>
    <row r="686">
      <c r="A686" s="29">
        <f>[1]FİYATLAR!A686</f>
        <v/>
      </c>
      <c r="B686" s="29">
        <f>[1]FİYATLAR!B686</f>
        <v/>
      </c>
      <c r="C686" s="35">
        <f>INT(A686)</f>
        <v/>
      </c>
      <c r="D686" s="36">
        <f>MONTH(A686)</f>
        <v/>
      </c>
      <c r="F686" s="30">
        <f>[1]FİYATLAR!C686</f>
        <v/>
      </c>
      <c r="G686" s="30">
        <f>[1]FİYATLAR!D686</f>
        <v/>
      </c>
      <c r="H686">
        <f>E686*F686</f>
        <v/>
      </c>
      <c r="I686">
        <f>E686*G686</f>
        <v/>
      </c>
    </row>
    <row r="687">
      <c r="A687" s="29">
        <f>[1]FİYATLAR!A687</f>
        <v/>
      </c>
      <c r="B687" s="29">
        <f>[1]FİYATLAR!B687</f>
        <v/>
      </c>
      <c r="C687" s="35">
        <f>INT(A687)</f>
        <v/>
      </c>
      <c r="D687" s="36">
        <f>MONTH(A687)</f>
        <v/>
      </c>
      <c r="F687" s="30">
        <f>[1]FİYATLAR!C687</f>
        <v/>
      </c>
      <c r="G687" s="30">
        <f>[1]FİYATLAR!D687</f>
        <v/>
      </c>
      <c r="H687">
        <f>E687*F687</f>
        <v/>
      </c>
      <c r="I687">
        <f>E687*G687</f>
        <v/>
      </c>
    </row>
    <row r="688">
      <c r="A688" s="29">
        <f>[1]FİYATLAR!A688</f>
        <v/>
      </c>
      <c r="B688" s="29">
        <f>[1]FİYATLAR!B688</f>
        <v/>
      </c>
      <c r="C688" s="35">
        <f>INT(A688)</f>
        <v/>
      </c>
      <c r="D688" s="36">
        <f>MONTH(A688)</f>
        <v/>
      </c>
      <c r="F688" s="30">
        <f>[1]FİYATLAR!C688</f>
        <v/>
      </c>
      <c r="G688" s="30">
        <f>[1]FİYATLAR!D688</f>
        <v/>
      </c>
      <c r="H688">
        <f>E688*F688</f>
        <v/>
      </c>
      <c r="I688">
        <f>E688*G688</f>
        <v/>
      </c>
    </row>
    <row r="689">
      <c r="A689" s="29">
        <f>[1]FİYATLAR!A689</f>
        <v/>
      </c>
      <c r="B689" s="29">
        <f>[1]FİYATLAR!B689</f>
        <v/>
      </c>
      <c r="C689" s="35">
        <f>INT(A689)</f>
        <v/>
      </c>
      <c r="D689" s="36">
        <f>MONTH(A689)</f>
        <v/>
      </c>
      <c r="F689" s="30">
        <f>[1]FİYATLAR!C689</f>
        <v/>
      </c>
      <c r="G689" s="30">
        <f>[1]FİYATLAR!D689</f>
        <v/>
      </c>
      <c r="H689">
        <f>E689*F689</f>
        <v/>
      </c>
      <c r="I689">
        <f>E689*G689</f>
        <v/>
      </c>
    </row>
    <row r="690">
      <c r="A690" s="29">
        <f>[1]FİYATLAR!A690</f>
        <v/>
      </c>
      <c r="B690" s="29">
        <f>[1]FİYATLAR!B690</f>
        <v/>
      </c>
      <c r="C690" s="35">
        <f>INT(A690)</f>
        <v/>
      </c>
      <c r="D690" s="36">
        <f>MONTH(A690)</f>
        <v/>
      </c>
      <c r="F690" s="30">
        <f>[1]FİYATLAR!C690</f>
        <v/>
      </c>
      <c r="G690" s="30">
        <f>[1]FİYATLAR!D690</f>
        <v/>
      </c>
      <c r="H690">
        <f>E690*F690</f>
        <v/>
      </c>
      <c r="I690">
        <f>E690*G690</f>
        <v/>
      </c>
    </row>
    <row r="691">
      <c r="A691" s="29">
        <f>[1]FİYATLAR!A691</f>
        <v/>
      </c>
      <c r="B691" s="29">
        <f>[1]FİYATLAR!B691</f>
        <v/>
      </c>
      <c r="C691" s="35">
        <f>INT(A691)</f>
        <v/>
      </c>
      <c r="D691" s="36">
        <f>MONTH(A691)</f>
        <v/>
      </c>
      <c r="F691" s="30">
        <f>[1]FİYATLAR!C691</f>
        <v/>
      </c>
      <c r="G691" s="30">
        <f>[1]FİYATLAR!D691</f>
        <v/>
      </c>
      <c r="H691">
        <f>E691*F691</f>
        <v/>
      </c>
      <c r="I691">
        <f>E691*G691</f>
        <v/>
      </c>
    </row>
    <row r="692">
      <c r="A692" s="29">
        <f>[1]FİYATLAR!A692</f>
        <v/>
      </c>
      <c r="B692" s="29">
        <f>[1]FİYATLAR!B692</f>
        <v/>
      </c>
      <c r="C692" s="35">
        <f>INT(A692)</f>
        <v/>
      </c>
      <c r="D692" s="36">
        <f>MONTH(A692)</f>
        <v/>
      </c>
      <c r="F692" s="30">
        <f>[1]FİYATLAR!C692</f>
        <v/>
      </c>
      <c r="G692" s="30">
        <f>[1]FİYATLAR!D692</f>
        <v/>
      </c>
      <c r="H692">
        <f>E692*F692</f>
        <v/>
      </c>
      <c r="I692">
        <f>E692*G692</f>
        <v/>
      </c>
    </row>
    <row r="693">
      <c r="A693" s="29">
        <f>[1]FİYATLAR!A693</f>
        <v/>
      </c>
      <c r="B693" s="29">
        <f>[1]FİYATLAR!B693</f>
        <v/>
      </c>
      <c r="C693" s="35">
        <f>INT(A693)</f>
        <v/>
      </c>
      <c r="D693" s="36">
        <f>MONTH(A693)</f>
        <v/>
      </c>
      <c r="F693" s="30">
        <f>[1]FİYATLAR!C693</f>
        <v/>
      </c>
      <c r="G693" s="30">
        <f>[1]FİYATLAR!D693</f>
        <v/>
      </c>
      <c r="H693">
        <f>E693*F693</f>
        <v/>
      </c>
      <c r="I693">
        <f>E693*G693</f>
        <v/>
      </c>
    </row>
    <row r="694">
      <c r="A694" s="29">
        <f>[1]FİYATLAR!A694</f>
        <v/>
      </c>
      <c r="B694" s="29">
        <f>[1]FİYATLAR!B694</f>
        <v/>
      </c>
      <c r="C694" s="35">
        <f>INT(A694)</f>
        <v/>
      </c>
      <c r="D694" s="36">
        <f>MONTH(A694)</f>
        <v/>
      </c>
      <c r="F694" s="30">
        <f>[1]FİYATLAR!C694</f>
        <v/>
      </c>
      <c r="G694" s="30">
        <f>[1]FİYATLAR!D694</f>
        <v/>
      </c>
      <c r="H694">
        <f>E694*F694</f>
        <v/>
      </c>
      <c r="I694">
        <f>E694*G694</f>
        <v/>
      </c>
    </row>
    <row r="695">
      <c r="A695" s="29">
        <f>[1]FİYATLAR!A695</f>
        <v/>
      </c>
      <c r="B695" s="29">
        <f>[1]FİYATLAR!B695</f>
        <v/>
      </c>
      <c r="C695" s="35">
        <f>INT(A695)</f>
        <v/>
      </c>
      <c r="D695" s="36">
        <f>MONTH(A695)</f>
        <v/>
      </c>
      <c r="F695" s="30">
        <f>[1]FİYATLAR!C695</f>
        <v/>
      </c>
      <c r="G695" s="30">
        <f>[1]FİYATLAR!D695</f>
        <v/>
      </c>
      <c r="H695">
        <f>E695*F695</f>
        <v/>
      </c>
      <c r="I695">
        <f>E695*G695</f>
        <v/>
      </c>
    </row>
    <row r="696">
      <c r="A696" s="29">
        <f>[1]FİYATLAR!A696</f>
        <v/>
      </c>
      <c r="B696" s="29">
        <f>[1]FİYATLAR!B696</f>
        <v/>
      </c>
      <c r="C696" s="35">
        <f>INT(A696)</f>
        <v/>
      </c>
      <c r="D696" s="36">
        <f>MONTH(A696)</f>
        <v/>
      </c>
      <c r="F696" s="30">
        <f>[1]FİYATLAR!C696</f>
        <v/>
      </c>
      <c r="G696" s="30">
        <f>[1]FİYATLAR!D696</f>
        <v/>
      </c>
      <c r="H696">
        <f>E696*F696</f>
        <v/>
      </c>
      <c r="I696">
        <f>E696*G696</f>
        <v/>
      </c>
    </row>
    <row r="697">
      <c r="A697" s="29">
        <f>[1]FİYATLAR!A697</f>
        <v/>
      </c>
      <c r="B697" s="29">
        <f>[1]FİYATLAR!B697</f>
        <v/>
      </c>
      <c r="C697" s="35">
        <f>INT(A697)</f>
        <v/>
      </c>
      <c r="D697" s="36">
        <f>MONTH(A697)</f>
        <v/>
      </c>
      <c r="F697" s="30">
        <f>[1]FİYATLAR!C697</f>
        <v/>
      </c>
      <c r="G697" s="30">
        <f>[1]FİYATLAR!D697</f>
        <v/>
      </c>
      <c r="H697">
        <f>E697*F697</f>
        <v/>
      </c>
      <c r="I697">
        <f>E697*G697</f>
        <v/>
      </c>
    </row>
    <row r="698">
      <c r="A698" s="29">
        <f>[1]FİYATLAR!A698</f>
        <v/>
      </c>
      <c r="B698" s="29">
        <f>[1]FİYATLAR!B698</f>
        <v/>
      </c>
      <c r="C698" s="35">
        <f>INT(A698)</f>
        <v/>
      </c>
      <c r="D698" s="36">
        <f>MONTH(A698)</f>
        <v/>
      </c>
      <c r="F698" s="30">
        <f>[1]FİYATLAR!C698</f>
        <v/>
      </c>
      <c r="G698" s="30">
        <f>[1]FİYATLAR!D698</f>
        <v/>
      </c>
      <c r="H698">
        <f>E698*F698</f>
        <v/>
      </c>
      <c r="I698">
        <f>E698*G698</f>
        <v/>
      </c>
    </row>
    <row r="699">
      <c r="A699" s="29">
        <f>[1]FİYATLAR!A699</f>
        <v/>
      </c>
      <c r="B699" s="29">
        <f>[1]FİYATLAR!B699</f>
        <v/>
      </c>
      <c r="C699" s="35">
        <f>INT(A699)</f>
        <v/>
      </c>
      <c r="D699" s="36">
        <f>MONTH(A699)</f>
        <v/>
      </c>
      <c r="F699" s="30">
        <f>[1]FİYATLAR!C699</f>
        <v/>
      </c>
      <c r="G699" s="30">
        <f>[1]FİYATLAR!D699</f>
        <v/>
      </c>
      <c r="H699">
        <f>E699*F699</f>
        <v/>
      </c>
      <c r="I699">
        <f>E699*G699</f>
        <v/>
      </c>
    </row>
    <row r="700">
      <c r="A700" s="29">
        <f>[1]FİYATLAR!A700</f>
        <v/>
      </c>
      <c r="B700" s="29">
        <f>[1]FİYATLAR!B700</f>
        <v/>
      </c>
      <c r="C700" s="35">
        <f>INT(A700)</f>
        <v/>
      </c>
      <c r="D700" s="36">
        <f>MONTH(A700)</f>
        <v/>
      </c>
      <c r="F700" s="30">
        <f>[1]FİYATLAR!C700</f>
        <v/>
      </c>
      <c r="G700" s="30">
        <f>[1]FİYATLAR!D700</f>
        <v/>
      </c>
      <c r="H700">
        <f>E700*F700</f>
        <v/>
      </c>
      <c r="I700">
        <f>E700*G700</f>
        <v/>
      </c>
    </row>
    <row r="701">
      <c r="A701" s="29">
        <f>[1]FİYATLAR!A701</f>
        <v/>
      </c>
      <c r="B701" s="29">
        <f>[1]FİYATLAR!B701</f>
        <v/>
      </c>
      <c r="C701" s="35">
        <f>INT(A701)</f>
        <v/>
      </c>
      <c r="D701" s="36">
        <f>MONTH(A701)</f>
        <v/>
      </c>
      <c r="F701" s="30">
        <f>[1]FİYATLAR!C701</f>
        <v/>
      </c>
      <c r="G701" s="30">
        <f>[1]FİYATLAR!D701</f>
        <v/>
      </c>
      <c r="H701">
        <f>E701*F701</f>
        <v/>
      </c>
      <c r="I701">
        <f>E701*G701</f>
        <v/>
      </c>
    </row>
    <row r="702">
      <c r="A702" s="29">
        <f>[1]FİYATLAR!A702</f>
        <v/>
      </c>
      <c r="B702" s="29">
        <f>[1]FİYATLAR!B702</f>
        <v/>
      </c>
      <c r="C702" s="35">
        <f>INT(A702)</f>
        <v/>
      </c>
      <c r="D702" s="36">
        <f>MONTH(A702)</f>
        <v/>
      </c>
      <c r="F702" s="30">
        <f>[1]FİYATLAR!C702</f>
        <v/>
      </c>
      <c r="G702" s="30">
        <f>[1]FİYATLAR!D702</f>
        <v/>
      </c>
      <c r="H702">
        <f>E702*F702</f>
        <v/>
      </c>
      <c r="I702">
        <f>E702*G702</f>
        <v/>
      </c>
    </row>
    <row r="703">
      <c r="A703" s="29">
        <f>[1]FİYATLAR!A703</f>
        <v/>
      </c>
      <c r="B703" s="29">
        <f>[1]FİYATLAR!B703</f>
        <v/>
      </c>
      <c r="C703" s="35">
        <f>INT(A703)</f>
        <v/>
      </c>
      <c r="D703" s="36">
        <f>MONTH(A703)</f>
        <v/>
      </c>
      <c r="F703" s="30">
        <f>[1]FİYATLAR!C703</f>
        <v/>
      </c>
      <c r="G703" s="30">
        <f>[1]FİYATLAR!D703</f>
        <v/>
      </c>
      <c r="H703">
        <f>E703*F703</f>
        <v/>
      </c>
      <c r="I703">
        <f>E703*G703</f>
        <v/>
      </c>
    </row>
    <row r="704">
      <c r="A704" s="29">
        <f>[1]FİYATLAR!A704</f>
        <v/>
      </c>
      <c r="B704" s="29">
        <f>[1]FİYATLAR!B704</f>
        <v/>
      </c>
      <c r="C704" s="35">
        <f>INT(A704)</f>
        <v/>
      </c>
      <c r="D704" s="36">
        <f>MONTH(A704)</f>
        <v/>
      </c>
      <c r="F704" s="30">
        <f>[1]FİYATLAR!C704</f>
        <v/>
      </c>
      <c r="G704" s="30">
        <f>[1]FİYATLAR!D704</f>
        <v/>
      </c>
      <c r="H704">
        <f>E704*F704</f>
        <v/>
      </c>
      <c r="I704">
        <f>E704*G704</f>
        <v/>
      </c>
    </row>
    <row r="705">
      <c r="A705" s="29">
        <f>[1]FİYATLAR!A705</f>
        <v/>
      </c>
      <c r="B705" s="29">
        <f>[1]FİYATLAR!B705</f>
        <v/>
      </c>
      <c r="C705" s="35">
        <f>INT(A705)</f>
        <v/>
      </c>
      <c r="D705" s="36">
        <f>MONTH(A705)</f>
        <v/>
      </c>
      <c r="F705" s="30">
        <f>[1]FİYATLAR!C705</f>
        <v/>
      </c>
      <c r="G705" s="30">
        <f>[1]FİYATLAR!D705</f>
        <v/>
      </c>
      <c r="H705">
        <f>E705*F705</f>
        <v/>
      </c>
      <c r="I705">
        <f>E705*G705</f>
        <v/>
      </c>
    </row>
    <row r="706">
      <c r="A706" s="29">
        <f>[1]FİYATLAR!A706</f>
        <v/>
      </c>
      <c r="B706" s="29">
        <f>[1]FİYATLAR!B706</f>
        <v/>
      </c>
      <c r="C706" s="35">
        <f>INT(A706)</f>
        <v/>
      </c>
      <c r="D706" s="36">
        <f>MONTH(A706)</f>
        <v/>
      </c>
      <c r="F706" s="30">
        <f>[1]FİYATLAR!C706</f>
        <v/>
      </c>
      <c r="G706" s="30">
        <f>[1]FİYATLAR!D706</f>
        <v/>
      </c>
      <c r="H706">
        <f>E706*F706</f>
        <v/>
      </c>
      <c r="I706">
        <f>E706*G706</f>
        <v/>
      </c>
    </row>
    <row r="707">
      <c r="A707" s="29">
        <f>[1]FİYATLAR!A707</f>
        <v/>
      </c>
      <c r="B707" s="29">
        <f>[1]FİYATLAR!B707</f>
        <v/>
      </c>
      <c r="C707" s="35">
        <f>INT(A707)</f>
        <v/>
      </c>
      <c r="D707" s="36">
        <f>MONTH(A707)</f>
        <v/>
      </c>
      <c r="F707" s="30">
        <f>[1]FİYATLAR!C707</f>
        <v/>
      </c>
      <c r="G707" s="30">
        <f>[1]FİYATLAR!D707</f>
        <v/>
      </c>
      <c r="H707">
        <f>E707*F707</f>
        <v/>
      </c>
      <c r="I707">
        <f>E707*G707</f>
        <v/>
      </c>
    </row>
    <row r="708">
      <c r="A708" s="29">
        <f>[1]FİYATLAR!A708</f>
        <v/>
      </c>
      <c r="B708" s="29">
        <f>[1]FİYATLAR!B708</f>
        <v/>
      </c>
      <c r="C708" s="35">
        <f>INT(A708)</f>
        <v/>
      </c>
      <c r="D708" s="36">
        <f>MONTH(A708)</f>
        <v/>
      </c>
      <c r="F708" s="30">
        <f>[1]FİYATLAR!C708</f>
        <v/>
      </c>
      <c r="G708" s="30">
        <f>[1]FİYATLAR!D708</f>
        <v/>
      </c>
      <c r="H708">
        <f>E708*F708</f>
        <v/>
      </c>
      <c r="I708">
        <f>E708*G708</f>
        <v/>
      </c>
    </row>
    <row r="709">
      <c r="A709" s="29">
        <f>[1]FİYATLAR!A709</f>
        <v/>
      </c>
      <c r="B709" s="29">
        <f>[1]FİYATLAR!B709</f>
        <v/>
      </c>
      <c r="C709" s="35">
        <f>INT(A709)</f>
        <v/>
      </c>
      <c r="D709" s="36">
        <f>MONTH(A709)</f>
        <v/>
      </c>
      <c r="F709" s="30">
        <f>[1]FİYATLAR!C709</f>
        <v/>
      </c>
      <c r="G709" s="30">
        <f>[1]FİYATLAR!D709</f>
        <v/>
      </c>
      <c r="H709">
        <f>E709*F709</f>
        <v/>
      </c>
      <c r="I709">
        <f>E709*G709</f>
        <v/>
      </c>
    </row>
    <row r="710">
      <c r="A710" s="29">
        <f>[1]FİYATLAR!A710</f>
        <v/>
      </c>
      <c r="B710" s="29">
        <f>[1]FİYATLAR!B710</f>
        <v/>
      </c>
      <c r="C710" s="35">
        <f>INT(A710)</f>
        <v/>
      </c>
      <c r="D710" s="36">
        <f>MONTH(A710)</f>
        <v/>
      </c>
      <c r="F710" s="30">
        <f>[1]FİYATLAR!C710</f>
        <v/>
      </c>
      <c r="G710" s="30">
        <f>[1]FİYATLAR!D710</f>
        <v/>
      </c>
      <c r="H710">
        <f>E710*F710</f>
        <v/>
      </c>
      <c r="I710">
        <f>E710*G710</f>
        <v/>
      </c>
    </row>
    <row r="711">
      <c r="A711" s="29">
        <f>[1]FİYATLAR!A711</f>
        <v/>
      </c>
      <c r="B711" s="29">
        <f>[1]FİYATLAR!B711</f>
        <v/>
      </c>
      <c r="C711" s="35">
        <f>INT(A711)</f>
        <v/>
      </c>
      <c r="D711" s="36">
        <f>MONTH(A711)</f>
        <v/>
      </c>
      <c r="F711" s="30">
        <f>[1]FİYATLAR!C711</f>
        <v/>
      </c>
      <c r="G711" s="30">
        <f>[1]FİYATLAR!D711</f>
        <v/>
      </c>
      <c r="H711">
        <f>E711*F711</f>
        <v/>
      </c>
      <c r="I711">
        <f>E711*G711</f>
        <v/>
      </c>
    </row>
    <row r="712">
      <c r="A712" s="29">
        <f>[1]FİYATLAR!A712</f>
        <v/>
      </c>
      <c r="B712" s="29">
        <f>[1]FİYATLAR!B712</f>
        <v/>
      </c>
      <c r="C712" s="35">
        <f>INT(A712)</f>
        <v/>
      </c>
      <c r="D712" s="36">
        <f>MONTH(A712)</f>
        <v/>
      </c>
      <c r="F712" s="30">
        <f>[1]FİYATLAR!C712</f>
        <v/>
      </c>
      <c r="G712" s="30">
        <f>[1]FİYATLAR!D712</f>
        <v/>
      </c>
      <c r="H712">
        <f>E712*F712</f>
        <v/>
      </c>
      <c r="I712">
        <f>E712*G712</f>
        <v/>
      </c>
    </row>
    <row r="713">
      <c r="A713" s="29">
        <f>[1]FİYATLAR!A713</f>
        <v/>
      </c>
      <c r="B713" s="29">
        <f>[1]FİYATLAR!B713</f>
        <v/>
      </c>
      <c r="C713" s="35">
        <f>INT(A713)</f>
        <v/>
      </c>
      <c r="D713" s="36">
        <f>MONTH(A713)</f>
        <v/>
      </c>
      <c r="F713" s="30">
        <f>[1]FİYATLAR!C713</f>
        <v/>
      </c>
      <c r="G713" s="30">
        <f>[1]FİYATLAR!D713</f>
        <v/>
      </c>
      <c r="H713">
        <f>E713*F713</f>
        <v/>
      </c>
      <c r="I713">
        <f>E713*G713</f>
        <v/>
      </c>
    </row>
    <row r="714">
      <c r="A714" s="29">
        <f>[1]FİYATLAR!A714</f>
        <v/>
      </c>
      <c r="B714" s="29">
        <f>[1]FİYATLAR!B714</f>
        <v/>
      </c>
      <c r="C714" s="35">
        <f>INT(A714)</f>
        <v/>
      </c>
      <c r="D714" s="36">
        <f>MONTH(A714)</f>
        <v/>
      </c>
      <c r="F714" s="30">
        <f>[1]FİYATLAR!C714</f>
        <v/>
      </c>
      <c r="G714" s="30">
        <f>[1]FİYATLAR!D714</f>
        <v/>
      </c>
      <c r="H714">
        <f>E714*F714</f>
        <v/>
      </c>
      <c r="I714">
        <f>E714*G714</f>
        <v/>
      </c>
    </row>
    <row r="715">
      <c r="A715" s="29">
        <f>[1]FİYATLAR!A715</f>
        <v/>
      </c>
      <c r="B715" s="29">
        <f>[1]FİYATLAR!B715</f>
        <v/>
      </c>
      <c r="C715" s="35">
        <f>INT(A715)</f>
        <v/>
      </c>
      <c r="D715" s="36">
        <f>MONTH(A715)</f>
        <v/>
      </c>
      <c r="F715" s="30">
        <f>[1]FİYATLAR!C715</f>
        <v/>
      </c>
      <c r="G715" s="30">
        <f>[1]FİYATLAR!D715</f>
        <v/>
      </c>
      <c r="H715">
        <f>E715*F715</f>
        <v/>
      </c>
      <c r="I715">
        <f>E715*G715</f>
        <v/>
      </c>
    </row>
    <row r="716">
      <c r="A716" s="29">
        <f>[1]FİYATLAR!A716</f>
        <v/>
      </c>
      <c r="B716" s="29">
        <f>[1]FİYATLAR!B716</f>
        <v/>
      </c>
      <c r="C716" s="35">
        <f>INT(A716)</f>
        <v/>
      </c>
      <c r="D716" s="36">
        <f>MONTH(A716)</f>
        <v/>
      </c>
      <c r="F716" s="30">
        <f>[1]FİYATLAR!C716</f>
        <v/>
      </c>
      <c r="G716" s="30">
        <f>[1]FİYATLAR!D716</f>
        <v/>
      </c>
      <c r="H716">
        <f>E716*F716</f>
        <v/>
      </c>
      <c r="I716">
        <f>E716*G716</f>
        <v/>
      </c>
    </row>
    <row r="717">
      <c r="A717" s="29">
        <f>[1]FİYATLAR!A717</f>
        <v/>
      </c>
      <c r="B717" s="29">
        <f>[1]FİYATLAR!B717</f>
        <v/>
      </c>
      <c r="C717" s="35">
        <f>INT(A717)</f>
        <v/>
      </c>
      <c r="D717" s="36">
        <f>MONTH(A717)</f>
        <v/>
      </c>
      <c r="F717" s="30">
        <f>[1]FİYATLAR!C717</f>
        <v/>
      </c>
      <c r="G717" s="30">
        <f>[1]FİYATLAR!D717</f>
        <v/>
      </c>
      <c r="H717">
        <f>E717*F717</f>
        <v/>
      </c>
      <c r="I717">
        <f>E717*G717</f>
        <v/>
      </c>
    </row>
    <row r="718">
      <c r="A718" s="29">
        <f>[1]FİYATLAR!A718</f>
        <v/>
      </c>
      <c r="B718" s="29">
        <f>[1]FİYATLAR!B718</f>
        <v/>
      </c>
      <c r="C718" s="35">
        <f>INT(A718)</f>
        <v/>
      </c>
      <c r="D718" s="36">
        <f>MONTH(A718)</f>
        <v/>
      </c>
      <c r="F718" s="30">
        <f>[1]FİYATLAR!C718</f>
        <v/>
      </c>
      <c r="G718" s="30">
        <f>[1]FİYATLAR!D718</f>
        <v/>
      </c>
      <c r="H718">
        <f>E718*F718</f>
        <v/>
      </c>
      <c r="I718">
        <f>E718*G718</f>
        <v/>
      </c>
    </row>
    <row r="719">
      <c r="A719" s="29">
        <f>[1]FİYATLAR!A719</f>
        <v/>
      </c>
      <c r="B719" s="29">
        <f>[1]FİYATLAR!B719</f>
        <v/>
      </c>
      <c r="C719" s="35">
        <f>INT(A719)</f>
        <v/>
      </c>
      <c r="D719" s="36">
        <f>MONTH(A719)</f>
        <v/>
      </c>
      <c r="F719" s="30">
        <f>[1]FİYATLAR!C719</f>
        <v/>
      </c>
      <c r="G719" s="30">
        <f>[1]FİYATLAR!D719</f>
        <v/>
      </c>
      <c r="H719">
        <f>E719*F719</f>
        <v/>
      </c>
      <c r="I719">
        <f>E719*G719</f>
        <v/>
      </c>
    </row>
    <row r="720">
      <c r="A720" s="29">
        <f>[1]FİYATLAR!A720</f>
        <v/>
      </c>
      <c r="B720" s="29">
        <f>[1]FİYATLAR!B720</f>
        <v/>
      </c>
      <c r="C720" s="35">
        <f>INT(A720)</f>
        <v/>
      </c>
      <c r="D720" s="36">
        <f>MONTH(A720)</f>
        <v/>
      </c>
      <c r="F720" s="30">
        <f>[1]FİYATLAR!C720</f>
        <v/>
      </c>
      <c r="G720" s="30">
        <f>[1]FİYATLAR!D720</f>
        <v/>
      </c>
      <c r="H720">
        <f>E720*F720</f>
        <v/>
      </c>
      <c r="I720">
        <f>E720*G720</f>
        <v/>
      </c>
    </row>
    <row r="721">
      <c r="A721" s="29">
        <f>[1]FİYATLAR!A721</f>
        <v/>
      </c>
      <c r="B721" s="29">
        <f>[1]FİYATLAR!B721</f>
        <v/>
      </c>
      <c r="C721" s="35">
        <f>INT(A721)</f>
        <v/>
      </c>
      <c r="D721" s="36">
        <f>MONTH(A721)</f>
        <v/>
      </c>
      <c r="F721" s="30">
        <f>[1]FİYATLAR!C721</f>
        <v/>
      </c>
      <c r="G721" s="30">
        <f>[1]FİYATLAR!D721</f>
        <v/>
      </c>
      <c r="H721">
        <f>E721*F721</f>
        <v/>
      </c>
      <c r="I721">
        <f>E721*G721</f>
        <v/>
      </c>
    </row>
    <row r="722">
      <c r="A722" s="29">
        <f>[1]FİYATLAR!A722</f>
        <v/>
      </c>
      <c r="B722" s="29">
        <f>[1]FİYATLAR!B722</f>
        <v/>
      </c>
      <c r="C722" s="35">
        <f>INT(A722)</f>
        <v/>
      </c>
      <c r="D722" s="36">
        <f>MONTH(A722)</f>
        <v/>
      </c>
      <c r="F722" s="30">
        <f>[1]FİYATLAR!C722</f>
        <v/>
      </c>
      <c r="G722" s="30">
        <f>[1]FİYATLAR!D722</f>
        <v/>
      </c>
      <c r="H722">
        <f>E722*F722</f>
        <v/>
      </c>
      <c r="I722">
        <f>E722*G722</f>
        <v/>
      </c>
    </row>
    <row r="723">
      <c r="A723" s="29">
        <f>[1]FİYATLAR!A723</f>
        <v/>
      </c>
      <c r="B723" s="29">
        <f>[1]FİYATLAR!B723</f>
        <v/>
      </c>
      <c r="C723" s="35">
        <f>INT(A723)</f>
        <v/>
      </c>
      <c r="D723" s="36">
        <f>MONTH(A723)</f>
        <v/>
      </c>
      <c r="F723" s="30">
        <f>[1]FİYATLAR!C723</f>
        <v/>
      </c>
      <c r="G723" s="30">
        <f>[1]FİYATLAR!D723</f>
        <v/>
      </c>
      <c r="H723">
        <f>E723*F723</f>
        <v/>
      </c>
      <c r="I723">
        <f>E723*G723</f>
        <v/>
      </c>
    </row>
    <row r="724">
      <c r="A724" s="29">
        <f>[1]FİYATLAR!A724</f>
        <v/>
      </c>
      <c r="B724" s="29">
        <f>[1]FİYATLAR!B724</f>
        <v/>
      </c>
      <c r="C724" s="35">
        <f>INT(A724)</f>
        <v/>
      </c>
      <c r="D724" s="36">
        <f>MONTH(A724)</f>
        <v/>
      </c>
      <c r="F724" s="30">
        <f>[1]FİYATLAR!C724</f>
        <v/>
      </c>
      <c r="G724" s="30">
        <f>[1]FİYATLAR!D724</f>
        <v/>
      </c>
      <c r="H724">
        <f>E724*F724</f>
        <v/>
      </c>
      <c r="I724">
        <f>E724*G724</f>
        <v/>
      </c>
    </row>
    <row r="725">
      <c r="A725" s="29">
        <f>[1]FİYATLAR!A725</f>
        <v/>
      </c>
      <c r="B725" s="29">
        <f>[1]FİYATLAR!B725</f>
        <v/>
      </c>
      <c r="C725" s="35">
        <f>INT(A725)</f>
        <v/>
      </c>
      <c r="D725" s="36">
        <f>MONTH(A725)</f>
        <v/>
      </c>
      <c r="F725" s="30">
        <f>[1]FİYATLAR!C725</f>
        <v/>
      </c>
      <c r="G725" s="30">
        <f>[1]FİYATLAR!D725</f>
        <v/>
      </c>
      <c r="H725">
        <f>E725*F725</f>
        <v/>
      </c>
      <c r="I725">
        <f>E725*G725</f>
        <v/>
      </c>
    </row>
    <row r="726">
      <c r="A726" s="29">
        <f>[1]FİYATLAR!A726</f>
        <v/>
      </c>
      <c r="B726" s="29">
        <f>[1]FİYATLAR!B726</f>
        <v/>
      </c>
      <c r="C726" s="35">
        <f>INT(A726)</f>
        <v/>
      </c>
      <c r="D726" s="36">
        <f>MONTH(A726)</f>
        <v/>
      </c>
      <c r="F726" s="30">
        <f>[1]FİYATLAR!C726</f>
        <v/>
      </c>
      <c r="G726" s="30">
        <f>[1]FİYATLAR!D726</f>
        <v/>
      </c>
      <c r="H726">
        <f>E726*F726</f>
        <v/>
      </c>
      <c r="I726">
        <f>E726*G726</f>
        <v/>
      </c>
    </row>
    <row r="727">
      <c r="A727" s="29">
        <f>[1]FİYATLAR!A727</f>
        <v/>
      </c>
      <c r="B727" s="29">
        <f>[1]FİYATLAR!B727</f>
        <v/>
      </c>
      <c r="C727" s="35">
        <f>INT(A727)</f>
        <v/>
      </c>
      <c r="D727" s="36">
        <f>MONTH(A727)</f>
        <v/>
      </c>
      <c r="F727" s="30">
        <f>[1]FİYATLAR!C727</f>
        <v/>
      </c>
      <c r="G727" s="30">
        <f>[1]FİYATLAR!D727</f>
        <v/>
      </c>
      <c r="H727">
        <f>E727*F727</f>
        <v/>
      </c>
      <c r="I727">
        <f>E727*G727</f>
        <v/>
      </c>
    </row>
    <row r="728">
      <c r="A728" s="29">
        <f>[1]FİYATLAR!A728</f>
        <v/>
      </c>
      <c r="B728" s="29">
        <f>[1]FİYATLAR!B728</f>
        <v/>
      </c>
      <c r="C728" s="35">
        <f>INT(A728)</f>
        <v/>
      </c>
      <c r="D728" s="36">
        <f>MONTH(A728)</f>
        <v/>
      </c>
      <c r="F728" s="30">
        <f>[1]FİYATLAR!C728</f>
        <v/>
      </c>
      <c r="G728" s="30">
        <f>[1]FİYATLAR!D728</f>
        <v/>
      </c>
      <c r="H728">
        <f>E728*F728</f>
        <v/>
      </c>
      <c r="I728">
        <f>E728*G728</f>
        <v/>
      </c>
    </row>
    <row r="729">
      <c r="A729" s="29">
        <f>[1]FİYATLAR!A729</f>
        <v/>
      </c>
      <c r="B729" s="29">
        <f>[1]FİYATLAR!B729</f>
        <v/>
      </c>
      <c r="C729" s="35">
        <f>INT(A729)</f>
        <v/>
      </c>
      <c r="D729" s="36">
        <f>MONTH(A729)</f>
        <v/>
      </c>
      <c r="F729" s="30">
        <f>[1]FİYATLAR!C729</f>
        <v/>
      </c>
      <c r="G729" s="30">
        <f>[1]FİYATLAR!D729</f>
        <v/>
      </c>
      <c r="H729">
        <f>E729*F729</f>
        <v/>
      </c>
      <c r="I729">
        <f>E729*G729</f>
        <v/>
      </c>
    </row>
    <row r="730">
      <c r="A730" s="29">
        <f>[1]FİYATLAR!A730</f>
        <v/>
      </c>
      <c r="B730" s="29">
        <f>[1]FİYATLAR!B730</f>
        <v/>
      </c>
      <c r="C730" s="35">
        <f>INT(A730)</f>
        <v/>
      </c>
      <c r="D730" s="36">
        <f>MONTH(A730)</f>
        <v/>
      </c>
      <c r="F730" s="30">
        <f>[1]FİYATLAR!C730</f>
        <v/>
      </c>
      <c r="G730" s="30">
        <f>[1]FİYATLAR!D730</f>
        <v/>
      </c>
      <c r="H730">
        <f>E730*F730</f>
        <v/>
      </c>
      <c r="I730">
        <f>E730*G730</f>
        <v/>
      </c>
    </row>
    <row r="731">
      <c r="A731" s="29">
        <f>[1]FİYATLAR!A731</f>
        <v/>
      </c>
      <c r="B731" s="29">
        <f>[1]FİYATLAR!B731</f>
        <v/>
      </c>
      <c r="C731" s="35">
        <f>INT(A731)</f>
        <v/>
      </c>
      <c r="D731" s="36">
        <f>MONTH(A731)</f>
        <v/>
      </c>
      <c r="F731" s="30">
        <f>[1]FİYATLAR!C731</f>
        <v/>
      </c>
      <c r="G731" s="30">
        <f>[1]FİYATLAR!D731</f>
        <v/>
      </c>
      <c r="H731">
        <f>E731*F731</f>
        <v/>
      </c>
      <c r="I731">
        <f>E731*G731</f>
        <v/>
      </c>
    </row>
    <row r="732">
      <c r="A732" s="29">
        <f>[1]FİYATLAR!A732</f>
        <v/>
      </c>
      <c r="B732" s="29">
        <f>[1]FİYATLAR!B732</f>
        <v/>
      </c>
      <c r="C732" s="35">
        <f>INT(A732)</f>
        <v/>
      </c>
      <c r="D732" s="36">
        <f>MONTH(A732)</f>
        <v/>
      </c>
      <c r="F732" s="30">
        <f>[1]FİYATLAR!C732</f>
        <v/>
      </c>
      <c r="G732" s="30">
        <f>[1]FİYATLAR!D732</f>
        <v/>
      </c>
      <c r="H732">
        <f>E732*F732</f>
        <v/>
      </c>
      <c r="I732">
        <f>E732*G732</f>
        <v/>
      </c>
    </row>
    <row r="733">
      <c r="A733" s="29">
        <f>[1]FİYATLAR!A733</f>
        <v/>
      </c>
      <c r="B733" s="29">
        <f>[1]FİYATLAR!B733</f>
        <v/>
      </c>
      <c r="C733" s="35">
        <f>INT(A733)</f>
        <v/>
      </c>
      <c r="D733" s="36">
        <f>MONTH(A733)</f>
        <v/>
      </c>
      <c r="F733" s="30">
        <f>[1]FİYATLAR!C733</f>
        <v/>
      </c>
      <c r="G733" s="30">
        <f>[1]FİYATLAR!D733</f>
        <v/>
      </c>
      <c r="H733">
        <f>E733*F733</f>
        <v/>
      </c>
      <c r="I733">
        <f>E733*G733</f>
        <v/>
      </c>
    </row>
    <row r="734">
      <c r="A734" s="29">
        <f>[1]FİYATLAR!A734</f>
        <v/>
      </c>
      <c r="B734" s="29">
        <f>[1]FİYATLAR!B734</f>
        <v/>
      </c>
      <c r="C734" s="35">
        <f>INT(A734)</f>
        <v/>
      </c>
      <c r="D734" s="36">
        <f>MONTH(A734)</f>
        <v/>
      </c>
      <c r="F734" s="30">
        <f>[1]FİYATLAR!C734</f>
        <v/>
      </c>
      <c r="G734" s="30">
        <f>[1]FİYATLAR!D734</f>
        <v/>
      </c>
      <c r="H734">
        <f>E734*F734</f>
        <v/>
      </c>
      <c r="I734">
        <f>E734*G734</f>
        <v/>
      </c>
    </row>
    <row r="735">
      <c r="A735" s="29">
        <f>[1]FİYATLAR!A735</f>
        <v/>
      </c>
      <c r="B735" s="29">
        <f>[1]FİYATLAR!B735</f>
        <v/>
      </c>
      <c r="C735" s="35">
        <f>INT(A735)</f>
        <v/>
      </c>
      <c r="D735" s="36">
        <f>MONTH(A735)</f>
        <v/>
      </c>
      <c r="F735" s="30">
        <f>[1]FİYATLAR!C735</f>
        <v/>
      </c>
      <c r="G735" s="30">
        <f>[1]FİYATLAR!D735</f>
        <v/>
      </c>
      <c r="H735">
        <f>E735*F735</f>
        <v/>
      </c>
      <c r="I735">
        <f>E735*G735</f>
        <v/>
      </c>
    </row>
    <row r="736">
      <c r="A736" s="29">
        <f>[1]FİYATLAR!A736</f>
        <v/>
      </c>
      <c r="B736" s="29">
        <f>[1]FİYATLAR!B736</f>
        <v/>
      </c>
      <c r="C736" s="35">
        <f>INT(A736)</f>
        <v/>
      </c>
      <c r="D736" s="36">
        <f>MONTH(A736)</f>
        <v/>
      </c>
      <c r="F736" s="30">
        <f>[1]FİYATLAR!C736</f>
        <v/>
      </c>
      <c r="G736" s="30">
        <f>[1]FİYATLAR!D736</f>
        <v/>
      </c>
      <c r="H736">
        <f>E736*F736</f>
        <v/>
      </c>
      <c r="I736">
        <f>E736*G736</f>
        <v/>
      </c>
    </row>
    <row r="737">
      <c r="A737" s="29">
        <f>[1]FİYATLAR!A737</f>
        <v/>
      </c>
      <c r="B737" s="29">
        <f>[1]FİYATLAR!B737</f>
        <v/>
      </c>
      <c r="C737" s="35">
        <f>INT(A737)</f>
        <v/>
      </c>
      <c r="D737" s="36">
        <f>MONTH(A737)</f>
        <v/>
      </c>
      <c r="F737" s="30">
        <f>[1]FİYATLAR!C737</f>
        <v/>
      </c>
      <c r="G737" s="30">
        <f>[1]FİYATLAR!D737</f>
        <v/>
      </c>
      <c r="H737">
        <f>E737*F737</f>
        <v/>
      </c>
      <c r="I737">
        <f>E737*G737</f>
        <v/>
      </c>
    </row>
    <row r="738">
      <c r="A738" s="29">
        <f>[1]FİYATLAR!A738</f>
        <v/>
      </c>
      <c r="B738" s="29">
        <f>[1]FİYATLAR!B738</f>
        <v/>
      </c>
      <c r="C738" s="35">
        <f>INT(A738)</f>
        <v/>
      </c>
      <c r="D738" s="36">
        <f>MONTH(A738)</f>
        <v/>
      </c>
      <c r="F738" s="30">
        <f>[1]FİYATLAR!C738</f>
        <v/>
      </c>
      <c r="G738" s="30">
        <f>[1]FİYATLAR!D738</f>
        <v/>
      </c>
      <c r="H738">
        <f>E738*F738</f>
        <v/>
      </c>
      <c r="I738">
        <f>E738*G738</f>
        <v/>
      </c>
    </row>
    <row r="739">
      <c r="A739" s="29">
        <f>[1]FİYATLAR!A739</f>
        <v/>
      </c>
      <c r="B739" s="29">
        <f>[1]FİYATLAR!B739</f>
        <v/>
      </c>
      <c r="C739" s="35">
        <f>INT(A739)</f>
        <v/>
      </c>
      <c r="D739" s="36">
        <f>MONTH(A739)</f>
        <v/>
      </c>
      <c r="F739" s="30">
        <f>[1]FİYATLAR!C739</f>
        <v/>
      </c>
      <c r="G739" s="30">
        <f>[1]FİYATLAR!D739</f>
        <v/>
      </c>
      <c r="H739">
        <f>E739*F739</f>
        <v/>
      </c>
      <c r="I739">
        <f>E739*G739</f>
        <v/>
      </c>
    </row>
    <row r="740">
      <c r="A740" s="29">
        <f>[1]FİYATLAR!A740</f>
        <v/>
      </c>
      <c r="B740" s="29">
        <f>[1]FİYATLAR!B740</f>
        <v/>
      </c>
      <c r="C740" s="35">
        <f>INT(A740)</f>
        <v/>
      </c>
      <c r="D740" s="36">
        <f>MONTH(A740)</f>
        <v/>
      </c>
      <c r="F740" s="30">
        <f>[1]FİYATLAR!C740</f>
        <v/>
      </c>
      <c r="G740" s="30">
        <f>[1]FİYATLAR!D740</f>
        <v/>
      </c>
      <c r="H740">
        <f>E740*F740</f>
        <v/>
      </c>
      <c r="I740">
        <f>E740*G740</f>
        <v/>
      </c>
    </row>
    <row r="741">
      <c r="A741" s="29">
        <f>[1]FİYATLAR!A741</f>
        <v/>
      </c>
      <c r="B741" s="29">
        <f>[1]FİYATLAR!B741</f>
        <v/>
      </c>
      <c r="C741" s="35">
        <f>INT(A741)</f>
        <v/>
      </c>
      <c r="D741" s="36">
        <f>MONTH(A741)</f>
        <v/>
      </c>
      <c r="F741" s="30">
        <f>[1]FİYATLAR!C741</f>
        <v/>
      </c>
      <c r="G741" s="30">
        <f>[1]FİYATLAR!D741</f>
        <v/>
      </c>
      <c r="H741">
        <f>E741*F741</f>
        <v/>
      </c>
      <c r="I741">
        <f>E741*G741</f>
        <v/>
      </c>
    </row>
    <row r="742">
      <c r="A742" s="29">
        <f>[1]FİYATLAR!A742</f>
        <v/>
      </c>
      <c r="B742" s="29">
        <f>[1]FİYATLAR!B742</f>
        <v/>
      </c>
      <c r="C742" s="35">
        <f>INT(A742)</f>
        <v/>
      </c>
      <c r="D742" s="36">
        <f>MONTH(A742)</f>
        <v/>
      </c>
      <c r="F742" s="30">
        <f>[1]FİYATLAR!C742</f>
        <v/>
      </c>
      <c r="G742" s="30">
        <f>[1]FİYATLAR!D742</f>
        <v/>
      </c>
      <c r="H742">
        <f>E742*F742</f>
        <v/>
      </c>
      <c r="I742">
        <f>E742*G742</f>
        <v/>
      </c>
    </row>
    <row r="743">
      <c r="A743" s="29">
        <f>[1]FİYATLAR!A743</f>
        <v/>
      </c>
      <c r="B743" s="29">
        <f>[1]FİYATLAR!B743</f>
        <v/>
      </c>
      <c r="C743" s="35">
        <f>INT(A743)</f>
        <v/>
      </c>
      <c r="D743" s="36">
        <f>MONTH(A743)</f>
        <v/>
      </c>
      <c r="F743" s="30">
        <f>[1]FİYATLAR!C743</f>
        <v/>
      </c>
      <c r="G743" s="30">
        <f>[1]FİYATLAR!D743</f>
        <v/>
      </c>
      <c r="H743">
        <f>E743*F743</f>
        <v/>
      </c>
      <c r="I743">
        <f>E743*G743</f>
        <v/>
      </c>
    </row>
    <row r="744">
      <c r="A744" s="29">
        <f>[1]FİYATLAR!A744</f>
        <v/>
      </c>
      <c r="B744" s="29">
        <f>[1]FİYATLAR!B744</f>
        <v/>
      </c>
      <c r="C744" s="35">
        <f>INT(A744)</f>
        <v/>
      </c>
      <c r="D744" s="36">
        <f>MONTH(A744)</f>
        <v/>
      </c>
      <c r="F744" s="30">
        <f>[1]FİYATLAR!C744</f>
        <v/>
      </c>
      <c r="G744" s="30">
        <f>[1]FİYATLAR!D744</f>
        <v/>
      </c>
      <c r="H744">
        <f>E744*F744</f>
        <v/>
      </c>
      <c r="I744">
        <f>E744*G744</f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33"/>
  <sheetViews>
    <sheetView showGridLines="0" zoomScale="70" zoomScaleNormal="70" workbookViewId="0">
      <selection activeCell="B4" sqref="B4"/>
    </sheetView>
  </sheetViews>
  <sheetFormatPr baseColWidth="8" defaultRowHeight="14.4"/>
  <cols>
    <col width="3.33203125" bestFit="1" customWidth="1" style="188" min="1" max="1"/>
    <col width="10.5546875" bestFit="1" customWidth="1" style="19" min="2" max="2"/>
    <col width="10" bestFit="1" customWidth="1" style="188" min="3" max="4"/>
    <col width="11.5546875" bestFit="1" customWidth="1" style="188" min="5" max="5"/>
    <col width="16.33203125" customWidth="1" style="188" min="6" max="6"/>
    <col width="13" customWidth="1" style="188" min="7" max="7"/>
    <col width="15.33203125" customWidth="1" style="188" min="8" max="9"/>
    <col width="14.88671875" customWidth="1" style="209" min="10" max="12"/>
    <col width="12.33203125" customWidth="1" style="188" min="13" max="15"/>
    <col width="15" customWidth="1" style="188" min="16" max="16"/>
    <col width="16" customWidth="1" style="188" min="17" max="18"/>
    <col width="15.33203125" customWidth="1" style="188" min="19" max="19"/>
    <col width="12.33203125" customWidth="1" style="188" min="20" max="20"/>
    <col width="10.6640625" bestFit="1" customWidth="1" style="188" min="21" max="21"/>
    <col width="10.6640625" customWidth="1" style="188" min="22" max="22"/>
    <col width="12.33203125" customWidth="1" style="188" min="23" max="23"/>
    <col width="14.109375" bestFit="1" customWidth="1" style="188" min="24" max="24"/>
    <col width="12.33203125" customWidth="1" style="188" min="25" max="28"/>
    <col width="14.5546875" customWidth="1" style="188" min="29" max="29"/>
    <col width="14.33203125" customWidth="1" style="188" min="30" max="30"/>
    <col width="17.109375" customWidth="1" style="188" min="31" max="31"/>
    <col width="12.33203125" customWidth="1" style="188" min="32" max="38"/>
    <col width="10.6640625" customWidth="1" style="188" min="39" max="40"/>
    <col width="13.5546875" customWidth="1" style="188" min="41" max="41"/>
  </cols>
  <sheetData>
    <row r="1">
      <c r="M1" s="162" t="inlineStr">
        <is>
          <t>GİP ÖNCESİ</t>
        </is>
      </c>
      <c r="N1" s="212" t="n"/>
      <c r="O1" s="212" t="n"/>
      <c r="P1" s="212" t="n"/>
      <c r="Q1" s="212" t="n"/>
      <c r="R1" s="212" t="n"/>
      <c r="S1" s="212" t="n"/>
      <c r="T1" s="212" t="n"/>
      <c r="U1" s="212" t="n"/>
      <c r="V1" s="212" t="n"/>
      <c r="W1" s="212" t="n"/>
      <c r="X1" s="213" t="n"/>
      <c r="Y1" s="160" t="inlineStr">
        <is>
          <t>GİP SONRASI</t>
        </is>
      </c>
      <c r="Z1" s="214" t="n"/>
      <c r="AA1" s="214" t="n"/>
      <c r="AB1" s="214" t="n"/>
      <c r="AC1" s="214" t="n"/>
      <c r="AD1" s="214" t="n"/>
      <c r="AE1" s="214" t="n"/>
      <c r="AF1" s="214" t="n"/>
      <c r="AG1" s="214" t="n"/>
      <c r="AH1" s="214" t="n"/>
      <c r="AI1" s="214" t="n"/>
      <c r="AJ1" s="214" t="n"/>
      <c r="AK1" s="214" t="n"/>
      <c r="AL1" s="214" t="n"/>
    </row>
    <row r="2" ht="72" customFormat="1" customHeight="1" s="9">
      <c r="B2" s="20" t="inlineStr">
        <is>
          <t>AY</t>
        </is>
      </c>
      <c r="C2" s="15" t="inlineStr">
        <is>
          <t>PTF (TL/MWh)</t>
        </is>
      </c>
      <c r="D2" s="15" t="inlineStr">
        <is>
          <t>SMF (TL/MWh)</t>
        </is>
      </c>
      <c r="E2" s="15" t="inlineStr">
        <is>
          <t>PTF (USD/MWh)</t>
        </is>
      </c>
      <c r="F2" s="15" t="inlineStr">
        <is>
          <t>İdeal Tutar(TL)</t>
        </is>
      </c>
      <c r="G2" s="15" t="inlineStr">
        <is>
          <t>UEVM(MWh)</t>
        </is>
      </c>
      <c r="H2" s="15" t="inlineStr">
        <is>
          <t>A.O. PTF(TL/MWh)</t>
        </is>
      </c>
      <c r="I2" s="15" t="inlineStr">
        <is>
          <t>GÖP Tahmini Üretim (MWh)</t>
        </is>
      </c>
      <c r="J2" s="215" t="inlineStr">
        <is>
          <t>GÖP Tutar(TL)</t>
        </is>
      </c>
      <c r="K2" s="215" t="inlineStr">
        <is>
          <t>İA Tutar(TL)</t>
        </is>
      </c>
      <c r="L2" s="215" t="inlineStr">
        <is>
          <t>GİP Tutar(TL)</t>
        </is>
      </c>
      <c r="M2" s="11" t="inlineStr">
        <is>
          <t>İlk KUPST(TL)</t>
        </is>
      </c>
      <c r="N2" s="11" t="inlineStr">
        <is>
          <t>Mutlak EDM(MWh)</t>
        </is>
      </c>
      <c r="O2" s="11" t="inlineStr">
        <is>
          <t>EDM(MWh)</t>
        </is>
      </c>
      <c r="P2" s="11" t="inlineStr">
        <is>
          <t>EDT(TL)</t>
        </is>
      </c>
      <c r="Q2" s="11" t="inlineStr">
        <is>
          <t>Net Kazanılan Tutar(TL)</t>
        </is>
      </c>
      <c r="R2" s="11" t="inlineStr">
        <is>
          <t>Dengesizlik Maliyeti(TL)</t>
        </is>
      </c>
      <c r="S2" s="11" t="inlineStr">
        <is>
          <t>Toplam Maliyet(TL)</t>
        </is>
      </c>
      <c r="T2" s="12" t="inlineStr">
        <is>
          <t>A.O. PTF(TL/MWh)</t>
        </is>
      </c>
      <c r="U2" s="12" t="inlineStr">
        <is>
          <t>Birim Maliyet(TL/MWh)</t>
        </is>
      </c>
      <c r="V2" s="12" t="inlineStr">
        <is>
          <t>Birim Maliyet(%)</t>
        </is>
      </c>
      <c r="W2" s="12" t="inlineStr">
        <is>
          <t>Dengesizlik Oranı (%)</t>
        </is>
      </c>
      <c r="X2" s="12" t="inlineStr">
        <is>
          <t>Dengesizlik Oranı&gt;%10 Miktarı</t>
        </is>
      </c>
      <c r="Y2" s="13" t="inlineStr">
        <is>
          <t>Son KUPST(TL)</t>
        </is>
      </c>
      <c r="Z2" s="13" t="inlineStr">
        <is>
          <t>Mutlak EDM(MWh)</t>
        </is>
      </c>
      <c r="AA2" s="13" t="inlineStr">
        <is>
          <t>EDM(MWh)</t>
        </is>
      </c>
      <c r="AB2" s="13" t="inlineStr">
        <is>
          <t>EDT(TL)</t>
        </is>
      </c>
      <c r="AC2" s="151" t="inlineStr">
        <is>
          <t>Dengesizlik Maliyeti_Yeni</t>
        </is>
      </c>
      <c r="AD2" s="151" t="inlineStr">
        <is>
          <t>Birim Maliyeti_Yeni</t>
        </is>
      </c>
      <c r="AE2" s="13" t="inlineStr">
        <is>
          <t>Net Kazanılan Tutar(TL)</t>
        </is>
      </c>
      <c r="AF2" s="13" t="inlineStr">
        <is>
          <t>Dengesizlik Maliyeti(TL)</t>
        </is>
      </c>
      <c r="AG2" s="13" t="inlineStr">
        <is>
          <t>Toplam Maliyet(TL)</t>
        </is>
      </c>
      <c r="AH2" s="14" t="inlineStr">
        <is>
          <t>A.O. PTF(TL/MWh)</t>
        </is>
      </c>
      <c r="AI2" s="14" t="inlineStr">
        <is>
          <t>Birim Maliyet(TL/MWh)</t>
        </is>
      </c>
      <c r="AJ2" s="78" t="inlineStr">
        <is>
          <t>Birim Maliyet(%)</t>
        </is>
      </c>
      <c r="AK2" s="78" t="inlineStr">
        <is>
          <t>Dengesizlik Oranı (%)</t>
        </is>
      </c>
      <c r="AL2" s="78" t="inlineStr">
        <is>
          <t>Dengesizlik Oranı&gt;%10 Miktarı</t>
        </is>
      </c>
      <c r="AM2" s="98" t="inlineStr">
        <is>
          <t>KUPST Fayda(TL)</t>
        </is>
      </c>
      <c r="AN2" s="99" t="inlineStr">
        <is>
          <t>GİP Sonrası KUPST İyileştirme Oranı(%)</t>
        </is>
      </c>
      <c r="AO2" s="98" t="inlineStr">
        <is>
          <t>GİP Sonrası Toplam Fayda(TL)</t>
        </is>
      </c>
      <c r="AP2" s="99" t="inlineStr">
        <is>
          <t>GİP Sonrası İyileştirme Oranı(%)</t>
        </is>
      </c>
    </row>
    <row r="3">
      <c r="A3" t="n">
        <v>7</v>
      </c>
      <c r="B3" s="216" t="n">
        <v>46204</v>
      </c>
      <c r="C3" s="217">
        <f>AVERAGEIF('Opera Enerji Veri'!$D:$D,'Opera Aylık Analiz'!$A3,'Opera Enerji Veri'!F:F)</f>
        <v/>
      </c>
      <c r="D3" s="217">
        <f>AVERAGEIF('Opera Enerji Veri'!$D:$D,'Opera Aylık Analiz'!$A3,'Opera Enerji Veri'!G:G)</f>
        <v/>
      </c>
      <c r="E3" s="217">
        <f>AVERAGEIF('Opera Enerji Veri'!$D:$D,'Opera Aylık Analiz'!$A3,'Opera Enerji Veri'!H:H)</f>
        <v/>
      </c>
      <c r="F3" s="217">
        <f>SUMIF('Opera Enerji Veri'!$D:$D, $A3,'Opera Enerji Veri'!BE:BE)</f>
        <v/>
      </c>
      <c r="G3" s="217">
        <f>SUMIF('Opera Enerji Veri'!$D:$D, $A3,'Opera Enerji Veri'!AY:AY)</f>
        <v/>
      </c>
      <c r="H3" s="217">
        <f>F3/G3</f>
        <v/>
      </c>
      <c r="I3" s="217">
        <f>SUMIF('Opera Enerji Veri'!$D:$D, $A3,'Opera Enerji Veri'!J:J)</f>
        <v/>
      </c>
      <c r="J3" s="217">
        <f>SUMIF('Opera Enerji Veri'!$D:$D, $A3,'Opera Enerji Veri'!BF:BF)</f>
        <v/>
      </c>
      <c r="K3" s="217">
        <f>SUMIF('Opera Enerji Veri'!$D:$D, $A3,'Opera Enerji Veri'!BG:BG)</f>
        <v/>
      </c>
      <c r="L3" s="217">
        <f>SUMIF('Opera Enerji Veri'!$D:$D, $A3,'Opera Enerji Veri'!BH:BH)</f>
        <v/>
      </c>
      <c r="M3" s="217">
        <f>SUMIF('Opera Enerji Veri'!$D:$D, $A3,'Opera Enerji Veri'!BB:BB)</f>
        <v/>
      </c>
      <c r="N3" s="217">
        <f>SUMIF('Opera Enerji Veri'!$D:$D, $A3,'Opera Enerji Veri'!BJ:BJ)</f>
        <v/>
      </c>
      <c r="O3" s="217">
        <f>SUMIF('Opera Enerji Veri'!$D:$D, $A3,'Opera Enerji Veri'!BK:BK)</f>
        <v/>
      </c>
      <c r="P3" s="217">
        <f>SUMIF('Opera Enerji Veri'!$D:$D, $A3,'Opera Enerji Veri'!BL:BL)</f>
        <v/>
      </c>
      <c r="Q3" s="217">
        <f>J3+K3+P3-M3</f>
        <v/>
      </c>
      <c r="R3" s="217">
        <f>F3-Q3-M3</f>
        <v/>
      </c>
      <c r="S3" s="217">
        <f>F3-Q3</f>
        <v/>
      </c>
      <c r="T3" s="217">
        <f>Q3/G3</f>
        <v/>
      </c>
      <c r="U3" s="218">
        <f>IFERROR(S3/G3,0)</f>
        <v/>
      </c>
      <c r="V3" s="140">
        <f>IFERROR(U3/H3,0)</f>
        <v/>
      </c>
      <c r="W3" s="27">
        <f>N3/G3</f>
        <v/>
      </c>
      <c r="X3" s="106">
        <f>SUMIF('Opera Enerji Veri'!$D:$D, $A3,'Opera Enerji Veri'!BU:BU)</f>
        <v/>
      </c>
      <c r="Y3" s="217">
        <f>SUMIF('Opera Enerji Veri'!$D:$D, $A3,'Opera Enerji Veri'!BD:BD)</f>
        <v/>
      </c>
      <c r="Z3" s="217">
        <f>SUMIF('Opera Enerji Veri'!$D:$D, $A3,'Opera Enerji Veri'!BW:BW)</f>
        <v/>
      </c>
      <c r="AA3" s="217">
        <f>SUMIF('Opera Enerji Veri'!$D:$D, $A3,'Opera Enerji Veri'!BX:BX)</f>
        <v/>
      </c>
      <c r="AB3" s="217">
        <f>SUMIF('Opera Enerji Veri'!$D:$D, $A3,'Opera Enerji Veri'!BY:BY)</f>
        <v/>
      </c>
      <c r="AC3" s="219">
        <f>SUMIF('Opera Enerji Veri'!$D:$D, $A3,'Opera Enerji Veri'!CI:CI)</f>
        <v/>
      </c>
      <c r="AD3" s="219">
        <f>AC3/G3</f>
        <v/>
      </c>
      <c r="AE3" s="217">
        <f>J3+K3+L3+AB3-Y3</f>
        <v/>
      </c>
      <c r="AF3" s="217">
        <f>F3-AE3-Y3</f>
        <v/>
      </c>
      <c r="AG3" s="217">
        <f>F3-AE3</f>
        <v/>
      </c>
      <c r="AH3" s="217">
        <f>AE3/G3</f>
        <v/>
      </c>
      <c r="AI3" s="218">
        <f>IF(G3=0,0,AG3/G3)</f>
        <v/>
      </c>
      <c r="AJ3" s="141">
        <f>IFERROR(AI3/H3,0)</f>
        <v/>
      </c>
      <c r="AK3" s="79">
        <f>Z3/G3</f>
        <v/>
      </c>
      <c r="AL3" s="105">
        <f>SUMIF('Opera Enerji Veri'!$D:$D, $A3,'Opera Enerji Veri'!CH:CH)</f>
        <v/>
      </c>
      <c r="AM3" s="217">
        <f>M3-Y3</f>
        <v/>
      </c>
      <c r="AN3" s="97">
        <f>AM3/M3</f>
        <v/>
      </c>
      <c r="AO3" s="217">
        <f>S3-AG3</f>
        <v/>
      </c>
      <c r="AP3" s="220">
        <f>AO3/S3</f>
        <v/>
      </c>
    </row>
    <row r="33">
      <c r="T33" s="221" t="n"/>
    </row>
  </sheetData>
  <mergeCells count="2">
    <mergeCell ref="Y1:AL1"/>
    <mergeCell ref="M1:X1"/>
  </mergeCells>
  <conditionalFormatting sqref="AM2 AO2">
    <cfRule type="cellIs" priority="1" operator="less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62"/>
  <sheetViews>
    <sheetView showGridLines="0" topLeftCell="B1" zoomScale="70" zoomScaleNormal="70" workbookViewId="0">
      <selection activeCell="B34" sqref="B34"/>
    </sheetView>
  </sheetViews>
  <sheetFormatPr baseColWidth="8" defaultRowHeight="14.4"/>
  <cols>
    <col width="4.33203125" customWidth="1" style="188" min="1" max="1"/>
    <col width="15.6640625" customWidth="1" style="19" min="2" max="2"/>
    <col width="11.33203125" customWidth="1" style="188" min="3" max="5"/>
    <col width="13.5546875" customWidth="1" style="188" min="6" max="6"/>
    <col width="14.44140625" customWidth="1" style="188" min="7" max="7"/>
    <col width="13.33203125" customWidth="1" style="188" min="8" max="8"/>
    <col width="14.44140625" customWidth="1" style="188" min="9" max="9"/>
    <col width="13.88671875" customWidth="1" style="209" min="10" max="11"/>
    <col width="11.5546875" customWidth="1" style="209" min="12" max="12"/>
    <col width="12.33203125" customWidth="1" style="188" min="13" max="14"/>
    <col width="11.44140625" customWidth="1" style="188" min="15" max="15"/>
    <col width="12.33203125" customWidth="1" style="188" min="16" max="16"/>
    <col width="13" bestFit="1" customWidth="1" style="188" min="17" max="17"/>
    <col width="12.33203125" bestFit="1" customWidth="1" style="188" min="18" max="18"/>
    <col width="12.33203125" customWidth="1" style="188" min="19" max="19"/>
    <col width="12.109375" bestFit="1" customWidth="1" style="188" min="20" max="20"/>
    <col width="12.33203125" customWidth="1" style="188" min="21" max="21"/>
    <col width="12.33203125" customWidth="1" style="222" min="22" max="22"/>
    <col width="12.33203125" customWidth="1" style="188" min="23" max="23"/>
    <col width="12.33203125" customWidth="1" style="110" min="24" max="24"/>
    <col width="12.33203125" customWidth="1" style="188" min="25" max="28"/>
    <col width="15.6640625" customWidth="1" style="188" min="29" max="29"/>
    <col width="14.33203125" customWidth="1" style="188" min="30" max="30"/>
    <col width="21.5546875" customWidth="1" style="188" min="31" max="31"/>
    <col width="12.33203125" bestFit="1" customWidth="1" style="188" min="32" max="32"/>
    <col width="12.33203125" customWidth="1" style="188" min="33" max="33"/>
    <col width="12.109375" bestFit="1" customWidth="1" style="188" min="34" max="34"/>
    <col width="17.88671875" customWidth="1" style="188" min="35" max="36"/>
    <col width="12" customWidth="1" style="188" min="37" max="37"/>
    <col width="12" customWidth="1" style="113" min="38" max="38"/>
    <col width="10.33203125" bestFit="1" customWidth="1" style="188" min="39" max="39"/>
    <col width="18.109375" customWidth="1" style="188" min="40" max="40"/>
    <col width="10.44140625" bestFit="1" customWidth="1" style="188" min="41" max="41"/>
    <col width="10.5546875" bestFit="1" customWidth="1" style="188" min="42" max="42"/>
  </cols>
  <sheetData>
    <row r="1">
      <c r="M1" s="162" t="inlineStr">
        <is>
          <t>GİP ÖNCESİ</t>
        </is>
      </c>
      <c r="N1" s="212" t="n"/>
      <c r="O1" s="212" t="n"/>
      <c r="P1" s="212" t="n"/>
      <c r="Q1" s="212" t="n"/>
      <c r="R1" s="212" t="n"/>
      <c r="S1" s="212" t="n"/>
      <c r="T1" s="212" t="n"/>
      <c r="U1" s="213" t="n"/>
      <c r="V1" s="223" t="n"/>
      <c r="W1" s="162" t="n"/>
      <c r="X1" s="107" t="n"/>
      <c r="Y1" s="163" t="inlineStr">
        <is>
          <t>GİP SONRASI</t>
        </is>
      </c>
      <c r="Z1" s="212" t="n"/>
      <c r="AA1" s="212" t="n"/>
      <c r="AB1" s="212" t="n"/>
      <c r="AC1" s="212" t="n"/>
      <c r="AD1" s="212" t="n"/>
      <c r="AE1" s="212" t="n"/>
      <c r="AF1" s="212" t="n"/>
      <c r="AG1" s="212" t="n"/>
      <c r="AH1" s="212" t="n"/>
      <c r="AI1" s="213" t="n"/>
      <c r="AJ1" s="28" t="n"/>
      <c r="AK1" s="28" t="n"/>
      <c r="AL1" s="111" t="n"/>
    </row>
    <row r="2" ht="51.6" customFormat="1" customHeight="1" s="9">
      <c r="B2" s="20" t="inlineStr">
        <is>
          <t>TARİH</t>
        </is>
      </c>
      <c r="C2" s="15" t="inlineStr">
        <is>
          <t>PTF (TL/MWh)</t>
        </is>
      </c>
      <c r="D2" s="15" t="inlineStr">
        <is>
          <t>SMF (TL/MWh)</t>
        </is>
      </c>
      <c r="E2" s="15" t="inlineStr">
        <is>
          <t>PTF (USD/MWh)</t>
        </is>
      </c>
      <c r="F2" s="15" t="inlineStr">
        <is>
          <t>İdeal Tutar(TL)</t>
        </is>
      </c>
      <c r="G2" s="15" t="inlineStr">
        <is>
          <t>UEVM(MWh)</t>
        </is>
      </c>
      <c r="H2" s="15" t="inlineStr">
        <is>
          <t>A.O. PTF(TL/MWh)</t>
        </is>
      </c>
      <c r="I2" s="15" t="inlineStr">
        <is>
          <t>GÖP Tahmini Üretim (MWh)</t>
        </is>
      </c>
      <c r="J2" s="215" t="inlineStr">
        <is>
          <t>GÖP Tutar(TL)</t>
        </is>
      </c>
      <c r="K2" s="215" t="inlineStr">
        <is>
          <t>İA Tutar(TL)</t>
        </is>
      </c>
      <c r="L2" s="215" t="inlineStr">
        <is>
          <t>GİP Tutar(TL)</t>
        </is>
      </c>
      <c r="M2" s="11" t="inlineStr">
        <is>
          <t>İlk KUPST(TL)</t>
        </is>
      </c>
      <c r="N2" s="11" t="inlineStr">
        <is>
          <t>Mutlak EDM(MWh)</t>
        </is>
      </c>
      <c r="O2" s="11" t="inlineStr">
        <is>
          <t>EDM(MWh)</t>
        </is>
      </c>
      <c r="P2" s="11" t="inlineStr">
        <is>
          <t>EDT(TL)</t>
        </is>
      </c>
      <c r="Q2" s="11" t="inlineStr">
        <is>
          <t>NET GELİR(TL)</t>
        </is>
      </c>
      <c r="R2" s="11" t="inlineStr">
        <is>
          <t>Dengesizlik Maliyeti(TL)</t>
        </is>
      </c>
      <c r="S2" s="11" t="inlineStr">
        <is>
          <t>TOPLAM MALİYET(TL)</t>
        </is>
      </c>
      <c r="T2" s="12" t="inlineStr">
        <is>
          <t>A.O. PTF(TL/MWh)</t>
        </is>
      </c>
      <c r="U2" s="12" t="inlineStr">
        <is>
          <t>Birim Maliyet(TL/MWh)</t>
        </is>
      </c>
      <c r="V2" s="224" t="inlineStr">
        <is>
          <t>Birim Maliyet(%)</t>
        </is>
      </c>
      <c r="W2" s="12" t="inlineStr">
        <is>
          <t>Dengesizlik Oranı (%)</t>
        </is>
      </c>
      <c r="X2" s="108" t="inlineStr">
        <is>
          <t>Dengesizlik Oranı&gt;%10 Miktarı</t>
        </is>
      </c>
      <c r="Y2" s="13" t="inlineStr">
        <is>
          <t>Son KUPST(TL)</t>
        </is>
      </c>
      <c r="Z2" s="13" t="inlineStr">
        <is>
          <t>Mutlak EDM(MWh)</t>
        </is>
      </c>
      <c r="AA2" s="13" t="inlineStr">
        <is>
          <t>EDM(MWh)</t>
        </is>
      </c>
      <c r="AB2" s="13" t="inlineStr">
        <is>
          <t>EDT(TL)</t>
        </is>
      </c>
      <c r="AC2" s="151" t="inlineStr">
        <is>
          <t>Dengesizlik Maliyeti_Yeni</t>
        </is>
      </c>
      <c r="AD2" s="151" t="inlineStr">
        <is>
          <t>Birim Maliyeti_Yeni</t>
        </is>
      </c>
      <c r="AE2" s="13" t="inlineStr">
        <is>
          <t>NET GELİR(TL)</t>
        </is>
      </c>
      <c r="AF2" s="13" t="inlineStr">
        <is>
          <t>Dengesizlik Maliyeti(TL)</t>
        </is>
      </c>
      <c r="AG2" s="13" t="inlineStr">
        <is>
          <t>Toplam Maliyet(TL)</t>
        </is>
      </c>
      <c r="AH2" s="14" t="inlineStr">
        <is>
          <t>A.O. PTF(TL/MWh)</t>
        </is>
      </c>
      <c r="AI2" s="14" t="inlineStr">
        <is>
          <t>Birim Maliyet(TL/MWh)</t>
        </is>
      </c>
      <c r="AJ2" s="14" t="inlineStr">
        <is>
          <t>Birim Maliyet(%)</t>
        </is>
      </c>
      <c r="AK2" s="14" t="inlineStr">
        <is>
          <t>Dengesizlik Oranı (%)</t>
        </is>
      </c>
      <c r="AL2" s="112" t="inlineStr">
        <is>
          <t>Dengesizlik Oranı&gt;%10 Miktarı</t>
        </is>
      </c>
      <c r="AM2" s="98" t="inlineStr">
        <is>
          <t>KUPST Fayda(TL)</t>
        </is>
      </c>
      <c r="AN2" s="99" t="inlineStr">
        <is>
          <t>GİP Sonrası KUPST İyileştirme Oranı(%)</t>
        </is>
      </c>
      <c r="AO2" s="98" t="inlineStr">
        <is>
          <t>GİP Sonrası Toplam Fayda(TL)</t>
        </is>
      </c>
      <c r="AP2" s="99" t="inlineStr">
        <is>
          <t>GİP Sonrası İyileştirme Oranı(%)</t>
        </is>
      </c>
    </row>
    <row r="3">
      <c r="B3" s="17" t="n">
        <v>46204</v>
      </c>
      <c r="C3" s="217">
        <f>IFERROR(AVERAGEIF('Opera Enerji Veri'!$C:$C,'Opera Günlük Analiz'!$B3,'Opera Enerji Veri'!F:F),0)</f>
        <v/>
      </c>
      <c r="D3" s="217">
        <f>IFERROR(AVERAGEIF('Opera Enerji Veri'!$C:$C,'Opera Günlük Analiz'!$B3,'Opera Enerji Veri'!G:G),0)</f>
        <v/>
      </c>
      <c r="E3" s="217">
        <f>IFERROR(AVERAGEIF('Opera Enerji Veri'!$C:$C,'Opera Günlük Analiz'!$B3,'Opera Enerji Veri'!H:H),0)</f>
        <v/>
      </c>
      <c r="F3" s="217">
        <f>SUMIF('Opera Enerji Veri'!$C:$C, 'Opera Günlük Analiz'!$B3,'Opera Enerji Veri'!BE:BE)</f>
        <v/>
      </c>
      <c r="G3" s="217">
        <f>SUMIF('Opera Enerji Veri'!$C:$C, 'Opera Günlük Analiz'!$B3,'Opera Enerji Veri'!AY:AY)</f>
        <v/>
      </c>
      <c r="H3" s="217">
        <f>IFERROR(F3/G3,0)</f>
        <v/>
      </c>
      <c r="I3" s="217">
        <f>SUMIF('Opera Enerji Veri'!$C:$C, 'Opera Günlük Analiz'!$B3,'Opera Enerji Veri'!J:J)</f>
        <v/>
      </c>
      <c r="J3" s="217">
        <f>SUMIF('Opera Enerji Veri'!$C:$C, 'Opera Günlük Analiz'!$B3,'Opera Enerji Veri'!BF:BF)</f>
        <v/>
      </c>
      <c r="K3" s="217">
        <f>SUMIF('Opera Enerji Veri'!$C:$C, 'Opera Günlük Analiz'!$B3,'Opera Enerji Veri'!BG:BG)</f>
        <v/>
      </c>
      <c r="L3" s="217">
        <f>SUMIF('Opera Enerji Veri'!$C:$C, 'Opera Günlük Analiz'!$B3,'Opera Enerji Veri'!BH:BH)</f>
        <v/>
      </c>
      <c r="M3" s="217">
        <f>SUMIF('Opera Enerji Veri'!$C:$C, 'Opera Günlük Analiz'!$B3,'Opera Enerji Veri'!BB:BB)</f>
        <v/>
      </c>
      <c r="N3" s="217">
        <f>SUMIF('Opera Enerji Veri'!$C:$C, 'Opera Günlük Analiz'!$B3,'Opera Enerji Veri'!BJ:BJ)</f>
        <v/>
      </c>
      <c r="O3" s="217">
        <f>SUMIF('Opera Enerji Veri'!$C:$C, 'Opera Günlük Analiz'!$B3,'Opera Enerji Veri'!BK:BK)</f>
        <v/>
      </c>
      <c r="P3" s="217">
        <f>SUMIF('Opera Enerji Veri'!$C:$C, 'Opera Günlük Analiz'!$B3,'Opera Enerji Veri'!BL:BL)</f>
        <v/>
      </c>
      <c r="Q3" s="217">
        <f>J3+K3+P3-M3</f>
        <v/>
      </c>
      <c r="R3" s="217">
        <f>F3-Q3-M3</f>
        <v/>
      </c>
      <c r="S3" s="217">
        <f>M3+R3</f>
        <v/>
      </c>
      <c r="T3" s="217">
        <f>IFERROR(Q3/G3,0)</f>
        <v/>
      </c>
      <c r="U3" s="218">
        <f>IF(G3=0,0,S3/G3)</f>
        <v/>
      </c>
      <c r="V3" s="225">
        <f>IFERROR(U3/H3,0)</f>
        <v/>
      </c>
      <c r="W3" s="27">
        <f>IFERROR(ABS(N3/G3),0)</f>
        <v/>
      </c>
      <c r="X3" s="109">
        <f>SUMIF('Opera Enerji Veri'!$C:$C, 'Opera Günlük Analiz'!$B3,'Opera Enerji Veri'!BU:BU)</f>
        <v/>
      </c>
      <c r="Y3" s="217">
        <f>SUMIF('Opera Enerji Veri'!$C:$C, 'Opera Günlük Analiz'!$B3,'Opera Enerji Veri'!BD:BD)</f>
        <v/>
      </c>
      <c r="Z3" s="217">
        <f>SUMIF('Opera Enerji Veri'!$C:$C, 'Opera Günlük Analiz'!$B3,'Opera Enerji Veri'!BW:BW)</f>
        <v/>
      </c>
      <c r="AA3" s="217">
        <f>SUMIF('Opera Enerji Veri'!$C:$C, 'Opera Günlük Analiz'!$B3,'Opera Enerji Veri'!BX:BX)</f>
        <v/>
      </c>
      <c r="AB3" s="217">
        <f>SUMIF('Opera Enerji Veri'!$C:$C, 'Opera Günlük Analiz'!$B3,'Opera Enerji Veri'!BY:BY)</f>
        <v/>
      </c>
      <c r="AC3" s="219">
        <f>SUMIF('Opera Enerji Veri'!$C:$C, 'Opera Günlük Analiz'!$B3,'Opera Enerji Veri'!CI:CI)</f>
        <v/>
      </c>
      <c r="AD3" s="219">
        <f>IFERROR(AC3/G3,0)</f>
        <v/>
      </c>
      <c r="AE3" s="217">
        <f>J3+K3+L3+AB3-Y3</f>
        <v/>
      </c>
      <c r="AF3" s="217">
        <f>F3-AE3-Y3</f>
        <v/>
      </c>
      <c r="AG3" s="217">
        <f>Y3+AF3</f>
        <v/>
      </c>
      <c r="AH3" s="217">
        <f>IFERROR(AE3/G3,0)</f>
        <v/>
      </c>
      <c r="AI3" s="218">
        <f>IF(G3=0,0,AG3/G3)</f>
        <v/>
      </c>
      <c r="AJ3" s="225">
        <f>IFERROR(AI3/H3,0)</f>
        <v/>
      </c>
      <c r="AK3" s="27">
        <f>IFERROR(ABS(Z3/G3),0)</f>
        <v/>
      </c>
      <c r="AL3" s="109">
        <f>SUMIF('Opera Enerji Veri'!$C:$C, 'Opera Günlük Analiz'!$B3,'Opera Enerji Veri'!CH:CH)</f>
        <v/>
      </c>
      <c r="AM3" s="217">
        <f>M3-Y3</f>
        <v/>
      </c>
      <c r="AN3" s="97">
        <f>IFERROR(AM3/M3,0)</f>
        <v/>
      </c>
      <c r="AO3" s="217">
        <f>S3-AG3</f>
        <v/>
      </c>
      <c r="AP3" s="97">
        <f>IFERROR(AO3/S3,0)</f>
        <v/>
      </c>
    </row>
    <row r="4">
      <c r="B4" s="17">
        <f>B3+1</f>
        <v/>
      </c>
      <c r="C4" s="217">
        <f>IFERROR(AVERAGEIF('Opera Enerji Veri'!C:C,'Opera Günlük Analiz'!B4,'Opera Enerji Veri'!F:F),0)</f>
        <v/>
      </c>
      <c r="D4" s="217">
        <f>IFERROR(AVERAGEIF('Opera Enerji Veri'!$C:$C,'Opera Günlük Analiz'!$B4,'Opera Enerji Veri'!G:G),0)</f>
        <v/>
      </c>
      <c r="E4" s="217">
        <f>IFERROR(AVERAGEIF('Opera Enerji Veri'!$C:$C,'Opera Günlük Analiz'!$B4,'Opera Enerji Veri'!H:H),0)</f>
        <v/>
      </c>
      <c r="F4" s="217">
        <f>SUMIF('Opera Enerji Veri'!$C:$C, 'Opera Günlük Analiz'!$B4,'Opera Enerji Veri'!BE:BE)</f>
        <v/>
      </c>
      <c r="G4" s="217">
        <f>SUMIF('Opera Enerji Veri'!$C:$C, 'Opera Günlük Analiz'!$B4,'Opera Enerji Veri'!AY:AY)</f>
        <v/>
      </c>
      <c r="H4" s="217">
        <f>IFERROR(F4/G4,0)</f>
        <v/>
      </c>
      <c r="I4" s="217">
        <f>SUMIF('Opera Enerji Veri'!$C:$C, 'Opera Günlük Analiz'!$B4,'Opera Enerji Veri'!J:J)</f>
        <v/>
      </c>
      <c r="J4" s="217">
        <f>SUMIF('Opera Enerji Veri'!$C:$C, 'Opera Günlük Analiz'!$B4,'Opera Enerji Veri'!BF:BF)</f>
        <v/>
      </c>
      <c r="K4" s="217">
        <f>SUMIF('Opera Enerji Veri'!$C:$C, 'Opera Günlük Analiz'!$B4,'Opera Enerji Veri'!BG:BG)</f>
        <v/>
      </c>
      <c r="L4" s="217">
        <f>SUMIF('Opera Enerji Veri'!$C:$C, 'Opera Günlük Analiz'!$B4,'Opera Enerji Veri'!BH:BH)</f>
        <v/>
      </c>
      <c r="M4" s="217">
        <f>SUMIF('Opera Enerji Veri'!$C:$C, 'Opera Günlük Analiz'!$B4,'Opera Enerji Veri'!BB:BB)</f>
        <v/>
      </c>
      <c r="N4" s="217">
        <f>SUMIF('Opera Enerji Veri'!$C:$C, 'Opera Günlük Analiz'!$B4,'Opera Enerji Veri'!BJ:BJ)</f>
        <v/>
      </c>
      <c r="O4" s="217">
        <f>SUMIF('Opera Enerji Veri'!$C:$C, 'Opera Günlük Analiz'!$B4,'Opera Enerji Veri'!BK:BK)</f>
        <v/>
      </c>
      <c r="P4" s="217">
        <f>SUMIF('Opera Enerji Veri'!$C:$C, 'Opera Günlük Analiz'!$B4,'Opera Enerji Veri'!BL:BL)</f>
        <v/>
      </c>
      <c r="Q4" s="217">
        <f>J4+K4+P4-M4</f>
        <v/>
      </c>
      <c r="R4" s="217">
        <f>F4-Q4-M4</f>
        <v/>
      </c>
      <c r="S4" s="217">
        <f>M4+R4</f>
        <v/>
      </c>
      <c r="T4" s="217">
        <f>IFERROR(Q4/G4,0)</f>
        <v/>
      </c>
      <c r="U4" s="218">
        <f>IF(G4=0,0,S4/G4)</f>
        <v/>
      </c>
      <c r="V4" s="225">
        <f>IFERROR(U4/H4,0)</f>
        <v/>
      </c>
      <c r="W4" s="27">
        <f>IFERROR(ABS(N4/G4),0)</f>
        <v/>
      </c>
      <c r="X4" s="109">
        <f>SUMIF('Opera Enerji Veri'!$C:$C, 'Opera Günlük Analiz'!$B4,'Opera Enerji Veri'!BU:BU)</f>
        <v/>
      </c>
      <c r="Y4" s="217">
        <f>SUMIF('Opera Enerji Veri'!$C:$C, 'Opera Günlük Analiz'!$B4,'Opera Enerji Veri'!BD:BD)</f>
        <v/>
      </c>
      <c r="Z4" s="217">
        <f>SUMIF('Opera Enerji Veri'!$C:$C, 'Opera Günlük Analiz'!$B4,'Opera Enerji Veri'!BW:BW)</f>
        <v/>
      </c>
      <c r="AA4" s="217">
        <f>SUMIF('Opera Enerji Veri'!$C:$C, 'Opera Günlük Analiz'!$B4,'Opera Enerji Veri'!BX:BX)</f>
        <v/>
      </c>
      <c r="AB4" s="217">
        <f>SUMIF('Opera Enerji Veri'!$C:$C, 'Opera Günlük Analiz'!$B4,'Opera Enerji Veri'!BY:BY)</f>
        <v/>
      </c>
      <c r="AC4" s="219">
        <f>SUMIF('Opera Enerji Veri'!$C:$C, 'Opera Günlük Analiz'!$B4,'Opera Enerji Veri'!CI:CI)</f>
        <v/>
      </c>
      <c r="AD4" s="219">
        <f>IFERROR(AC4/G4,0)</f>
        <v/>
      </c>
      <c r="AE4" s="217">
        <f>J4+K4+L4+AB4-Y4</f>
        <v/>
      </c>
      <c r="AF4" s="217">
        <f>F4-AE4-Y4</f>
        <v/>
      </c>
      <c r="AG4" s="217">
        <f>Y4+AF4</f>
        <v/>
      </c>
      <c r="AH4" s="217">
        <f>IFERROR(AE4/G4,0)</f>
        <v/>
      </c>
      <c r="AI4" s="218">
        <f>IF(G4=0,0,AG4/G4)</f>
        <v/>
      </c>
      <c r="AJ4" s="225">
        <f>IFERROR(AI4/H4,0)</f>
        <v/>
      </c>
      <c r="AK4" s="27">
        <f>IFERROR(ABS(Z4/G4),0)</f>
        <v/>
      </c>
      <c r="AL4" s="109">
        <f>SUMIF('Opera Enerji Veri'!$C:$C, 'Opera Günlük Analiz'!$B4,'Opera Enerji Veri'!CH:CH)</f>
        <v/>
      </c>
      <c r="AM4" s="217">
        <f>M4-Y4</f>
        <v/>
      </c>
      <c r="AN4" s="97">
        <f>IFERROR(AM4/M4,0)</f>
        <v/>
      </c>
      <c r="AO4" s="217">
        <f>S4-AG4</f>
        <v/>
      </c>
      <c r="AP4" s="97">
        <f>IFERROR(AO4/S4,0)</f>
        <v/>
      </c>
    </row>
    <row r="5">
      <c r="B5" s="17">
        <f>B4+1</f>
        <v/>
      </c>
      <c r="C5" s="217">
        <f>IFERROR(AVERAGEIF('Opera Enerji Veri'!C:C,'Opera Günlük Analiz'!B5,'Opera Enerji Veri'!F:F),0)</f>
        <v/>
      </c>
      <c r="D5" s="217">
        <f>IFERROR(AVERAGEIF('Opera Enerji Veri'!$C:$C,'Opera Günlük Analiz'!$B5,'Opera Enerji Veri'!G:G),0)</f>
        <v/>
      </c>
      <c r="E5" s="217">
        <f>IFERROR(AVERAGEIF('Opera Enerji Veri'!$C:$C,'Opera Günlük Analiz'!$B5,'Opera Enerji Veri'!H:H),0)</f>
        <v/>
      </c>
      <c r="F5" s="217">
        <f>SUMIF('Opera Enerji Veri'!$C:$C, 'Opera Günlük Analiz'!$B5,'Opera Enerji Veri'!BE:BE)</f>
        <v/>
      </c>
      <c r="G5" s="217">
        <f>SUMIF('Opera Enerji Veri'!$C:$C, 'Opera Günlük Analiz'!$B5,'Opera Enerji Veri'!AY:AY)</f>
        <v/>
      </c>
      <c r="H5" s="217">
        <f>IFERROR(F5/G5,0)</f>
        <v/>
      </c>
      <c r="I5" s="217">
        <f>SUMIF('Opera Enerji Veri'!$C:$C, 'Opera Günlük Analiz'!$B5,'Opera Enerji Veri'!J:J)</f>
        <v/>
      </c>
      <c r="J5" s="217">
        <f>SUMIF('Opera Enerji Veri'!$C:$C, 'Opera Günlük Analiz'!$B5,'Opera Enerji Veri'!BF:BF)</f>
        <v/>
      </c>
      <c r="K5" s="217">
        <f>SUMIF('Opera Enerji Veri'!$C:$C, 'Opera Günlük Analiz'!$B5,'Opera Enerji Veri'!BG:BG)</f>
        <v/>
      </c>
      <c r="L5" s="217">
        <f>SUMIF('Opera Enerji Veri'!$C:$C, 'Opera Günlük Analiz'!$B5,'Opera Enerji Veri'!BH:BH)</f>
        <v/>
      </c>
      <c r="M5" s="217">
        <f>SUMIF('Opera Enerji Veri'!$C:$C, 'Opera Günlük Analiz'!$B5,'Opera Enerji Veri'!BB:BB)</f>
        <v/>
      </c>
      <c r="N5" s="217">
        <f>SUMIF('Opera Enerji Veri'!$C:$C, 'Opera Günlük Analiz'!$B5,'Opera Enerji Veri'!BJ:BJ)</f>
        <v/>
      </c>
      <c r="O5" s="217">
        <f>SUMIF('Opera Enerji Veri'!$C:$C, 'Opera Günlük Analiz'!$B5,'Opera Enerji Veri'!BK:BK)</f>
        <v/>
      </c>
      <c r="P5" s="217">
        <f>SUMIF('Opera Enerji Veri'!$C:$C, 'Opera Günlük Analiz'!$B5,'Opera Enerji Veri'!BL:BL)</f>
        <v/>
      </c>
      <c r="Q5" s="217">
        <f>J5+K5+P5-M5</f>
        <v/>
      </c>
      <c r="R5" s="217">
        <f>F5-Q5-M5</f>
        <v/>
      </c>
      <c r="S5" s="217">
        <f>M5+R5</f>
        <v/>
      </c>
      <c r="T5" s="217">
        <f>IFERROR(Q5/G5,0)</f>
        <v/>
      </c>
      <c r="U5" s="218">
        <f>IF(G5=0,0,S5/G5)</f>
        <v/>
      </c>
      <c r="V5" s="225">
        <f>IFERROR(U5/H5,0)</f>
        <v/>
      </c>
      <c r="W5" s="27">
        <f>IFERROR(ABS(N5/G5),0)</f>
        <v/>
      </c>
      <c r="X5" s="109">
        <f>SUMIF('Opera Enerji Veri'!$C:$C, 'Opera Günlük Analiz'!$B5,'Opera Enerji Veri'!BU:BU)</f>
        <v/>
      </c>
      <c r="Y5" s="217">
        <f>SUMIF('Opera Enerji Veri'!$C:$C, 'Opera Günlük Analiz'!$B5,'Opera Enerji Veri'!BD:BD)</f>
        <v/>
      </c>
      <c r="Z5" s="217">
        <f>SUMIF('Opera Enerji Veri'!$C:$C, 'Opera Günlük Analiz'!$B5,'Opera Enerji Veri'!BW:BW)</f>
        <v/>
      </c>
      <c r="AA5" s="217">
        <f>SUMIF('Opera Enerji Veri'!$C:$C, 'Opera Günlük Analiz'!$B5,'Opera Enerji Veri'!BX:BX)</f>
        <v/>
      </c>
      <c r="AB5" s="217">
        <f>SUMIF('Opera Enerji Veri'!$C:$C, 'Opera Günlük Analiz'!$B5,'Opera Enerji Veri'!BY:BY)</f>
        <v/>
      </c>
      <c r="AC5" s="219">
        <f>SUMIF('Opera Enerji Veri'!$C:$C, 'Opera Günlük Analiz'!$B5,'Opera Enerji Veri'!CI:CI)</f>
        <v/>
      </c>
      <c r="AD5" s="219">
        <f>IFERROR(AC5/G5,0)</f>
        <v/>
      </c>
      <c r="AE5" s="217">
        <f>J5+K5+L5+AB5-Y5</f>
        <v/>
      </c>
      <c r="AF5" s="217">
        <f>F5-AE5-Y5</f>
        <v/>
      </c>
      <c r="AG5" s="217">
        <f>Y5+AF5</f>
        <v/>
      </c>
      <c r="AH5" s="217">
        <f>IFERROR(AE5/G5,0)</f>
        <v/>
      </c>
      <c r="AI5" s="218">
        <f>IF(G5=0,0,AG5/G5)</f>
        <v/>
      </c>
      <c r="AJ5" s="225">
        <f>IFERROR(AI5/H5,0)</f>
        <v/>
      </c>
      <c r="AK5" s="27">
        <f>IFERROR(ABS(Z5/G5),0)</f>
        <v/>
      </c>
      <c r="AL5" s="109">
        <f>SUMIF('Opera Enerji Veri'!$C:$C, 'Opera Günlük Analiz'!$B5,'Opera Enerji Veri'!CH:CH)</f>
        <v/>
      </c>
      <c r="AM5" s="217">
        <f>M5-Y5</f>
        <v/>
      </c>
      <c r="AN5" s="97">
        <f>IFERROR(AM5/M5,0)</f>
        <v/>
      </c>
      <c r="AO5" s="217">
        <f>S5-AG5</f>
        <v/>
      </c>
      <c r="AP5" s="97">
        <f>IFERROR(AO5/S5,0)</f>
        <v/>
      </c>
    </row>
    <row r="6">
      <c r="B6" s="17">
        <f>B5+1</f>
        <v/>
      </c>
      <c r="C6" s="217">
        <f>IFERROR(AVERAGEIF('Opera Enerji Veri'!C:C,'Opera Günlük Analiz'!B6,'Opera Enerji Veri'!F:F),0)</f>
        <v/>
      </c>
      <c r="D6" s="217">
        <f>IFERROR(AVERAGEIF('Opera Enerji Veri'!$C:$C,'Opera Günlük Analiz'!$B6,'Opera Enerji Veri'!G:G),0)</f>
        <v/>
      </c>
      <c r="E6" s="217">
        <f>IFERROR(AVERAGEIF('Opera Enerji Veri'!$C:$C,'Opera Günlük Analiz'!$B6,'Opera Enerji Veri'!H:H),0)</f>
        <v/>
      </c>
      <c r="F6" s="217">
        <f>SUMIF('Opera Enerji Veri'!$C:$C, 'Opera Günlük Analiz'!$B6,'Opera Enerji Veri'!BE:BE)</f>
        <v/>
      </c>
      <c r="G6" s="217">
        <f>SUMIF('Opera Enerji Veri'!$C:$C, 'Opera Günlük Analiz'!$B6,'Opera Enerji Veri'!AY:AY)</f>
        <v/>
      </c>
      <c r="H6" s="217">
        <f>IFERROR(F6/G6,0)</f>
        <v/>
      </c>
      <c r="I6" s="217">
        <f>SUMIF('Opera Enerji Veri'!$C:$C, 'Opera Günlük Analiz'!$B6,'Opera Enerji Veri'!J:J)</f>
        <v/>
      </c>
      <c r="J6" s="217">
        <f>SUMIF('Opera Enerji Veri'!$C:$C, 'Opera Günlük Analiz'!$B6,'Opera Enerji Veri'!BF:BF)</f>
        <v/>
      </c>
      <c r="K6" s="217">
        <f>SUMIF('Opera Enerji Veri'!$C:$C, 'Opera Günlük Analiz'!$B6,'Opera Enerji Veri'!BG:BG)</f>
        <v/>
      </c>
      <c r="L6" s="217">
        <f>SUMIF('Opera Enerji Veri'!$C:$C, 'Opera Günlük Analiz'!$B6,'Opera Enerji Veri'!BH:BH)</f>
        <v/>
      </c>
      <c r="M6" s="217">
        <f>SUMIF('Opera Enerji Veri'!$C:$C, 'Opera Günlük Analiz'!$B6,'Opera Enerji Veri'!BB:BB)</f>
        <v/>
      </c>
      <c r="N6" s="217">
        <f>SUMIF('Opera Enerji Veri'!$C:$C, 'Opera Günlük Analiz'!$B6,'Opera Enerji Veri'!BJ:BJ)</f>
        <v/>
      </c>
      <c r="O6" s="217">
        <f>SUMIF('Opera Enerji Veri'!$C:$C, 'Opera Günlük Analiz'!$B6,'Opera Enerji Veri'!BK:BK)</f>
        <v/>
      </c>
      <c r="P6" s="217">
        <f>SUMIF('Opera Enerji Veri'!$C:$C, 'Opera Günlük Analiz'!$B6,'Opera Enerji Veri'!BL:BL)</f>
        <v/>
      </c>
      <c r="Q6" s="217">
        <f>J6+K6+P6-M6</f>
        <v/>
      </c>
      <c r="R6" s="217">
        <f>F6-Q6-M6</f>
        <v/>
      </c>
      <c r="S6" s="217">
        <f>M6+R6</f>
        <v/>
      </c>
      <c r="T6" s="217">
        <f>IFERROR(Q6/G6,0)</f>
        <v/>
      </c>
      <c r="U6" s="218">
        <f>IF(G6=0,0,S6/G6)</f>
        <v/>
      </c>
      <c r="V6" s="225">
        <f>IFERROR(U6/H6,0)</f>
        <v/>
      </c>
      <c r="W6" s="27">
        <f>IFERROR(ABS(N6/G6),0)</f>
        <v/>
      </c>
      <c r="X6" s="109">
        <f>SUMIF('Opera Enerji Veri'!$C:$C, 'Opera Günlük Analiz'!$B6,'Opera Enerji Veri'!BU:BU)</f>
        <v/>
      </c>
      <c r="Y6" s="217">
        <f>SUMIF('Opera Enerji Veri'!$C:$C, 'Opera Günlük Analiz'!$B6,'Opera Enerji Veri'!BD:BD)</f>
        <v/>
      </c>
      <c r="Z6" s="217">
        <f>SUMIF('Opera Enerji Veri'!$C:$C, 'Opera Günlük Analiz'!$B6,'Opera Enerji Veri'!BW:BW)</f>
        <v/>
      </c>
      <c r="AA6" s="217">
        <f>SUMIF('Opera Enerji Veri'!$C:$C, 'Opera Günlük Analiz'!$B6,'Opera Enerji Veri'!BX:BX)</f>
        <v/>
      </c>
      <c r="AB6" s="217">
        <f>SUMIF('Opera Enerji Veri'!$C:$C, 'Opera Günlük Analiz'!$B6,'Opera Enerji Veri'!BY:BY)</f>
        <v/>
      </c>
      <c r="AC6" s="219">
        <f>SUMIF('Opera Enerji Veri'!$C:$C, 'Opera Günlük Analiz'!$B6,'Opera Enerji Veri'!CI:CI)</f>
        <v/>
      </c>
      <c r="AD6" s="219">
        <f>IFERROR(AC6/G6,0)</f>
        <v/>
      </c>
      <c r="AE6" s="217">
        <f>J6+K6+L6+AB6-Y6</f>
        <v/>
      </c>
      <c r="AF6" s="217">
        <f>F6-AE6-Y6</f>
        <v/>
      </c>
      <c r="AG6" s="217">
        <f>Y6+AF6</f>
        <v/>
      </c>
      <c r="AH6" s="217">
        <f>IFERROR(AE6/G6,0)</f>
        <v/>
      </c>
      <c r="AI6" s="218">
        <f>IF(G6=0,0,AG6/G6)</f>
        <v/>
      </c>
      <c r="AJ6" s="225">
        <f>IFERROR(AI6/H6,0)</f>
        <v/>
      </c>
      <c r="AK6" s="27">
        <f>IFERROR(ABS(Z6/G6),0)</f>
        <v/>
      </c>
      <c r="AL6" s="109">
        <f>SUMIF('Opera Enerji Veri'!$C:$C, 'Opera Günlük Analiz'!$B6,'Opera Enerji Veri'!CH:CH)</f>
        <v/>
      </c>
      <c r="AM6" s="217">
        <f>M6-Y6</f>
        <v/>
      </c>
      <c r="AN6" s="97">
        <f>IFERROR(AM6/M6,0)</f>
        <v/>
      </c>
      <c r="AO6" s="217">
        <f>S6-AG6</f>
        <v/>
      </c>
      <c r="AP6" s="97">
        <f>IFERROR(AO6/S6,0)</f>
        <v/>
      </c>
    </row>
    <row r="7">
      <c r="B7" s="17">
        <f>B6+1</f>
        <v/>
      </c>
      <c r="C7" s="217">
        <f>IFERROR(AVERAGEIF('Opera Enerji Veri'!C:C,'Opera Günlük Analiz'!B7,'Opera Enerji Veri'!F:F),0)</f>
        <v/>
      </c>
      <c r="D7" s="217">
        <f>IFERROR(AVERAGEIF('Opera Enerji Veri'!$C:$C,'Opera Günlük Analiz'!$B7,'Opera Enerji Veri'!G:G),0)</f>
        <v/>
      </c>
      <c r="E7" s="217">
        <f>IFERROR(AVERAGEIF('Opera Enerji Veri'!$C:$C,'Opera Günlük Analiz'!$B7,'Opera Enerji Veri'!H:H),0)</f>
        <v/>
      </c>
      <c r="F7" s="217">
        <f>SUMIF('Opera Enerji Veri'!$C:$C, 'Opera Günlük Analiz'!$B7,'Opera Enerji Veri'!BE:BE)</f>
        <v/>
      </c>
      <c r="G7" s="217">
        <f>SUMIF('Opera Enerji Veri'!$C:$C, 'Opera Günlük Analiz'!$B7,'Opera Enerji Veri'!AY:AY)</f>
        <v/>
      </c>
      <c r="H7" s="217">
        <f>IFERROR(F7/G7,0)</f>
        <v/>
      </c>
      <c r="I7" s="217">
        <f>SUMIF('Opera Enerji Veri'!$C:$C, 'Opera Günlük Analiz'!$B7,'Opera Enerji Veri'!J:J)</f>
        <v/>
      </c>
      <c r="J7" s="217">
        <f>SUMIF('Opera Enerji Veri'!$C:$C, 'Opera Günlük Analiz'!$B7,'Opera Enerji Veri'!BF:BF)</f>
        <v/>
      </c>
      <c r="K7" s="217">
        <f>SUMIF('Opera Enerji Veri'!$C:$C, 'Opera Günlük Analiz'!$B7,'Opera Enerji Veri'!BG:BG)</f>
        <v/>
      </c>
      <c r="L7" s="217">
        <f>SUMIF('Opera Enerji Veri'!$C:$C, 'Opera Günlük Analiz'!$B7,'Opera Enerji Veri'!BH:BH)</f>
        <v/>
      </c>
      <c r="M7" s="217">
        <f>SUMIF('Opera Enerji Veri'!$C:$C, 'Opera Günlük Analiz'!$B7,'Opera Enerji Veri'!BB:BB)</f>
        <v/>
      </c>
      <c r="N7" s="217">
        <f>SUMIF('Opera Enerji Veri'!$C:$C, 'Opera Günlük Analiz'!$B7,'Opera Enerji Veri'!BJ:BJ)</f>
        <v/>
      </c>
      <c r="O7" s="217">
        <f>SUMIF('Opera Enerji Veri'!$C:$C, 'Opera Günlük Analiz'!$B7,'Opera Enerji Veri'!BK:BK)</f>
        <v/>
      </c>
      <c r="P7" s="217">
        <f>SUMIF('Opera Enerji Veri'!$C:$C, 'Opera Günlük Analiz'!$B7,'Opera Enerji Veri'!BL:BL)</f>
        <v/>
      </c>
      <c r="Q7" s="217">
        <f>J7+K7+P7-M7</f>
        <v/>
      </c>
      <c r="R7" s="217">
        <f>F7-Q7-M7</f>
        <v/>
      </c>
      <c r="S7" s="217">
        <f>M7+R7</f>
        <v/>
      </c>
      <c r="T7" s="217">
        <f>IFERROR(Q7/G7,0)</f>
        <v/>
      </c>
      <c r="U7" s="218">
        <f>IF(G7=0,0,S7/G7)</f>
        <v/>
      </c>
      <c r="V7" s="225">
        <f>IFERROR(U7/H7,0)</f>
        <v/>
      </c>
      <c r="W7" s="27">
        <f>IFERROR(ABS(N7/G7),0)</f>
        <v/>
      </c>
      <c r="X7" s="109">
        <f>SUMIF('Opera Enerji Veri'!$C:$C, 'Opera Günlük Analiz'!$B7,'Opera Enerji Veri'!BU:BU)</f>
        <v/>
      </c>
      <c r="Y7" s="217">
        <f>SUMIF('Opera Enerji Veri'!$C:$C, 'Opera Günlük Analiz'!$B7,'Opera Enerji Veri'!BD:BD)</f>
        <v/>
      </c>
      <c r="Z7" s="217">
        <f>SUMIF('Opera Enerji Veri'!$C:$C, 'Opera Günlük Analiz'!$B7,'Opera Enerji Veri'!BW:BW)</f>
        <v/>
      </c>
      <c r="AA7" s="217">
        <f>SUMIF('Opera Enerji Veri'!$C:$C, 'Opera Günlük Analiz'!$B7,'Opera Enerji Veri'!BX:BX)</f>
        <v/>
      </c>
      <c r="AB7" s="217">
        <f>SUMIF('Opera Enerji Veri'!$C:$C, 'Opera Günlük Analiz'!$B7,'Opera Enerji Veri'!BY:BY)</f>
        <v/>
      </c>
      <c r="AC7" s="219">
        <f>SUMIF('Opera Enerji Veri'!$C:$C, 'Opera Günlük Analiz'!$B7,'Opera Enerji Veri'!CI:CI)</f>
        <v/>
      </c>
      <c r="AD7" s="219">
        <f>IFERROR(AC7/G7,0)</f>
        <v/>
      </c>
      <c r="AE7" s="217">
        <f>J7+K7+L7+AB7-Y7</f>
        <v/>
      </c>
      <c r="AF7" s="217">
        <f>F7-AE7-Y7</f>
        <v/>
      </c>
      <c r="AG7" s="217">
        <f>Y7+AF7</f>
        <v/>
      </c>
      <c r="AH7" s="217">
        <f>IFERROR(AE7/G7,0)</f>
        <v/>
      </c>
      <c r="AI7" s="218">
        <f>IF(G7=0,0,AG7/G7)</f>
        <v/>
      </c>
      <c r="AJ7" s="225">
        <f>IFERROR(AI7/H7,0)</f>
        <v/>
      </c>
      <c r="AK7" s="27">
        <f>IFERROR(ABS(Z7/G7),0)</f>
        <v/>
      </c>
      <c r="AL7" s="109">
        <f>SUMIF('Opera Enerji Veri'!$C:$C, 'Opera Günlük Analiz'!$B7,'Opera Enerji Veri'!CH:CH)</f>
        <v/>
      </c>
      <c r="AM7" s="217">
        <f>M7-Y7</f>
        <v/>
      </c>
      <c r="AN7" s="97">
        <f>IFERROR(AM7/M7,0)</f>
        <v/>
      </c>
      <c r="AO7" s="217">
        <f>S7-AG7</f>
        <v/>
      </c>
      <c r="AP7" s="97">
        <f>IFERROR(AO7/S7,0)</f>
        <v/>
      </c>
    </row>
    <row r="8">
      <c r="B8" s="17">
        <f>B7+1</f>
        <v/>
      </c>
      <c r="C8" s="217">
        <f>IFERROR(AVERAGEIF('Opera Enerji Veri'!C:C,'Opera Günlük Analiz'!B8,'Opera Enerji Veri'!F:F),0)</f>
        <v/>
      </c>
      <c r="D8" s="217">
        <f>IFERROR(AVERAGEIF('Opera Enerji Veri'!$C:$C,'Opera Günlük Analiz'!$B8,'Opera Enerji Veri'!G:G),0)</f>
        <v/>
      </c>
      <c r="E8" s="217">
        <f>IFERROR(AVERAGEIF('Opera Enerji Veri'!$C:$C,'Opera Günlük Analiz'!$B8,'Opera Enerji Veri'!H:H),0)</f>
        <v/>
      </c>
      <c r="F8" s="217">
        <f>SUMIF('Opera Enerji Veri'!$C:$C, 'Opera Günlük Analiz'!$B8,'Opera Enerji Veri'!BE:BE)</f>
        <v/>
      </c>
      <c r="G8" s="217">
        <f>SUMIF('Opera Enerji Veri'!$C:$C, 'Opera Günlük Analiz'!$B8,'Opera Enerji Veri'!AY:AY)</f>
        <v/>
      </c>
      <c r="H8" s="217">
        <f>IFERROR(F8/G8,0)</f>
        <v/>
      </c>
      <c r="I8" s="217">
        <f>SUMIF('Opera Enerji Veri'!$C:$C, 'Opera Günlük Analiz'!$B8,'Opera Enerji Veri'!J:J)</f>
        <v/>
      </c>
      <c r="J8" s="217">
        <f>SUMIF('Opera Enerji Veri'!$C:$C, 'Opera Günlük Analiz'!$B8,'Opera Enerji Veri'!BF:BF)</f>
        <v/>
      </c>
      <c r="K8" s="217">
        <f>SUMIF('Opera Enerji Veri'!$C:$C, 'Opera Günlük Analiz'!$B8,'Opera Enerji Veri'!BG:BG)</f>
        <v/>
      </c>
      <c r="L8" s="217">
        <f>SUMIF('Opera Enerji Veri'!$C:$C, 'Opera Günlük Analiz'!$B8,'Opera Enerji Veri'!BH:BH)</f>
        <v/>
      </c>
      <c r="M8" s="217">
        <f>SUMIF('Opera Enerji Veri'!$C:$C, 'Opera Günlük Analiz'!$B8,'Opera Enerji Veri'!BB:BB)</f>
        <v/>
      </c>
      <c r="N8" s="217">
        <f>SUMIF('Opera Enerji Veri'!$C:$C, 'Opera Günlük Analiz'!$B8,'Opera Enerji Veri'!BJ:BJ)</f>
        <v/>
      </c>
      <c r="O8" s="217">
        <f>SUMIF('Opera Enerji Veri'!$C:$C, 'Opera Günlük Analiz'!$B8,'Opera Enerji Veri'!BK:BK)</f>
        <v/>
      </c>
      <c r="P8" s="217">
        <f>SUMIF('Opera Enerji Veri'!$C:$C, 'Opera Günlük Analiz'!$B8,'Opera Enerji Veri'!BL:BL)</f>
        <v/>
      </c>
      <c r="Q8" s="217">
        <f>J8+K8+P8-M8</f>
        <v/>
      </c>
      <c r="R8" s="217">
        <f>F8-Q8-M8</f>
        <v/>
      </c>
      <c r="S8" s="217">
        <f>M8+R8</f>
        <v/>
      </c>
      <c r="T8" s="217">
        <f>IFERROR(Q8/G8,0)</f>
        <v/>
      </c>
      <c r="U8" s="218">
        <f>IF(G8=0,0,S8/G8)</f>
        <v/>
      </c>
      <c r="V8" s="225">
        <f>IFERROR(U8/H8,0)</f>
        <v/>
      </c>
      <c r="W8" s="27">
        <f>IFERROR(ABS(N8/G8),0)</f>
        <v/>
      </c>
      <c r="X8" s="109">
        <f>SUMIF('Opera Enerji Veri'!$C:$C, 'Opera Günlük Analiz'!$B8,'Opera Enerji Veri'!BU:BU)</f>
        <v/>
      </c>
      <c r="Y8" s="217">
        <f>SUMIF('Opera Enerji Veri'!$C:$C, 'Opera Günlük Analiz'!$B8,'Opera Enerji Veri'!BD:BD)</f>
        <v/>
      </c>
      <c r="Z8" s="217">
        <f>SUMIF('Opera Enerji Veri'!$C:$C, 'Opera Günlük Analiz'!$B8,'Opera Enerji Veri'!BW:BW)</f>
        <v/>
      </c>
      <c r="AA8" s="217">
        <f>SUMIF('Opera Enerji Veri'!$C:$C, 'Opera Günlük Analiz'!$B8,'Opera Enerji Veri'!BX:BX)</f>
        <v/>
      </c>
      <c r="AB8" s="217">
        <f>SUMIF('Opera Enerji Veri'!$C:$C, 'Opera Günlük Analiz'!$B8,'Opera Enerji Veri'!BY:BY)</f>
        <v/>
      </c>
      <c r="AC8" s="219">
        <f>SUMIF('Opera Enerji Veri'!$C:$C, 'Opera Günlük Analiz'!$B8,'Opera Enerji Veri'!CI:CI)</f>
        <v/>
      </c>
      <c r="AD8" s="219">
        <f>IFERROR(AC8/G8,0)</f>
        <v/>
      </c>
      <c r="AE8" s="217">
        <f>J8+K8+L8+AB8-Y8</f>
        <v/>
      </c>
      <c r="AF8" s="217">
        <f>F8-AE8-Y8</f>
        <v/>
      </c>
      <c r="AG8" s="217">
        <f>Y8+AF8</f>
        <v/>
      </c>
      <c r="AH8" s="217">
        <f>IFERROR(AE8/G8,0)</f>
        <v/>
      </c>
      <c r="AI8" s="218">
        <f>IF(G8=0,0,AG8/G8)</f>
        <v/>
      </c>
      <c r="AJ8" s="225">
        <f>IFERROR(AI8/H8,0)</f>
        <v/>
      </c>
      <c r="AK8" s="27">
        <f>IFERROR(ABS(Z8/G8),0)</f>
        <v/>
      </c>
      <c r="AL8" s="109">
        <f>SUMIF('Opera Enerji Veri'!$C:$C, 'Opera Günlük Analiz'!$B8,'Opera Enerji Veri'!CH:CH)</f>
        <v/>
      </c>
      <c r="AM8" s="217">
        <f>M8-Y8</f>
        <v/>
      </c>
      <c r="AN8" s="97">
        <f>IFERROR(AM8/M8,0)</f>
        <v/>
      </c>
      <c r="AO8" s="217">
        <f>S8-AG8</f>
        <v/>
      </c>
      <c r="AP8" s="97">
        <f>IFERROR(AO8/S8,0)</f>
        <v/>
      </c>
    </row>
    <row r="9">
      <c r="B9" s="17">
        <f>B8+1</f>
        <v/>
      </c>
      <c r="C9" s="217">
        <f>IFERROR(AVERAGEIF('Opera Enerji Veri'!C:C,'Opera Günlük Analiz'!B9,'Opera Enerji Veri'!F:F),0)</f>
        <v/>
      </c>
      <c r="D9" s="217">
        <f>IFERROR(AVERAGEIF('Opera Enerji Veri'!$C:$C,'Opera Günlük Analiz'!$B9,'Opera Enerji Veri'!G:G),0)</f>
        <v/>
      </c>
      <c r="E9" s="217">
        <f>IFERROR(AVERAGEIF('Opera Enerji Veri'!$C:$C,'Opera Günlük Analiz'!$B9,'Opera Enerji Veri'!H:H),0)</f>
        <v/>
      </c>
      <c r="F9" s="217">
        <f>SUMIF('Opera Enerji Veri'!$C:$C, 'Opera Günlük Analiz'!$B9,'Opera Enerji Veri'!BE:BE)</f>
        <v/>
      </c>
      <c r="G9" s="217">
        <f>SUMIF('Opera Enerji Veri'!$C:$C, 'Opera Günlük Analiz'!$B9,'Opera Enerji Veri'!AY:AY)</f>
        <v/>
      </c>
      <c r="H9" s="217">
        <f>IFERROR(F9/G9,0)</f>
        <v/>
      </c>
      <c r="I9" s="217">
        <f>SUMIF('Opera Enerji Veri'!$C:$C, 'Opera Günlük Analiz'!$B9,'Opera Enerji Veri'!J:J)</f>
        <v/>
      </c>
      <c r="J9" s="217">
        <f>SUMIF('Opera Enerji Veri'!$C:$C, 'Opera Günlük Analiz'!$B9,'Opera Enerji Veri'!BF:BF)</f>
        <v/>
      </c>
      <c r="K9" s="217">
        <f>SUMIF('Opera Enerji Veri'!$C:$C, 'Opera Günlük Analiz'!$B9,'Opera Enerji Veri'!BG:BG)</f>
        <v/>
      </c>
      <c r="L9" s="217">
        <f>SUMIF('Opera Enerji Veri'!$C:$C, 'Opera Günlük Analiz'!$B9,'Opera Enerji Veri'!BH:BH)</f>
        <v/>
      </c>
      <c r="M9" s="217">
        <f>SUMIF('Opera Enerji Veri'!$C:$C, 'Opera Günlük Analiz'!$B9,'Opera Enerji Veri'!BB:BB)</f>
        <v/>
      </c>
      <c r="N9" s="217">
        <f>SUMIF('Opera Enerji Veri'!$C:$C, 'Opera Günlük Analiz'!$B9,'Opera Enerji Veri'!BJ:BJ)</f>
        <v/>
      </c>
      <c r="O9" s="217">
        <f>SUMIF('Opera Enerji Veri'!$C:$C, 'Opera Günlük Analiz'!$B9,'Opera Enerji Veri'!BK:BK)</f>
        <v/>
      </c>
      <c r="P9" s="217">
        <f>SUMIF('Opera Enerji Veri'!$C:$C, 'Opera Günlük Analiz'!$B9,'Opera Enerji Veri'!BL:BL)</f>
        <v/>
      </c>
      <c r="Q9" s="217">
        <f>J9+K9+P9-M9</f>
        <v/>
      </c>
      <c r="R9" s="217">
        <f>F9-Q9-M9</f>
        <v/>
      </c>
      <c r="S9" s="217">
        <f>M9+R9</f>
        <v/>
      </c>
      <c r="T9" s="217">
        <f>IFERROR(Q9/G9,0)</f>
        <v/>
      </c>
      <c r="U9" s="218">
        <f>IF(G9=0,0,S9/G9)</f>
        <v/>
      </c>
      <c r="V9" s="225">
        <f>IFERROR(U9/H9,0)</f>
        <v/>
      </c>
      <c r="W9" s="27">
        <f>IFERROR(ABS(N9/G9),0)</f>
        <v/>
      </c>
      <c r="X9" s="109">
        <f>SUMIF('Opera Enerji Veri'!$C:$C, 'Opera Günlük Analiz'!$B9,'Opera Enerji Veri'!BU:BU)</f>
        <v/>
      </c>
      <c r="Y9" s="217">
        <f>SUMIF('Opera Enerji Veri'!$C:$C, 'Opera Günlük Analiz'!$B9,'Opera Enerji Veri'!BD:BD)</f>
        <v/>
      </c>
      <c r="Z9" s="217">
        <f>SUMIF('Opera Enerji Veri'!$C:$C, 'Opera Günlük Analiz'!$B9,'Opera Enerji Veri'!BW:BW)</f>
        <v/>
      </c>
      <c r="AA9" s="217">
        <f>SUMIF('Opera Enerji Veri'!$C:$C, 'Opera Günlük Analiz'!$B9,'Opera Enerji Veri'!BX:BX)</f>
        <v/>
      </c>
      <c r="AB9" s="217">
        <f>SUMIF('Opera Enerji Veri'!$C:$C, 'Opera Günlük Analiz'!$B9,'Opera Enerji Veri'!BY:BY)</f>
        <v/>
      </c>
      <c r="AC9" s="219">
        <f>SUMIF('Opera Enerji Veri'!$C:$C, 'Opera Günlük Analiz'!$B9,'Opera Enerji Veri'!CI:CI)</f>
        <v/>
      </c>
      <c r="AD9" s="219">
        <f>IFERROR(AC9/G9,0)</f>
        <v/>
      </c>
      <c r="AE9" s="217">
        <f>J9+K9+L9+AB9-Y9</f>
        <v/>
      </c>
      <c r="AF9" s="217">
        <f>F9-AE9-Y9</f>
        <v/>
      </c>
      <c r="AG9" s="217">
        <f>Y9+AF9</f>
        <v/>
      </c>
      <c r="AH9" s="217">
        <f>IFERROR(AE9/G9,0)</f>
        <v/>
      </c>
      <c r="AI9" s="218">
        <f>IF(G9=0,0,AG9/G9)</f>
        <v/>
      </c>
      <c r="AJ9" s="225">
        <f>IFERROR(AI9/H9,0)</f>
        <v/>
      </c>
      <c r="AK9" s="27">
        <f>IFERROR(ABS(Z9/G9),0)</f>
        <v/>
      </c>
      <c r="AL9" s="109">
        <f>SUMIF('Opera Enerji Veri'!$C:$C, 'Opera Günlük Analiz'!$B9,'Opera Enerji Veri'!CH:CH)</f>
        <v/>
      </c>
      <c r="AM9" s="217">
        <f>M9-Y9</f>
        <v/>
      </c>
      <c r="AN9" s="97">
        <f>IFERROR(AM9/M9,0)</f>
        <v/>
      </c>
      <c r="AO9" s="217">
        <f>S9-AG9</f>
        <v/>
      </c>
      <c r="AP9" s="97">
        <f>IFERROR(AO9/S9,0)</f>
        <v/>
      </c>
    </row>
    <row r="10">
      <c r="B10" s="17">
        <f>B9+1</f>
        <v/>
      </c>
      <c r="C10" s="217">
        <f>IFERROR(AVERAGEIF('Opera Enerji Veri'!C:C,'Opera Günlük Analiz'!B10,'Opera Enerji Veri'!F:F),0)</f>
        <v/>
      </c>
      <c r="D10" s="217">
        <f>IFERROR(AVERAGEIF('Opera Enerji Veri'!$C:$C,'Opera Günlük Analiz'!$B10,'Opera Enerji Veri'!G:G),0)</f>
        <v/>
      </c>
      <c r="E10" s="217">
        <f>IFERROR(AVERAGEIF('Opera Enerji Veri'!$C:$C,'Opera Günlük Analiz'!$B10,'Opera Enerji Veri'!H:H),0)</f>
        <v/>
      </c>
      <c r="F10" s="217">
        <f>SUMIF('Opera Enerji Veri'!$C:$C, 'Opera Günlük Analiz'!$B10,'Opera Enerji Veri'!BE:BE)</f>
        <v/>
      </c>
      <c r="G10" s="217">
        <f>SUMIF('Opera Enerji Veri'!$C:$C, 'Opera Günlük Analiz'!$B10,'Opera Enerji Veri'!AY:AY)</f>
        <v/>
      </c>
      <c r="H10" s="217">
        <f>IFERROR(F10/G10,0)</f>
        <v/>
      </c>
      <c r="I10" s="217">
        <f>SUMIF('Opera Enerji Veri'!$C:$C, 'Opera Günlük Analiz'!$B10,'Opera Enerji Veri'!J:J)</f>
        <v/>
      </c>
      <c r="J10" s="217">
        <f>SUMIF('Opera Enerji Veri'!$C:$C, 'Opera Günlük Analiz'!$B10,'Opera Enerji Veri'!BF:BF)</f>
        <v/>
      </c>
      <c r="K10" s="217">
        <f>SUMIF('Opera Enerji Veri'!$C:$C, 'Opera Günlük Analiz'!$B10,'Opera Enerji Veri'!BG:BG)</f>
        <v/>
      </c>
      <c r="L10" s="217">
        <f>SUMIF('Opera Enerji Veri'!$C:$C, 'Opera Günlük Analiz'!$B10,'Opera Enerji Veri'!BH:BH)</f>
        <v/>
      </c>
      <c r="M10" s="217">
        <f>SUMIF('Opera Enerji Veri'!$C:$C, 'Opera Günlük Analiz'!$B10,'Opera Enerji Veri'!BB:BB)</f>
        <v/>
      </c>
      <c r="N10" s="217">
        <f>SUMIF('Opera Enerji Veri'!$C:$C, 'Opera Günlük Analiz'!$B10,'Opera Enerji Veri'!BJ:BJ)</f>
        <v/>
      </c>
      <c r="O10" s="217">
        <f>SUMIF('Opera Enerji Veri'!$C:$C, 'Opera Günlük Analiz'!$B10,'Opera Enerji Veri'!BK:BK)</f>
        <v/>
      </c>
      <c r="P10" s="217">
        <f>SUMIF('Opera Enerji Veri'!$C:$C, 'Opera Günlük Analiz'!$B10,'Opera Enerji Veri'!BL:BL)</f>
        <v/>
      </c>
      <c r="Q10" s="217">
        <f>J10+K10+P10-M10</f>
        <v/>
      </c>
      <c r="R10" s="217">
        <f>F10-Q10-M10</f>
        <v/>
      </c>
      <c r="S10" s="217">
        <f>M10+R10</f>
        <v/>
      </c>
      <c r="T10" s="217">
        <f>IFERROR(Q10/G10,0)</f>
        <v/>
      </c>
      <c r="U10" s="218">
        <f>IF(G10=0,0,S10/G10)</f>
        <v/>
      </c>
      <c r="V10" s="225">
        <f>IFERROR(U10/H10,0)</f>
        <v/>
      </c>
      <c r="W10" s="27">
        <f>IFERROR(ABS(N10/G10),0)</f>
        <v/>
      </c>
      <c r="X10" s="109">
        <f>SUMIF('Opera Enerji Veri'!$C:$C, 'Opera Günlük Analiz'!$B10,'Opera Enerji Veri'!BU:BU)</f>
        <v/>
      </c>
      <c r="Y10" s="217">
        <f>SUMIF('Opera Enerji Veri'!$C:$C, 'Opera Günlük Analiz'!$B10,'Opera Enerji Veri'!BD:BD)</f>
        <v/>
      </c>
      <c r="Z10" s="217">
        <f>SUMIF('Opera Enerji Veri'!$C:$C, 'Opera Günlük Analiz'!$B10,'Opera Enerji Veri'!BW:BW)</f>
        <v/>
      </c>
      <c r="AA10" s="217">
        <f>SUMIF('Opera Enerji Veri'!$C:$C, 'Opera Günlük Analiz'!$B10,'Opera Enerji Veri'!BX:BX)</f>
        <v/>
      </c>
      <c r="AB10" s="217">
        <f>SUMIF('Opera Enerji Veri'!$C:$C, 'Opera Günlük Analiz'!$B10,'Opera Enerji Veri'!BY:BY)</f>
        <v/>
      </c>
      <c r="AC10" s="219">
        <f>SUMIF('Opera Enerji Veri'!$C:$C, 'Opera Günlük Analiz'!$B10,'Opera Enerji Veri'!CI:CI)</f>
        <v/>
      </c>
      <c r="AD10" s="219">
        <f>IFERROR(AC10/G10,0)</f>
        <v/>
      </c>
      <c r="AE10" s="217">
        <f>J10+K10+L10+AB10-Y10</f>
        <v/>
      </c>
      <c r="AF10" s="217">
        <f>F10-AE10-Y10</f>
        <v/>
      </c>
      <c r="AG10" s="217">
        <f>Y10+AF10</f>
        <v/>
      </c>
      <c r="AH10" s="217">
        <f>IFERROR(AE10/G10,0)</f>
        <v/>
      </c>
      <c r="AI10" s="218">
        <f>IF(G10=0,0,AG10/G10)</f>
        <v/>
      </c>
      <c r="AJ10" s="225">
        <f>IFERROR(AI10/H10,0)</f>
        <v/>
      </c>
      <c r="AK10" s="27">
        <f>IFERROR(ABS(Z10/G10),0)</f>
        <v/>
      </c>
      <c r="AL10" s="109">
        <f>SUMIF('Opera Enerji Veri'!$C:$C, 'Opera Günlük Analiz'!$B10,'Opera Enerji Veri'!CH:CH)</f>
        <v/>
      </c>
      <c r="AM10" s="217">
        <f>M10-Y10</f>
        <v/>
      </c>
      <c r="AN10" s="97">
        <f>IFERROR(AM10/M10,0)</f>
        <v/>
      </c>
      <c r="AO10" s="217">
        <f>S10-AG10</f>
        <v/>
      </c>
      <c r="AP10" s="97">
        <f>IFERROR(AO10/S10,0)</f>
        <v/>
      </c>
    </row>
    <row r="11">
      <c r="B11" s="17">
        <f>B10+1</f>
        <v/>
      </c>
      <c r="C11" s="217">
        <f>IFERROR(AVERAGEIF('Opera Enerji Veri'!C:C,'Opera Günlük Analiz'!B11,'Opera Enerji Veri'!F:F),0)</f>
        <v/>
      </c>
      <c r="D11" s="217">
        <f>IFERROR(AVERAGEIF('Opera Enerji Veri'!$C:$C,'Opera Günlük Analiz'!$B11,'Opera Enerji Veri'!G:G),0)</f>
        <v/>
      </c>
      <c r="E11" s="217">
        <f>IFERROR(AVERAGEIF('Opera Enerji Veri'!$C:$C,'Opera Günlük Analiz'!$B11,'Opera Enerji Veri'!H:H),0)</f>
        <v/>
      </c>
      <c r="F11" s="217">
        <f>SUMIF('Opera Enerji Veri'!$C:$C, 'Opera Günlük Analiz'!$B11,'Opera Enerji Veri'!BE:BE)</f>
        <v/>
      </c>
      <c r="G11" s="217">
        <f>SUMIF('Opera Enerji Veri'!$C:$C, 'Opera Günlük Analiz'!$B11,'Opera Enerji Veri'!AY:AY)</f>
        <v/>
      </c>
      <c r="H11" s="217">
        <f>IFERROR(F11/G11,0)</f>
        <v/>
      </c>
      <c r="I11" s="217">
        <f>SUMIF('Opera Enerji Veri'!$C:$C, 'Opera Günlük Analiz'!$B11,'Opera Enerji Veri'!J:J)</f>
        <v/>
      </c>
      <c r="J11" s="217">
        <f>SUMIF('Opera Enerji Veri'!$C:$C, 'Opera Günlük Analiz'!$B11,'Opera Enerji Veri'!BF:BF)</f>
        <v/>
      </c>
      <c r="K11" s="217">
        <f>SUMIF('Opera Enerji Veri'!$C:$C, 'Opera Günlük Analiz'!$B11,'Opera Enerji Veri'!BG:BG)</f>
        <v/>
      </c>
      <c r="L11" s="217">
        <f>SUMIF('Opera Enerji Veri'!$C:$C, 'Opera Günlük Analiz'!$B11,'Opera Enerji Veri'!BH:BH)</f>
        <v/>
      </c>
      <c r="M11" s="217">
        <f>SUMIF('Opera Enerji Veri'!$C:$C, 'Opera Günlük Analiz'!$B11,'Opera Enerji Veri'!BB:BB)</f>
        <v/>
      </c>
      <c r="N11" s="217">
        <f>SUMIF('Opera Enerji Veri'!$C:$C, 'Opera Günlük Analiz'!$B11,'Opera Enerji Veri'!BJ:BJ)</f>
        <v/>
      </c>
      <c r="O11" s="217">
        <f>SUMIF('Opera Enerji Veri'!$C:$C, 'Opera Günlük Analiz'!$B11,'Opera Enerji Veri'!BK:BK)</f>
        <v/>
      </c>
      <c r="P11" s="217">
        <f>SUMIF('Opera Enerji Veri'!$C:$C, 'Opera Günlük Analiz'!$B11,'Opera Enerji Veri'!BL:BL)</f>
        <v/>
      </c>
      <c r="Q11" s="217">
        <f>J11+K11+P11-M11</f>
        <v/>
      </c>
      <c r="R11" s="217">
        <f>F11-Q11-M11</f>
        <v/>
      </c>
      <c r="S11" s="217">
        <f>M11+R11</f>
        <v/>
      </c>
      <c r="T11" s="217">
        <f>IFERROR(Q11/G11,0)</f>
        <v/>
      </c>
      <c r="U11" s="218">
        <f>IF(G11=0,0,S11/G11)</f>
        <v/>
      </c>
      <c r="V11" s="225">
        <f>IFERROR(U11/H11,0)</f>
        <v/>
      </c>
      <c r="W11" s="27">
        <f>IFERROR(ABS(N11/G11),0)</f>
        <v/>
      </c>
      <c r="X11" s="109">
        <f>SUMIF('Opera Enerji Veri'!$C:$C, 'Opera Günlük Analiz'!$B11,'Opera Enerji Veri'!BU:BU)</f>
        <v/>
      </c>
      <c r="Y11" s="217">
        <f>SUMIF('Opera Enerji Veri'!$C:$C, 'Opera Günlük Analiz'!$B11,'Opera Enerji Veri'!BD:BD)</f>
        <v/>
      </c>
      <c r="Z11" s="217">
        <f>SUMIF('Opera Enerji Veri'!$C:$C, 'Opera Günlük Analiz'!$B11,'Opera Enerji Veri'!BW:BW)</f>
        <v/>
      </c>
      <c r="AA11" s="217">
        <f>SUMIF('Opera Enerji Veri'!$C:$C, 'Opera Günlük Analiz'!$B11,'Opera Enerji Veri'!BX:BX)</f>
        <v/>
      </c>
      <c r="AB11" s="217">
        <f>SUMIF('Opera Enerji Veri'!$C:$C, 'Opera Günlük Analiz'!$B11,'Opera Enerji Veri'!BY:BY)</f>
        <v/>
      </c>
      <c r="AC11" s="219">
        <f>SUMIF('Opera Enerji Veri'!$C:$C, 'Opera Günlük Analiz'!$B11,'Opera Enerji Veri'!CI:CI)</f>
        <v/>
      </c>
      <c r="AD11" s="219">
        <f>IFERROR(AC11/G11,0)</f>
        <v/>
      </c>
      <c r="AE11" s="217">
        <f>J11+K11+L11+AB11-Y11</f>
        <v/>
      </c>
      <c r="AF11" s="217">
        <f>F11-AE11-Y11</f>
        <v/>
      </c>
      <c r="AG11" s="217">
        <f>Y11+AF11</f>
        <v/>
      </c>
      <c r="AH11" s="217">
        <f>IFERROR(AE11/G11,0)</f>
        <v/>
      </c>
      <c r="AI11" s="218">
        <f>IF(G11=0,0,AG11/G11)</f>
        <v/>
      </c>
      <c r="AJ11" s="225">
        <f>IFERROR(AI11/H11,0)</f>
        <v/>
      </c>
      <c r="AK11" s="27">
        <f>IFERROR(ABS(Z11/G11),0)</f>
        <v/>
      </c>
      <c r="AL11" s="109">
        <f>SUMIF('Opera Enerji Veri'!$C:$C, 'Opera Günlük Analiz'!$B11,'Opera Enerji Veri'!CH:CH)</f>
        <v/>
      </c>
      <c r="AM11" s="217">
        <f>M11-Y11</f>
        <v/>
      </c>
      <c r="AN11" s="97">
        <f>IFERROR(AM11/M11,0)</f>
        <v/>
      </c>
      <c r="AO11" s="217">
        <f>S11-AG11</f>
        <v/>
      </c>
      <c r="AP11" s="97">
        <f>IFERROR(AO11/S11,0)</f>
        <v/>
      </c>
    </row>
    <row r="12">
      <c r="B12" s="17">
        <f>B11+1</f>
        <v/>
      </c>
      <c r="C12" s="217">
        <f>IFERROR(AVERAGEIF('Opera Enerji Veri'!C:C,'Opera Günlük Analiz'!B12,'Opera Enerji Veri'!F:F),0)</f>
        <v/>
      </c>
      <c r="D12" s="217">
        <f>IFERROR(AVERAGEIF('Opera Enerji Veri'!$C:$C,'Opera Günlük Analiz'!$B12,'Opera Enerji Veri'!G:G),0)</f>
        <v/>
      </c>
      <c r="E12" s="217">
        <f>IFERROR(AVERAGEIF('Opera Enerji Veri'!$C:$C,'Opera Günlük Analiz'!$B12,'Opera Enerji Veri'!H:H),0)</f>
        <v/>
      </c>
      <c r="F12" s="217">
        <f>SUMIF('Opera Enerji Veri'!$C:$C, 'Opera Günlük Analiz'!$B12,'Opera Enerji Veri'!BE:BE)</f>
        <v/>
      </c>
      <c r="G12" s="217">
        <f>SUMIF('Opera Enerji Veri'!$C:$C, 'Opera Günlük Analiz'!$B12,'Opera Enerji Veri'!AY:AY)</f>
        <v/>
      </c>
      <c r="H12" s="217">
        <f>IFERROR(F12/G12,0)</f>
        <v/>
      </c>
      <c r="I12" s="217">
        <f>SUMIF('Opera Enerji Veri'!$C:$C, 'Opera Günlük Analiz'!$B12,'Opera Enerji Veri'!J:J)</f>
        <v/>
      </c>
      <c r="J12" s="217">
        <f>SUMIF('Opera Enerji Veri'!$C:$C, 'Opera Günlük Analiz'!$B12,'Opera Enerji Veri'!BF:BF)</f>
        <v/>
      </c>
      <c r="K12" s="217">
        <f>SUMIF('Opera Enerji Veri'!$C:$C, 'Opera Günlük Analiz'!$B12,'Opera Enerji Veri'!BG:BG)</f>
        <v/>
      </c>
      <c r="L12" s="217">
        <f>SUMIF('Opera Enerji Veri'!$C:$C, 'Opera Günlük Analiz'!$B12,'Opera Enerji Veri'!BH:BH)</f>
        <v/>
      </c>
      <c r="M12" s="217">
        <f>SUMIF('Opera Enerji Veri'!$C:$C, 'Opera Günlük Analiz'!$B12,'Opera Enerji Veri'!BB:BB)</f>
        <v/>
      </c>
      <c r="N12" s="217">
        <f>SUMIF('Opera Enerji Veri'!$C:$C, 'Opera Günlük Analiz'!$B12,'Opera Enerji Veri'!BJ:BJ)</f>
        <v/>
      </c>
      <c r="O12" s="217">
        <f>SUMIF('Opera Enerji Veri'!$C:$C, 'Opera Günlük Analiz'!$B12,'Opera Enerji Veri'!BK:BK)</f>
        <v/>
      </c>
      <c r="P12" s="217">
        <f>SUMIF('Opera Enerji Veri'!$C:$C, 'Opera Günlük Analiz'!$B12,'Opera Enerji Veri'!BL:BL)</f>
        <v/>
      </c>
      <c r="Q12" s="217">
        <f>J12+K12+P12-M12</f>
        <v/>
      </c>
      <c r="R12" s="217">
        <f>F12-Q12-M12</f>
        <v/>
      </c>
      <c r="S12" s="217">
        <f>M12+R12</f>
        <v/>
      </c>
      <c r="T12" s="217">
        <f>IFERROR(Q12/G12,0)</f>
        <v/>
      </c>
      <c r="U12" s="218">
        <f>IF(G12=0,0,S12/G12)</f>
        <v/>
      </c>
      <c r="V12" s="225">
        <f>IFERROR(U12/H12,0)</f>
        <v/>
      </c>
      <c r="W12" s="27">
        <f>IFERROR(ABS(N12/G12),0)</f>
        <v/>
      </c>
      <c r="X12" s="109">
        <f>SUMIF('Opera Enerji Veri'!$C:$C, 'Opera Günlük Analiz'!$B12,'Opera Enerji Veri'!BU:BU)</f>
        <v/>
      </c>
      <c r="Y12" s="217">
        <f>SUMIF('Opera Enerji Veri'!$C:$C, 'Opera Günlük Analiz'!$B12,'Opera Enerji Veri'!BD:BD)</f>
        <v/>
      </c>
      <c r="Z12" s="217">
        <f>SUMIF('Opera Enerji Veri'!$C:$C, 'Opera Günlük Analiz'!$B12,'Opera Enerji Veri'!BW:BW)</f>
        <v/>
      </c>
      <c r="AA12" s="217">
        <f>SUMIF('Opera Enerji Veri'!$C:$C, 'Opera Günlük Analiz'!$B12,'Opera Enerji Veri'!BX:BX)</f>
        <v/>
      </c>
      <c r="AB12" s="217">
        <f>SUMIF('Opera Enerji Veri'!$C:$C, 'Opera Günlük Analiz'!$B12,'Opera Enerji Veri'!BY:BY)</f>
        <v/>
      </c>
      <c r="AC12" s="219">
        <f>SUMIF('Opera Enerji Veri'!$C:$C, 'Opera Günlük Analiz'!$B12,'Opera Enerji Veri'!CI:CI)</f>
        <v/>
      </c>
      <c r="AD12" s="219">
        <f>IFERROR(AC12/G12,0)</f>
        <v/>
      </c>
      <c r="AE12" s="217">
        <f>J12+K12+L12+AB12-Y12</f>
        <v/>
      </c>
      <c r="AF12" s="217">
        <f>F12-AE12-Y12</f>
        <v/>
      </c>
      <c r="AG12" s="217">
        <f>Y12+AF12</f>
        <v/>
      </c>
      <c r="AH12" s="217">
        <f>IFERROR(AE12/G12,0)</f>
        <v/>
      </c>
      <c r="AI12" s="218">
        <f>IF(G12=0,0,AG12/G12)</f>
        <v/>
      </c>
      <c r="AJ12" s="225">
        <f>IFERROR(AI12/H12,0)</f>
        <v/>
      </c>
      <c r="AK12" s="27">
        <f>IFERROR(ABS(Z12/G12),0)</f>
        <v/>
      </c>
      <c r="AL12" s="109">
        <f>SUMIF('Opera Enerji Veri'!$C:$C, 'Opera Günlük Analiz'!$B12,'Opera Enerji Veri'!CH:CH)</f>
        <v/>
      </c>
      <c r="AM12" s="217">
        <f>M12-Y12</f>
        <v/>
      </c>
      <c r="AN12" s="97">
        <f>IFERROR(AM12/M12,0)</f>
        <v/>
      </c>
      <c r="AO12" s="217">
        <f>S12-AG12</f>
        <v/>
      </c>
      <c r="AP12" s="97">
        <f>IFERROR(AO12/S12,0)</f>
        <v/>
      </c>
    </row>
    <row r="13">
      <c r="B13" s="17">
        <f>B12+1</f>
        <v/>
      </c>
      <c r="C13" s="217">
        <f>IFERROR(AVERAGEIF('Opera Enerji Veri'!C:C,'Opera Günlük Analiz'!B13,'Opera Enerji Veri'!F:F),0)</f>
        <v/>
      </c>
      <c r="D13" s="217">
        <f>IFERROR(AVERAGEIF('Opera Enerji Veri'!$C:$C,'Opera Günlük Analiz'!$B13,'Opera Enerji Veri'!G:G),0)</f>
        <v/>
      </c>
      <c r="E13" s="217">
        <f>IFERROR(AVERAGEIF('Opera Enerji Veri'!$C:$C,'Opera Günlük Analiz'!$B13,'Opera Enerji Veri'!H:H),0)</f>
        <v/>
      </c>
      <c r="F13" s="217">
        <f>SUMIF('Opera Enerji Veri'!$C:$C, 'Opera Günlük Analiz'!$B13,'Opera Enerji Veri'!BE:BE)</f>
        <v/>
      </c>
      <c r="G13" s="217">
        <f>SUMIF('Opera Enerji Veri'!$C:$C, 'Opera Günlük Analiz'!$B13,'Opera Enerji Veri'!AY:AY)</f>
        <v/>
      </c>
      <c r="H13" s="217">
        <f>IFERROR(F13/G13,0)</f>
        <v/>
      </c>
      <c r="I13" s="217">
        <f>SUMIF('Opera Enerji Veri'!$C:$C, 'Opera Günlük Analiz'!$B13,'Opera Enerji Veri'!J:J)</f>
        <v/>
      </c>
      <c r="J13" s="217">
        <f>SUMIF('Opera Enerji Veri'!$C:$C, 'Opera Günlük Analiz'!$B13,'Opera Enerji Veri'!BF:BF)</f>
        <v/>
      </c>
      <c r="K13" s="217">
        <f>SUMIF('Opera Enerji Veri'!$C:$C, 'Opera Günlük Analiz'!$B13,'Opera Enerji Veri'!BG:BG)</f>
        <v/>
      </c>
      <c r="L13" s="217">
        <f>SUMIF('Opera Enerji Veri'!$C:$C, 'Opera Günlük Analiz'!$B13,'Opera Enerji Veri'!BH:BH)</f>
        <v/>
      </c>
      <c r="M13" s="217">
        <f>SUMIF('Opera Enerji Veri'!$C:$C, 'Opera Günlük Analiz'!$B13,'Opera Enerji Veri'!BB:BB)</f>
        <v/>
      </c>
      <c r="N13" s="217">
        <f>SUMIF('Opera Enerji Veri'!$C:$C, 'Opera Günlük Analiz'!$B13,'Opera Enerji Veri'!BJ:BJ)</f>
        <v/>
      </c>
      <c r="O13" s="217">
        <f>SUMIF('Opera Enerji Veri'!$C:$C, 'Opera Günlük Analiz'!$B13,'Opera Enerji Veri'!BK:BK)</f>
        <v/>
      </c>
      <c r="P13" s="217">
        <f>SUMIF('Opera Enerji Veri'!$C:$C, 'Opera Günlük Analiz'!$B13,'Opera Enerji Veri'!BL:BL)</f>
        <v/>
      </c>
      <c r="Q13" s="217">
        <f>J13+K13+P13-M13</f>
        <v/>
      </c>
      <c r="R13" s="217">
        <f>F13-Q13-M13</f>
        <v/>
      </c>
      <c r="S13" s="217">
        <f>M13+R13</f>
        <v/>
      </c>
      <c r="T13" s="217">
        <f>IFERROR(Q13/G13,0)</f>
        <v/>
      </c>
      <c r="U13" s="218">
        <f>IF(G13=0,0,S13/G13)</f>
        <v/>
      </c>
      <c r="V13" s="225">
        <f>IFERROR(U13/H13,0)</f>
        <v/>
      </c>
      <c r="W13" s="27">
        <f>IFERROR(ABS(N13/G13),0)</f>
        <v/>
      </c>
      <c r="X13" s="109">
        <f>SUMIF('Opera Enerji Veri'!$C:$C, 'Opera Günlük Analiz'!$B13,'Opera Enerji Veri'!BU:BU)</f>
        <v/>
      </c>
      <c r="Y13" s="217">
        <f>SUMIF('Opera Enerji Veri'!$C:$C, 'Opera Günlük Analiz'!$B13,'Opera Enerji Veri'!BD:BD)</f>
        <v/>
      </c>
      <c r="Z13" s="217">
        <f>SUMIF('Opera Enerji Veri'!$C:$C, 'Opera Günlük Analiz'!$B13,'Opera Enerji Veri'!BW:BW)</f>
        <v/>
      </c>
      <c r="AA13" s="217">
        <f>SUMIF('Opera Enerji Veri'!$C:$C, 'Opera Günlük Analiz'!$B13,'Opera Enerji Veri'!BX:BX)</f>
        <v/>
      </c>
      <c r="AB13" s="217">
        <f>SUMIF('Opera Enerji Veri'!$C:$C, 'Opera Günlük Analiz'!$B13,'Opera Enerji Veri'!BY:BY)</f>
        <v/>
      </c>
      <c r="AC13" s="219">
        <f>SUMIF('Opera Enerji Veri'!$C:$C, 'Opera Günlük Analiz'!$B13,'Opera Enerji Veri'!CI:CI)</f>
        <v/>
      </c>
      <c r="AD13" s="219">
        <f>IFERROR(AC13/G13,0)</f>
        <v/>
      </c>
      <c r="AE13" s="217">
        <f>J13+K13+L13+AB13-Y13</f>
        <v/>
      </c>
      <c r="AF13" s="217">
        <f>F13-AE13-Y13</f>
        <v/>
      </c>
      <c r="AG13" s="217">
        <f>Y13+AF13</f>
        <v/>
      </c>
      <c r="AH13" s="217">
        <f>IFERROR(AE13/G13,0)</f>
        <v/>
      </c>
      <c r="AI13" s="218">
        <f>IF(G13=0,0,AG13/G13)</f>
        <v/>
      </c>
      <c r="AJ13" s="225">
        <f>IFERROR(AI13/H13,0)</f>
        <v/>
      </c>
      <c r="AK13" s="27">
        <f>IFERROR(ABS(Z13/G13),0)</f>
        <v/>
      </c>
      <c r="AL13" s="109">
        <f>SUMIF('Opera Enerji Veri'!$C:$C, 'Opera Günlük Analiz'!$B13,'Opera Enerji Veri'!CH:CH)</f>
        <v/>
      </c>
      <c r="AM13" s="217">
        <f>M13-Y13</f>
        <v/>
      </c>
      <c r="AN13" s="97">
        <f>IFERROR(AM13/M13,0)</f>
        <v/>
      </c>
      <c r="AO13" s="217">
        <f>S13-AG13</f>
        <v/>
      </c>
      <c r="AP13" s="97">
        <f>IFERROR(AO13/S13,0)</f>
        <v/>
      </c>
    </row>
    <row r="14">
      <c r="B14" s="17">
        <f>B13+1</f>
        <v/>
      </c>
      <c r="C14" s="217">
        <f>IFERROR(AVERAGEIF('Opera Enerji Veri'!C:C,'Opera Günlük Analiz'!B14,'Opera Enerji Veri'!F:F),0)</f>
        <v/>
      </c>
      <c r="D14" s="217">
        <f>IFERROR(AVERAGEIF('Opera Enerji Veri'!$C:$C,'Opera Günlük Analiz'!$B14,'Opera Enerji Veri'!G:G),0)</f>
        <v/>
      </c>
      <c r="E14" s="217">
        <f>IFERROR(AVERAGEIF('Opera Enerji Veri'!$C:$C,'Opera Günlük Analiz'!$B14,'Opera Enerji Veri'!H:H),0)</f>
        <v/>
      </c>
      <c r="F14" s="217">
        <f>SUMIF('Opera Enerji Veri'!$C:$C, 'Opera Günlük Analiz'!$B14,'Opera Enerji Veri'!BE:BE)</f>
        <v/>
      </c>
      <c r="G14" s="217">
        <f>SUMIF('Opera Enerji Veri'!$C:$C, 'Opera Günlük Analiz'!$B14,'Opera Enerji Veri'!AY:AY)</f>
        <v/>
      </c>
      <c r="H14" s="217">
        <f>IFERROR(F14/G14,0)</f>
        <v/>
      </c>
      <c r="I14" s="217">
        <f>SUMIF('Opera Enerji Veri'!$C:$C, 'Opera Günlük Analiz'!$B14,'Opera Enerji Veri'!J:J)</f>
        <v/>
      </c>
      <c r="J14" s="217">
        <f>SUMIF('Opera Enerji Veri'!$C:$C, 'Opera Günlük Analiz'!$B14,'Opera Enerji Veri'!BF:BF)</f>
        <v/>
      </c>
      <c r="K14" s="217">
        <f>SUMIF('Opera Enerji Veri'!$C:$C, 'Opera Günlük Analiz'!$B14,'Opera Enerji Veri'!BG:BG)</f>
        <v/>
      </c>
      <c r="L14" s="217">
        <f>SUMIF('Opera Enerji Veri'!$C:$C, 'Opera Günlük Analiz'!$B14,'Opera Enerji Veri'!BH:BH)</f>
        <v/>
      </c>
      <c r="M14" s="217">
        <f>SUMIF('Opera Enerji Veri'!$C:$C, 'Opera Günlük Analiz'!$B14,'Opera Enerji Veri'!BB:BB)</f>
        <v/>
      </c>
      <c r="N14" s="217">
        <f>SUMIF('Opera Enerji Veri'!$C:$C, 'Opera Günlük Analiz'!$B14,'Opera Enerji Veri'!BJ:BJ)</f>
        <v/>
      </c>
      <c r="O14" s="217">
        <f>SUMIF('Opera Enerji Veri'!$C:$C, 'Opera Günlük Analiz'!$B14,'Opera Enerji Veri'!BK:BK)</f>
        <v/>
      </c>
      <c r="P14" s="217">
        <f>SUMIF('Opera Enerji Veri'!$C:$C, 'Opera Günlük Analiz'!$B14,'Opera Enerji Veri'!BL:BL)</f>
        <v/>
      </c>
      <c r="Q14" s="217">
        <f>J14+K14+P14-M14</f>
        <v/>
      </c>
      <c r="R14" s="217">
        <f>F14-Q14-M14</f>
        <v/>
      </c>
      <c r="S14" s="217">
        <f>M14+R14</f>
        <v/>
      </c>
      <c r="T14" s="217">
        <f>IFERROR(Q14/G14,0)</f>
        <v/>
      </c>
      <c r="U14" s="218">
        <f>IF(G14=0,0,S14/G14)</f>
        <v/>
      </c>
      <c r="V14" s="225">
        <f>IFERROR(U14/H14,0)</f>
        <v/>
      </c>
      <c r="W14" s="27">
        <f>IFERROR(ABS(N14/G14),0)</f>
        <v/>
      </c>
      <c r="X14" s="109">
        <f>SUMIF('Opera Enerji Veri'!$C:$C, 'Opera Günlük Analiz'!$B14,'Opera Enerji Veri'!BU:BU)</f>
        <v/>
      </c>
      <c r="Y14" s="217">
        <f>SUMIF('Opera Enerji Veri'!$C:$C, 'Opera Günlük Analiz'!$B14,'Opera Enerji Veri'!BD:BD)</f>
        <v/>
      </c>
      <c r="Z14" s="217">
        <f>SUMIF('Opera Enerji Veri'!$C:$C, 'Opera Günlük Analiz'!$B14,'Opera Enerji Veri'!BW:BW)</f>
        <v/>
      </c>
      <c r="AA14" s="217">
        <f>SUMIF('Opera Enerji Veri'!$C:$C, 'Opera Günlük Analiz'!$B14,'Opera Enerji Veri'!BX:BX)</f>
        <v/>
      </c>
      <c r="AB14" s="217">
        <f>SUMIF('Opera Enerji Veri'!$C:$C, 'Opera Günlük Analiz'!$B14,'Opera Enerji Veri'!BY:BY)</f>
        <v/>
      </c>
      <c r="AC14" s="219">
        <f>SUMIF('Opera Enerji Veri'!$C:$C, 'Opera Günlük Analiz'!$B14,'Opera Enerji Veri'!CI:CI)</f>
        <v/>
      </c>
      <c r="AD14" s="219">
        <f>IFERROR(AC14/G14,0)</f>
        <v/>
      </c>
      <c r="AE14" s="217">
        <f>J14+K14+L14+AB14-Y14</f>
        <v/>
      </c>
      <c r="AF14" s="217">
        <f>F14-AE14-Y14</f>
        <v/>
      </c>
      <c r="AG14" s="217">
        <f>Y14+AF14</f>
        <v/>
      </c>
      <c r="AH14" s="217">
        <f>IFERROR(AE14/G14,0)</f>
        <v/>
      </c>
      <c r="AI14" s="218">
        <f>IF(G14=0,0,AG14/G14)</f>
        <v/>
      </c>
      <c r="AJ14" s="225">
        <f>IFERROR(AI14/H14,0)</f>
        <v/>
      </c>
      <c r="AK14" s="27">
        <f>IFERROR(ABS(Z14/G14),0)</f>
        <v/>
      </c>
      <c r="AL14" s="109">
        <f>SUMIF('Opera Enerji Veri'!$C:$C, 'Opera Günlük Analiz'!$B14,'Opera Enerji Veri'!CH:CH)</f>
        <v/>
      </c>
      <c r="AM14" s="217">
        <f>M14-Y14</f>
        <v/>
      </c>
      <c r="AN14" s="97">
        <f>IFERROR(AM14/M14,0)</f>
        <v/>
      </c>
      <c r="AO14" s="217">
        <f>S14-AG14</f>
        <v/>
      </c>
      <c r="AP14" s="97">
        <f>IFERROR(AO14/S14,0)</f>
        <v/>
      </c>
    </row>
    <row r="15">
      <c r="B15" s="17">
        <f>B14+1</f>
        <v/>
      </c>
      <c r="C15" s="217">
        <f>IFERROR(AVERAGEIF('Opera Enerji Veri'!C:C,'Opera Günlük Analiz'!B15,'Opera Enerji Veri'!F:F),0)</f>
        <v/>
      </c>
      <c r="D15" s="217">
        <f>IFERROR(AVERAGEIF('Opera Enerji Veri'!$C:$C,'Opera Günlük Analiz'!$B15,'Opera Enerji Veri'!G:G),0)</f>
        <v/>
      </c>
      <c r="E15" s="217">
        <f>IFERROR(AVERAGEIF('Opera Enerji Veri'!$C:$C,'Opera Günlük Analiz'!$B15,'Opera Enerji Veri'!H:H),0)</f>
        <v/>
      </c>
      <c r="F15" s="217">
        <f>SUMIF('Opera Enerji Veri'!$C:$C, 'Opera Günlük Analiz'!$B15,'Opera Enerji Veri'!BE:BE)</f>
        <v/>
      </c>
      <c r="G15" s="217">
        <f>SUMIF('Opera Enerji Veri'!$C:$C, 'Opera Günlük Analiz'!$B15,'Opera Enerji Veri'!AY:AY)</f>
        <v/>
      </c>
      <c r="H15" s="217">
        <f>IFERROR(F15/G15,0)</f>
        <v/>
      </c>
      <c r="I15" s="217">
        <f>SUMIF('Opera Enerji Veri'!$C:$C, 'Opera Günlük Analiz'!$B15,'Opera Enerji Veri'!J:J)</f>
        <v/>
      </c>
      <c r="J15" s="217">
        <f>SUMIF('Opera Enerji Veri'!$C:$C, 'Opera Günlük Analiz'!$B15,'Opera Enerji Veri'!BF:BF)</f>
        <v/>
      </c>
      <c r="K15" s="217">
        <f>SUMIF('Opera Enerji Veri'!$C:$C, 'Opera Günlük Analiz'!$B15,'Opera Enerji Veri'!BG:BG)</f>
        <v/>
      </c>
      <c r="L15" s="217">
        <f>SUMIF('Opera Enerji Veri'!$C:$C, 'Opera Günlük Analiz'!$B15,'Opera Enerji Veri'!BH:BH)</f>
        <v/>
      </c>
      <c r="M15" s="217">
        <f>SUMIF('Opera Enerji Veri'!$C:$C, 'Opera Günlük Analiz'!$B15,'Opera Enerji Veri'!BB:BB)</f>
        <v/>
      </c>
      <c r="N15" s="217">
        <f>SUMIF('Opera Enerji Veri'!$C:$C, 'Opera Günlük Analiz'!$B15,'Opera Enerji Veri'!BJ:BJ)</f>
        <v/>
      </c>
      <c r="O15" s="217">
        <f>SUMIF('Opera Enerji Veri'!$C:$C, 'Opera Günlük Analiz'!$B15,'Opera Enerji Veri'!BK:BK)</f>
        <v/>
      </c>
      <c r="P15" s="217">
        <f>SUMIF('Opera Enerji Veri'!$C:$C, 'Opera Günlük Analiz'!$B15,'Opera Enerji Veri'!BL:BL)</f>
        <v/>
      </c>
      <c r="Q15" s="217">
        <f>J15+K15+P15-M15</f>
        <v/>
      </c>
      <c r="R15" s="217">
        <f>F15-Q15-M15</f>
        <v/>
      </c>
      <c r="S15" s="217">
        <f>M15+R15</f>
        <v/>
      </c>
      <c r="T15" s="217">
        <f>IFERROR(Q15/G15,0)</f>
        <v/>
      </c>
      <c r="U15" s="218">
        <f>IF(G15=0,0,S15/G15)</f>
        <v/>
      </c>
      <c r="V15" s="225">
        <f>IFERROR(U15/H15,0)</f>
        <v/>
      </c>
      <c r="W15" s="27">
        <f>IFERROR(ABS(N15/G15),0)</f>
        <v/>
      </c>
      <c r="X15" s="109">
        <f>SUMIF('Opera Enerji Veri'!$C:$C, 'Opera Günlük Analiz'!$B15,'Opera Enerji Veri'!BU:BU)</f>
        <v/>
      </c>
      <c r="Y15" s="217">
        <f>SUMIF('Opera Enerji Veri'!$C:$C, 'Opera Günlük Analiz'!$B15,'Opera Enerji Veri'!BD:BD)</f>
        <v/>
      </c>
      <c r="Z15" s="217">
        <f>SUMIF('Opera Enerji Veri'!$C:$C, 'Opera Günlük Analiz'!$B15,'Opera Enerji Veri'!BW:BW)</f>
        <v/>
      </c>
      <c r="AA15" s="217">
        <f>SUMIF('Opera Enerji Veri'!$C:$C, 'Opera Günlük Analiz'!$B15,'Opera Enerji Veri'!BX:BX)</f>
        <v/>
      </c>
      <c r="AB15" s="217">
        <f>SUMIF('Opera Enerji Veri'!$C:$C, 'Opera Günlük Analiz'!$B15,'Opera Enerji Veri'!BY:BY)</f>
        <v/>
      </c>
      <c r="AC15" s="219">
        <f>SUMIF('Opera Enerji Veri'!$C:$C, 'Opera Günlük Analiz'!$B15,'Opera Enerji Veri'!CI:CI)</f>
        <v/>
      </c>
      <c r="AD15" s="219">
        <f>IFERROR(AC15/G15,0)</f>
        <v/>
      </c>
      <c r="AE15" s="217">
        <f>J15+K15+L15+AB15-Y15</f>
        <v/>
      </c>
      <c r="AF15" s="217">
        <f>F15-AE15-Y15</f>
        <v/>
      </c>
      <c r="AG15" s="217">
        <f>Y15+AF15</f>
        <v/>
      </c>
      <c r="AH15" s="217">
        <f>IFERROR(AE15/G15,0)</f>
        <v/>
      </c>
      <c r="AI15" s="218">
        <f>IF(G15=0,0,AG15/G15)</f>
        <v/>
      </c>
      <c r="AJ15" s="225">
        <f>IFERROR(AI15/H15,0)</f>
        <v/>
      </c>
      <c r="AK15" s="27">
        <f>IFERROR(ABS(Z15/G15),0)</f>
        <v/>
      </c>
      <c r="AL15" s="109">
        <f>SUMIF('Opera Enerji Veri'!$C:$C, 'Opera Günlük Analiz'!$B15,'Opera Enerji Veri'!CH:CH)</f>
        <v/>
      </c>
      <c r="AM15" s="217">
        <f>M15-Y15</f>
        <v/>
      </c>
      <c r="AN15" s="97">
        <f>IFERROR(AM15/M15,0)</f>
        <v/>
      </c>
      <c r="AO15" s="217">
        <f>S15-AG15</f>
        <v/>
      </c>
      <c r="AP15" s="97">
        <f>IFERROR(AO15/S15,0)</f>
        <v/>
      </c>
    </row>
    <row r="16">
      <c r="B16" s="17">
        <f>B15+1</f>
        <v/>
      </c>
      <c r="C16" s="217">
        <f>IFERROR(AVERAGEIF('Opera Enerji Veri'!C:C,'Opera Günlük Analiz'!B16,'Opera Enerji Veri'!F:F),0)</f>
        <v/>
      </c>
      <c r="D16" s="217">
        <f>IFERROR(AVERAGEIF('Opera Enerji Veri'!$C:$C,'Opera Günlük Analiz'!$B16,'Opera Enerji Veri'!G:G),0)</f>
        <v/>
      </c>
      <c r="E16" s="217">
        <f>IFERROR(AVERAGEIF('Opera Enerji Veri'!$C:$C,'Opera Günlük Analiz'!$B16,'Opera Enerji Veri'!H:H),0)</f>
        <v/>
      </c>
      <c r="F16" s="217">
        <f>SUMIF('Opera Enerji Veri'!$C:$C, 'Opera Günlük Analiz'!$B16,'Opera Enerji Veri'!BE:BE)</f>
        <v/>
      </c>
      <c r="G16" s="217">
        <f>SUMIF('Opera Enerji Veri'!$C:$C, 'Opera Günlük Analiz'!$B16,'Opera Enerji Veri'!AY:AY)</f>
        <v/>
      </c>
      <c r="H16" s="217">
        <f>IFERROR(F16/G16,0)</f>
        <v/>
      </c>
      <c r="I16" s="217">
        <f>SUMIF('Opera Enerji Veri'!$C:$C, 'Opera Günlük Analiz'!$B16,'Opera Enerji Veri'!J:J)</f>
        <v/>
      </c>
      <c r="J16" s="217">
        <f>SUMIF('Opera Enerji Veri'!$C:$C, 'Opera Günlük Analiz'!$B16,'Opera Enerji Veri'!BF:BF)</f>
        <v/>
      </c>
      <c r="K16" s="217">
        <f>SUMIF('Opera Enerji Veri'!$C:$C, 'Opera Günlük Analiz'!$B16,'Opera Enerji Veri'!BG:BG)</f>
        <v/>
      </c>
      <c r="L16" s="217">
        <f>SUMIF('Opera Enerji Veri'!$C:$C, 'Opera Günlük Analiz'!$B16,'Opera Enerji Veri'!BH:BH)</f>
        <v/>
      </c>
      <c r="M16" s="217">
        <f>SUMIF('Opera Enerji Veri'!$C:$C, 'Opera Günlük Analiz'!$B16,'Opera Enerji Veri'!BB:BB)</f>
        <v/>
      </c>
      <c r="N16" s="217">
        <f>SUMIF('Opera Enerji Veri'!$C:$C, 'Opera Günlük Analiz'!$B16,'Opera Enerji Veri'!BJ:BJ)</f>
        <v/>
      </c>
      <c r="O16" s="217">
        <f>SUMIF('Opera Enerji Veri'!$C:$C, 'Opera Günlük Analiz'!$B16,'Opera Enerji Veri'!BK:BK)</f>
        <v/>
      </c>
      <c r="P16" s="217">
        <f>SUMIF('Opera Enerji Veri'!$C:$C, 'Opera Günlük Analiz'!$B16,'Opera Enerji Veri'!BL:BL)</f>
        <v/>
      </c>
      <c r="Q16" s="217">
        <f>J16+K16+P16-M16</f>
        <v/>
      </c>
      <c r="R16" s="217">
        <f>F16-Q16-M16</f>
        <v/>
      </c>
      <c r="S16" s="217">
        <f>M16+R16</f>
        <v/>
      </c>
      <c r="T16" s="217">
        <f>IFERROR(Q16/G16,0)</f>
        <v/>
      </c>
      <c r="U16" s="218">
        <f>IF(G16=0,0,S16/G16)</f>
        <v/>
      </c>
      <c r="V16" s="225">
        <f>IFERROR(U16/H16,0)</f>
        <v/>
      </c>
      <c r="W16" s="27">
        <f>IFERROR(ABS(N16/G16),0)</f>
        <v/>
      </c>
      <c r="X16" s="109">
        <f>SUMIF('Opera Enerji Veri'!$C:$C, 'Opera Günlük Analiz'!$B16,'Opera Enerji Veri'!BU:BU)</f>
        <v/>
      </c>
      <c r="Y16" s="217">
        <f>SUMIF('Opera Enerji Veri'!$C:$C, 'Opera Günlük Analiz'!$B16,'Opera Enerji Veri'!BD:BD)</f>
        <v/>
      </c>
      <c r="Z16" s="217">
        <f>SUMIF('Opera Enerji Veri'!$C:$C, 'Opera Günlük Analiz'!$B16,'Opera Enerji Veri'!BW:BW)</f>
        <v/>
      </c>
      <c r="AA16" s="217">
        <f>SUMIF('Opera Enerji Veri'!$C:$C, 'Opera Günlük Analiz'!$B16,'Opera Enerji Veri'!BX:BX)</f>
        <v/>
      </c>
      <c r="AB16" s="217">
        <f>SUMIF('Opera Enerji Veri'!$C:$C, 'Opera Günlük Analiz'!$B16,'Opera Enerji Veri'!BY:BY)</f>
        <v/>
      </c>
      <c r="AC16" s="219">
        <f>SUMIF('Opera Enerji Veri'!$C:$C, 'Opera Günlük Analiz'!$B16,'Opera Enerji Veri'!CI:CI)</f>
        <v/>
      </c>
      <c r="AD16" s="219">
        <f>IFERROR(AC16/G16,0)</f>
        <v/>
      </c>
      <c r="AE16" s="217">
        <f>J16+K16+L16+AB16-Y16</f>
        <v/>
      </c>
      <c r="AF16" s="217">
        <f>F16-AE16-Y16</f>
        <v/>
      </c>
      <c r="AG16" s="217">
        <f>Y16+AF16</f>
        <v/>
      </c>
      <c r="AH16" s="217">
        <f>IFERROR(AE16/G16,0)</f>
        <v/>
      </c>
      <c r="AI16" s="218">
        <f>IF(G16=0,0,AG16/G16)</f>
        <v/>
      </c>
      <c r="AJ16" s="225">
        <f>IFERROR(AI16/H16,0)</f>
        <v/>
      </c>
      <c r="AK16" s="27">
        <f>IFERROR(ABS(Z16/G16),0)</f>
        <v/>
      </c>
      <c r="AL16" s="109">
        <f>SUMIF('Opera Enerji Veri'!$C:$C, 'Opera Günlük Analiz'!$B16,'Opera Enerji Veri'!CH:CH)</f>
        <v/>
      </c>
      <c r="AM16" s="217">
        <f>M16-Y16</f>
        <v/>
      </c>
      <c r="AN16" s="97">
        <f>IFERROR(AM16/M16,0)</f>
        <v/>
      </c>
      <c r="AO16" s="217">
        <f>S16-AG16</f>
        <v/>
      </c>
      <c r="AP16" s="97">
        <f>IFERROR(AO16/S16,0)</f>
        <v/>
      </c>
    </row>
    <row r="17">
      <c r="B17" s="17">
        <f>B16+1</f>
        <v/>
      </c>
      <c r="C17" s="217">
        <f>IFERROR(AVERAGEIF('Opera Enerji Veri'!C:C,'Opera Günlük Analiz'!B17,'Opera Enerji Veri'!F:F),0)</f>
        <v/>
      </c>
      <c r="D17" s="217">
        <f>IFERROR(AVERAGEIF('Opera Enerji Veri'!$C:$C,'Opera Günlük Analiz'!$B17,'Opera Enerji Veri'!G:G),0)</f>
        <v/>
      </c>
      <c r="E17" s="217">
        <f>IFERROR(AVERAGEIF('Opera Enerji Veri'!$C:$C,'Opera Günlük Analiz'!$B17,'Opera Enerji Veri'!H:H),0)</f>
        <v/>
      </c>
      <c r="F17" s="217">
        <f>SUMIF('Opera Enerji Veri'!$C:$C, 'Opera Günlük Analiz'!$B17,'Opera Enerji Veri'!BE:BE)</f>
        <v/>
      </c>
      <c r="G17" s="217">
        <f>SUMIF('Opera Enerji Veri'!$C:$C, 'Opera Günlük Analiz'!$B17,'Opera Enerji Veri'!AY:AY)</f>
        <v/>
      </c>
      <c r="H17" s="217">
        <f>IFERROR(F17/G17,0)</f>
        <v/>
      </c>
      <c r="I17" s="217">
        <f>SUMIF('Opera Enerji Veri'!$C:$C, 'Opera Günlük Analiz'!$B17,'Opera Enerji Veri'!J:J)</f>
        <v/>
      </c>
      <c r="J17" s="217">
        <f>SUMIF('Opera Enerji Veri'!$C:$C, 'Opera Günlük Analiz'!$B17,'Opera Enerji Veri'!BF:BF)</f>
        <v/>
      </c>
      <c r="K17" s="217">
        <f>SUMIF('Opera Enerji Veri'!$C:$C, 'Opera Günlük Analiz'!$B17,'Opera Enerji Veri'!BG:BG)</f>
        <v/>
      </c>
      <c r="L17" s="217">
        <f>SUMIF('Opera Enerji Veri'!$C:$C, 'Opera Günlük Analiz'!$B17,'Opera Enerji Veri'!BH:BH)</f>
        <v/>
      </c>
      <c r="M17" s="217">
        <f>SUMIF('Opera Enerji Veri'!$C:$C, 'Opera Günlük Analiz'!$B17,'Opera Enerji Veri'!BB:BB)</f>
        <v/>
      </c>
      <c r="N17" s="217">
        <f>SUMIF('Opera Enerji Veri'!$C:$C, 'Opera Günlük Analiz'!$B17,'Opera Enerji Veri'!BJ:BJ)</f>
        <v/>
      </c>
      <c r="O17" s="217">
        <f>SUMIF('Opera Enerji Veri'!$C:$C, 'Opera Günlük Analiz'!$B17,'Opera Enerji Veri'!BK:BK)</f>
        <v/>
      </c>
      <c r="P17" s="217">
        <f>SUMIF('Opera Enerji Veri'!$C:$C, 'Opera Günlük Analiz'!$B17,'Opera Enerji Veri'!BL:BL)</f>
        <v/>
      </c>
      <c r="Q17" s="217">
        <f>J17+K17+P17-M17</f>
        <v/>
      </c>
      <c r="R17" s="217">
        <f>F17-Q17-M17</f>
        <v/>
      </c>
      <c r="S17" s="217">
        <f>M17+R17</f>
        <v/>
      </c>
      <c r="T17" s="217">
        <f>IFERROR(Q17/G17,0)</f>
        <v/>
      </c>
      <c r="U17" s="218">
        <f>IF(G17=0,0,S17/G17)</f>
        <v/>
      </c>
      <c r="V17" s="225">
        <f>IFERROR(U17/H17,0)</f>
        <v/>
      </c>
      <c r="W17" s="27">
        <f>IFERROR(ABS(N17/G17),0)</f>
        <v/>
      </c>
      <c r="X17" s="109">
        <f>SUMIF('Opera Enerji Veri'!$C:$C, 'Opera Günlük Analiz'!$B17,'Opera Enerji Veri'!BU:BU)</f>
        <v/>
      </c>
      <c r="Y17" s="217">
        <f>SUMIF('Opera Enerji Veri'!$C:$C, 'Opera Günlük Analiz'!$B17,'Opera Enerji Veri'!BD:BD)</f>
        <v/>
      </c>
      <c r="Z17" s="217">
        <f>SUMIF('Opera Enerji Veri'!$C:$C, 'Opera Günlük Analiz'!$B17,'Opera Enerji Veri'!BW:BW)</f>
        <v/>
      </c>
      <c r="AA17" s="217">
        <f>SUMIF('Opera Enerji Veri'!$C:$C, 'Opera Günlük Analiz'!$B17,'Opera Enerji Veri'!BX:BX)</f>
        <v/>
      </c>
      <c r="AB17" s="217">
        <f>SUMIF('Opera Enerji Veri'!$C:$C, 'Opera Günlük Analiz'!$B17,'Opera Enerji Veri'!BY:BY)</f>
        <v/>
      </c>
      <c r="AC17" s="219">
        <f>SUMIF('Opera Enerji Veri'!$C:$C, 'Opera Günlük Analiz'!$B17,'Opera Enerji Veri'!CI:CI)</f>
        <v/>
      </c>
      <c r="AD17" s="219">
        <f>IFERROR(AC17/G17,0)</f>
        <v/>
      </c>
      <c r="AE17" s="217">
        <f>J17+K17+L17+AB17-Y17</f>
        <v/>
      </c>
      <c r="AF17" s="217">
        <f>F17-AE17-Y17</f>
        <v/>
      </c>
      <c r="AG17" s="217">
        <f>Y17+AF17</f>
        <v/>
      </c>
      <c r="AH17" s="217">
        <f>IFERROR(AE17/G17,0)</f>
        <v/>
      </c>
      <c r="AI17" s="218">
        <f>IF(G17=0,0,AG17/G17)</f>
        <v/>
      </c>
      <c r="AJ17" s="225">
        <f>IFERROR(AI17/H17,0)</f>
        <v/>
      </c>
      <c r="AK17" s="27">
        <f>IFERROR(ABS(Z17/G17),0)</f>
        <v/>
      </c>
      <c r="AL17" s="109">
        <f>SUMIF('Opera Enerji Veri'!$C:$C, 'Opera Günlük Analiz'!$B17,'Opera Enerji Veri'!CH:CH)</f>
        <v/>
      </c>
      <c r="AM17" s="217">
        <f>M17-Y17</f>
        <v/>
      </c>
      <c r="AN17" s="97">
        <f>IFERROR(AM17/M17,0)</f>
        <v/>
      </c>
      <c r="AO17" s="217">
        <f>S17-AG17</f>
        <v/>
      </c>
      <c r="AP17" s="97">
        <f>IFERROR(AO17/S17,0)</f>
        <v/>
      </c>
    </row>
    <row r="18">
      <c r="B18" s="17">
        <f>B17+1</f>
        <v/>
      </c>
      <c r="C18" s="217">
        <f>IFERROR(AVERAGEIF('Opera Enerji Veri'!C:C,'Opera Günlük Analiz'!B18,'Opera Enerji Veri'!F:F),0)</f>
        <v/>
      </c>
      <c r="D18" s="217">
        <f>IFERROR(AVERAGEIF('Opera Enerji Veri'!$C:$C,'Opera Günlük Analiz'!$B18,'Opera Enerji Veri'!G:G),0)</f>
        <v/>
      </c>
      <c r="E18" s="217">
        <f>IFERROR(AVERAGEIF('Opera Enerji Veri'!$C:$C,'Opera Günlük Analiz'!$B18,'Opera Enerji Veri'!H:H),0)</f>
        <v/>
      </c>
      <c r="F18" s="217">
        <f>SUMIF('Opera Enerji Veri'!$C:$C, 'Opera Günlük Analiz'!$B18,'Opera Enerji Veri'!BE:BE)</f>
        <v/>
      </c>
      <c r="G18" s="217">
        <f>SUMIF('Opera Enerji Veri'!$C:$C, 'Opera Günlük Analiz'!$B18,'Opera Enerji Veri'!AY:AY)</f>
        <v/>
      </c>
      <c r="H18" s="217">
        <f>IFERROR(F18/G18,0)</f>
        <v/>
      </c>
      <c r="I18" s="217">
        <f>SUMIF('Opera Enerji Veri'!$C:$C, 'Opera Günlük Analiz'!$B18,'Opera Enerji Veri'!J:J)</f>
        <v/>
      </c>
      <c r="J18" s="217">
        <f>SUMIF('Opera Enerji Veri'!$C:$C, 'Opera Günlük Analiz'!$B18,'Opera Enerji Veri'!BF:BF)</f>
        <v/>
      </c>
      <c r="K18" s="217">
        <f>SUMIF('Opera Enerji Veri'!$C:$C, 'Opera Günlük Analiz'!$B18,'Opera Enerji Veri'!BG:BG)</f>
        <v/>
      </c>
      <c r="L18" s="217">
        <f>SUMIF('Opera Enerji Veri'!$C:$C, 'Opera Günlük Analiz'!$B18,'Opera Enerji Veri'!BH:BH)</f>
        <v/>
      </c>
      <c r="M18" s="217">
        <f>SUMIF('Opera Enerji Veri'!$C:$C, 'Opera Günlük Analiz'!$B18,'Opera Enerji Veri'!BB:BB)</f>
        <v/>
      </c>
      <c r="N18" s="217">
        <f>SUMIF('Opera Enerji Veri'!$C:$C, 'Opera Günlük Analiz'!$B18,'Opera Enerji Veri'!BJ:BJ)</f>
        <v/>
      </c>
      <c r="O18" s="217">
        <f>SUMIF('Opera Enerji Veri'!$C:$C, 'Opera Günlük Analiz'!$B18,'Opera Enerji Veri'!BK:BK)</f>
        <v/>
      </c>
      <c r="P18" s="217">
        <f>SUMIF('Opera Enerji Veri'!$C:$C, 'Opera Günlük Analiz'!$B18,'Opera Enerji Veri'!BL:BL)</f>
        <v/>
      </c>
      <c r="Q18" s="217">
        <f>J18+K18+P18-M18</f>
        <v/>
      </c>
      <c r="R18" s="217">
        <f>F18-Q18-M18</f>
        <v/>
      </c>
      <c r="S18" s="217">
        <f>M18+R18</f>
        <v/>
      </c>
      <c r="T18" s="217">
        <f>IFERROR(Q18/G18,0)</f>
        <v/>
      </c>
      <c r="U18" s="218">
        <f>IF(G18=0,0,S18/G18)</f>
        <v/>
      </c>
      <c r="V18" s="225">
        <f>IFERROR(U18/H18,0)</f>
        <v/>
      </c>
      <c r="W18" s="27">
        <f>IFERROR(ABS(N18/G18),0)</f>
        <v/>
      </c>
      <c r="X18" s="109">
        <f>SUMIF('Opera Enerji Veri'!$C:$C, 'Opera Günlük Analiz'!$B18,'Opera Enerji Veri'!BU:BU)</f>
        <v/>
      </c>
      <c r="Y18" s="217">
        <f>SUMIF('Opera Enerji Veri'!$C:$C, 'Opera Günlük Analiz'!$B18,'Opera Enerji Veri'!BD:BD)</f>
        <v/>
      </c>
      <c r="Z18" s="217">
        <f>SUMIF('Opera Enerji Veri'!$C:$C, 'Opera Günlük Analiz'!$B18,'Opera Enerji Veri'!BW:BW)</f>
        <v/>
      </c>
      <c r="AA18" s="217">
        <f>SUMIF('Opera Enerji Veri'!$C:$C, 'Opera Günlük Analiz'!$B18,'Opera Enerji Veri'!BX:BX)</f>
        <v/>
      </c>
      <c r="AB18" s="217">
        <f>SUMIF('Opera Enerji Veri'!$C:$C, 'Opera Günlük Analiz'!$B18,'Opera Enerji Veri'!BY:BY)</f>
        <v/>
      </c>
      <c r="AC18" s="219">
        <f>SUMIF('Opera Enerji Veri'!$C:$C, 'Opera Günlük Analiz'!$B18,'Opera Enerji Veri'!CI:CI)</f>
        <v/>
      </c>
      <c r="AD18" s="219">
        <f>IFERROR(AC18/G18,0)</f>
        <v/>
      </c>
      <c r="AE18" s="217">
        <f>J18+K18+L18+AB18-Y18</f>
        <v/>
      </c>
      <c r="AF18" s="217">
        <f>F18-AE18-Y18</f>
        <v/>
      </c>
      <c r="AG18" s="217">
        <f>Y18+AF18</f>
        <v/>
      </c>
      <c r="AH18" s="217">
        <f>IFERROR(AE18/G18,0)</f>
        <v/>
      </c>
      <c r="AI18" s="218">
        <f>IF(G18=0,0,AG18/G18)</f>
        <v/>
      </c>
      <c r="AJ18" s="225">
        <f>IFERROR(AI18/H18,0)</f>
        <v/>
      </c>
      <c r="AK18" s="27">
        <f>IFERROR(ABS(Z18/G18),0)</f>
        <v/>
      </c>
      <c r="AL18" s="109">
        <f>SUMIF('Opera Enerji Veri'!$C:$C, 'Opera Günlük Analiz'!$B18,'Opera Enerji Veri'!CH:CH)</f>
        <v/>
      </c>
      <c r="AM18" s="217">
        <f>M18-Y18</f>
        <v/>
      </c>
      <c r="AN18" s="97">
        <f>IFERROR(AM18/M18,0)</f>
        <v/>
      </c>
      <c r="AO18" s="217">
        <f>S18-AG18</f>
        <v/>
      </c>
      <c r="AP18" s="97">
        <f>IFERROR(AO18/S18,0)</f>
        <v/>
      </c>
    </row>
    <row r="19">
      <c r="B19" s="17">
        <f>B18+1</f>
        <v/>
      </c>
      <c r="C19" s="217">
        <f>IFERROR(AVERAGEIF('Opera Enerji Veri'!C:C,'Opera Günlük Analiz'!B19,'Opera Enerji Veri'!F:F),0)</f>
        <v/>
      </c>
      <c r="D19" s="217">
        <f>IFERROR(AVERAGEIF('Opera Enerji Veri'!$C:$C,'Opera Günlük Analiz'!$B19,'Opera Enerji Veri'!G:G),0)</f>
        <v/>
      </c>
      <c r="E19" s="217">
        <f>IFERROR(AVERAGEIF('Opera Enerji Veri'!$C:$C,'Opera Günlük Analiz'!$B19,'Opera Enerji Veri'!H:H),0)</f>
        <v/>
      </c>
      <c r="F19" s="217">
        <f>SUMIF('Opera Enerji Veri'!$C:$C, 'Opera Günlük Analiz'!$B19,'Opera Enerji Veri'!BE:BE)</f>
        <v/>
      </c>
      <c r="G19" s="217">
        <f>SUMIF('Opera Enerji Veri'!$C:$C, 'Opera Günlük Analiz'!$B19,'Opera Enerji Veri'!AY:AY)</f>
        <v/>
      </c>
      <c r="H19" s="217">
        <f>IFERROR(F19/G19,0)</f>
        <v/>
      </c>
      <c r="I19" s="217">
        <f>SUMIF('Opera Enerji Veri'!$C:$C, 'Opera Günlük Analiz'!$B19,'Opera Enerji Veri'!J:J)</f>
        <v/>
      </c>
      <c r="J19" s="217">
        <f>SUMIF('Opera Enerji Veri'!$C:$C, 'Opera Günlük Analiz'!$B19,'Opera Enerji Veri'!BF:BF)</f>
        <v/>
      </c>
      <c r="K19" s="217">
        <f>SUMIF('Opera Enerji Veri'!$C:$C, 'Opera Günlük Analiz'!$B19,'Opera Enerji Veri'!BG:BG)</f>
        <v/>
      </c>
      <c r="L19" s="217">
        <f>SUMIF('Opera Enerji Veri'!$C:$C, 'Opera Günlük Analiz'!$B19,'Opera Enerji Veri'!BH:BH)</f>
        <v/>
      </c>
      <c r="M19" s="217">
        <f>SUMIF('Opera Enerji Veri'!$C:$C, 'Opera Günlük Analiz'!$B19,'Opera Enerji Veri'!BB:BB)</f>
        <v/>
      </c>
      <c r="N19" s="217">
        <f>SUMIF('Opera Enerji Veri'!$C:$C, 'Opera Günlük Analiz'!$B19,'Opera Enerji Veri'!BJ:BJ)</f>
        <v/>
      </c>
      <c r="O19" s="217">
        <f>SUMIF('Opera Enerji Veri'!$C:$C, 'Opera Günlük Analiz'!$B19,'Opera Enerji Veri'!BK:BK)</f>
        <v/>
      </c>
      <c r="P19" s="217">
        <f>SUMIF('Opera Enerji Veri'!$C:$C, 'Opera Günlük Analiz'!$B19,'Opera Enerji Veri'!BL:BL)</f>
        <v/>
      </c>
      <c r="Q19" s="217">
        <f>J19+K19+P19-M19</f>
        <v/>
      </c>
      <c r="R19" s="217">
        <f>F19-Q19-M19</f>
        <v/>
      </c>
      <c r="S19" s="217">
        <f>M19+R19</f>
        <v/>
      </c>
      <c r="T19" s="217">
        <f>IFERROR(Q19/G19,0)</f>
        <v/>
      </c>
      <c r="U19" s="218">
        <f>IF(G19=0,0,S19/G19)</f>
        <v/>
      </c>
      <c r="V19" s="225">
        <f>IFERROR(U19/H19,0)</f>
        <v/>
      </c>
      <c r="W19" s="27">
        <f>IFERROR(ABS(N19/G19),0)</f>
        <v/>
      </c>
      <c r="X19" s="109">
        <f>SUMIF('Opera Enerji Veri'!$C:$C, 'Opera Günlük Analiz'!$B19,'Opera Enerji Veri'!BU:BU)</f>
        <v/>
      </c>
      <c r="Y19" s="217">
        <f>SUMIF('Opera Enerji Veri'!$C:$C, 'Opera Günlük Analiz'!$B19,'Opera Enerji Veri'!BD:BD)</f>
        <v/>
      </c>
      <c r="Z19" s="217">
        <f>SUMIF('Opera Enerji Veri'!$C:$C, 'Opera Günlük Analiz'!$B19,'Opera Enerji Veri'!BW:BW)</f>
        <v/>
      </c>
      <c r="AA19" s="217">
        <f>SUMIF('Opera Enerji Veri'!$C:$C, 'Opera Günlük Analiz'!$B19,'Opera Enerji Veri'!BX:BX)</f>
        <v/>
      </c>
      <c r="AB19" s="217">
        <f>SUMIF('Opera Enerji Veri'!$C:$C, 'Opera Günlük Analiz'!$B19,'Opera Enerji Veri'!BY:BY)</f>
        <v/>
      </c>
      <c r="AC19" s="219">
        <f>SUMIF('Opera Enerji Veri'!$C:$C, 'Opera Günlük Analiz'!$B19,'Opera Enerji Veri'!CI:CI)</f>
        <v/>
      </c>
      <c r="AD19" s="219">
        <f>IFERROR(AC19/G19,0)</f>
        <v/>
      </c>
      <c r="AE19" s="217">
        <f>J19+K19+L19+AB19-Y19</f>
        <v/>
      </c>
      <c r="AF19" s="217">
        <f>F19-AE19-Y19</f>
        <v/>
      </c>
      <c r="AG19" s="217">
        <f>Y19+AF19</f>
        <v/>
      </c>
      <c r="AH19" s="217">
        <f>IFERROR(AE19/G19,0)</f>
        <v/>
      </c>
      <c r="AI19" s="218">
        <f>IF(G19=0,0,AG19/G19)</f>
        <v/>
      </c>
      <c r="AJ19" s="225">
        <f>IFERROR(AI19/H19,0)</f>
        <v/>
      </c>
      <c r="AK19" s="27">
        <f>IFERROR(ABS(Z19/G19),0)</f>
        <v/>
      </c>
      <c r="AL19" s="109">
        <f>SUMIF('Opera Enerji Veri'!$C:$C, 'Opera Günlük Analiz'!$B19,'Opera Enerji Veri'!CH:CH)</f>
        <v/>
      </c>
      <c r="AM19" s="217">
        <f>M19-Y19</f>
        <v/>
      </c>
      <c r="AN19" s="97">
        <f>IFERROR(AM19/M19,0)</f>
        <v/>
      </c>
      <c r="AO19" s="217">
        <f>S19-AG19</f>
        <v/>
      </c>
      <c r="AP19" s="97">
        <f>IFERROR(AO19/S19,0)</f>
        <v/>
      </c>
    </row>
    <row r="20">
      <c r="B20" s="17">
        <f>B19+1</f>
        <v/>
      </c>
      <c r="C20" s="217">
        <f>IFERROR(AVERAGEIF('Opera Enerji Veri'!C:C,'Opera Günlük Analiz'!B20,'Opera Enerji Veri'!F:F),0)</f>
        <v/>
      </c>
      <c r="D20" s="217">
        <f>IFERROR(AVERAGEIF('Opera Enerji Veri'!$C:$C,'Opera Günlük Analiz'!$B20,'Opera Enerji Veri'!G:G),0)</f>
        <v/>
      </c>
      <c r="E20" s="217">
        <f>IFERROR(AVERAGEIF('Opera Enerji Veri'!$C:$C,'Opera Günlük Analiz'!$B20,'Opera Enerji Veri'!H:H),0)</f>
        <v/>
      </c>
      <c r="F20" s="217">
        <f>SUMIF('Opera Enerji Veri'!$C:$C, 'Opera Günlük Analiz'!$B20,'Opera Enerji Veri'!BE:BE)</f>
        <v/>
      </c>
      <c r="G20" s="217">
        <f>SUMIF('Opera Enerji Veri'!$C:$C, 'Opera Günlük Analiz'!$B20,'Opera Enerji Veri'!AY:AY)</f>
        <v/>
      </c>
      <c r="H20" s="217">
        <f>IFERROR(F20/G20,0)</f>
        <v/>
      </c>
      <c r="I20" s="217">
        <f>SUMIF('Opera Enerji Veri'!$C:$C, 'Opera Günlük Analiz'!$B20,'Opera Enerji Veri'!J:J)</f>
        <v/>
      </c>
      <c r="J20" s="217">
        <f>SUMIF('Opera Enerji Veri'!$C:$C, 'Opera Günlük Analiz'!$B20,'Opera Enerji Veri'!BF:BF)</f>
        <v/>
      </c>
      <c r="K20" s="217">
        <f>SUMIF('Opera Enerji Veri'!$C:$C, 'Opera Günlük Analiz'!$B20,'Opera Enerji Veri'!BG:BG)</f>
        <v/>
      </c>
      <c r="L20" s="217">
        <f>SUMIF('Opera Enerji Veri'!$C:$C, 'Opera Günlük Analiz'!$B20,'Opera Enerji Veri'!BH:BH)</f>
        <v/>
      </c>
      <c r="M20" s="217">
        <f>SUMIF('Opera Enerji Veri'!$C:$C, 'Opera Günlük Analiz'!$B20,'Opera Enerji Veri'!BB:BB)</f>
        <v/>
      </c>
      <c r="N20" s="217">
        <f>SUMIF('Opera Enerji Veri'!$C:$C, 'Opera Günlük Analiz'!$B20,'Opera Enerji Veri'!BJ:BJ)</f>
        <v/>
      </c>
      <c r="O20" s="217">
        <f>SUMIF('Opera Enerji Veri'!$C:$C, 'Opera Günlük Analiz'!$B20,'Opera Enerji Veri'!BK:BK)</f>
        <v/>
      </c>
      <c r="P20" s="217">
        <f>SUMIF('Opera Enerji Veri'!$C:$C, 'Opera Günlük Analiz'!$B20,'Opera Enerji Veri'!BL:BL)</f>
        <v/>
      </c>
      <c r="Q20" s="217">
        <f>J20+K20+P20-M20</f>
        <v/>
      </c>
      <c r="R20" s="217">
        <f>F20-Q20-M20</f>
        <v/>
      </c>
      <c r="S20" s="217">
        <f>M20+R20</f>
        <v/>
      </c>
      <c r="T20" s="217">
        <f>IFERROR(Q20/G20,0)</f>
        <v/>
      </c>
      <c r="U20" s="218">
        <f>IF(G20=0,0,S20/G20)</f>
        <v/>
      </c>
      <c r="V20" s="225">
        <f>IFERROR(U20/H20,0)</f>
        <v/>
      </c>
      <c r="W20" s="27">
        <f>IFERROR(ABS(N20/G20),0)</f>
        <v/>
      </c>
      <c r="X20" s="109">
        <f>SUMIF('Opera Enerji Veri'!$C:$C, 'Opera Günlük Analiz'!$B20,'Opera Enerji Veri'!BU:BU)</f>
        <v/>
      </c>
      <c r="Y20" s="217">
        <f>SUMIF('Opera Enerji Veri'!$C:$C, 'Opera Günlük Analiz'!$B20,'Opera Enerji Veri'!BD:BD)</f>
        <v/>
      </c>
      <c r="Z20" s="217">
        <f>SUMIF('Opera Enerji Veri'!$C:$C, 'Opera Günlük Analiz'!$B20,'Opera Enerji Veri'!BW:BW)</f>
        <v/>
      </c>
      <c r="AA20" s="217">
        <f>SUMIF('Opera Enerji Veri'!$C:$C, 'Opera Günlük Analiz'!$B20,'Opera Enerji Veri'!BX:BX)</f>
        <v/>
      </c>
      <c r="AB20" s="217">
        <f>SUMIF('Opera Enerji Veri'!$C:$C, 'Opera Günlük Analiz'!$B20,'Opera Enerji Veri'!BY:BY)</f>
        <v/>
      </c>
      <c r="AC20" s="219">
        <f>SUMIF('Opera Enerji Veri'!$C:$C, 'Opera Günlük Analiz'!$B20,'Opera Enerji Veri'!CI:CI)</f>
        <v/>
      </c>
      <c r="AD20" s="219">
        <f>IFERROR(AC20/G20,0)</f>
        <v/>
      </c>
      <c r="AE20" s="217">
        <f>J20+K20+L20+AB20-Y20</f>
        <v/>
      </c>
      <c r="AF20" s="217">
        <f>F20-AE20-Y20</f>
        <v/>
      </c>
      <c r="AG20" s="217">
        <f>Y20+AF20</f>
        <v/>
      </c>
      <c r="AH20" s="217">
        <f>IFERROR(AE20/G20,0)</f>
        <v/>
      </c>
      <c r="AI20" s="218">
        <f>IF(G20=0,0,AG20/G20)</f>
        <v/>
      </c>
      <c r="AJ20" s="225">
        <f>IFERROR(AI20/H20,0)</f>
        <v/>
      </c>
      <c r="AK20" s="27">
        <f>IFERROR(ABS(Z20/G20),0)</f>
        <v/>
      </c>
      <c r="AL20" s="109">
        <f>SUMIF('Opera Enerji Veri'!$C:$C, 'Opera Günlük Analiz'!$B20,'Opera Enerji Veri'!CH:CH)</f>
        <v/>
      </c>
      <c r="AM20" s="217">
        <f>M20-Y20</f>
        <v/>
      </c>
      <c r="AN20" s="97">
        <f>IFERROR(AM20/M20,0)</f>
        <v/>
      </c>
      <c r="AO20" s="217">
        <f>S20-AG20</f>
        <v/>
      </c>
      <c r="AP20" s="97">
        <f>IFERROR(AO20/S20,0)</f>
        <v/>
      </c>
    </row>
    <row r="21">
      <c r="B21" s="17">
        <f>B20+1</f>
        <v/>
      </c>
      <c r="C21" s="217">
        <f>IFERROR(AVERAGEIF('Opera Enerji Veri'!C:C,'Opera Günlük Analiz'!B21,'Opera Enerji Veri'!F:F),0)</f>
        <v/>
      </c>
      <c r="D21" s="217">
        <f>IFERROR(AVERAGEIF('Opera Enerji Veri'!$C:$C,'Opera Günlük Analiz'!$B21,'Opera Enerji Veri'!G:G),0)</f>
        <v/>
      </c>
      <c r="E21" s="217">
        <f>IFERROR(AVERAGEIF('Opera Enerji Veri'!$C:$C,'Opera Günlük Analiz'!$B21,'Opera Enerji Veri'!H:H),0)</f>
        <v/>
      </c>
      <c r="F21" s="217">
        <f>SUMIF('Opera Enerji Veri'!$C:$C, 'Opera Günlük Analiz'!$B21,'Opera Enerji Veri'!BE:BE)</f>
        <v/>
      </c>
      <c r="G21" s="217">
        <f>SUMIF('Opera Enerji Veri'!$C:$C, 'Opera Günlük Analiz'!$B21,'Opera Enerji Veri'!AY:AY)</f>
        <v/>
      </c>
      <c r="H21" s="217">
        <f>IFERROR(F21/G21,0)</f>
        <v/>
      </c>
      <c r="I21" s="217">
        <f>SUMIF('Opera Enerji Veri'!$C:$C, 'Opera Günlük Analiz'!$B21,'Opera Enerji Veri'!J:J)</f>
        <v/>
      </c>
      <c r="J21" s="217">
        <f>SUMIF('Opera Enerji Veri'!$C:$C, 'Opera Günlük Analiz'!$B21,'Opera Enerji Veri'!BF:BF)</f>
        <v/>
      </c>
      <c r="K21" s="217">
        <f>SUMIF('Opera Enerji Veri'!$C:$C, 'Opera Günlük Analiz'!$B21,'Opera Enerji Veri'!BG:BG)</f>
        <v/>
      </c>
      <c r="L21" s="217">
        <f>SUMIF('Opera Enerji Veri'!$C:$C, 'Opera Günlük Analiz'!$B21,'Opera Enerji Veri'!BH:BH)</f>
        <v/>
      </c>
      <c r="M21" s="217">
        <f>SUMIF('Opera Enerji Veri'!$C:$C, 'Opera Günlük Analiz'!$B21,'Opera Enerji Veri'!BB:BB)</f>
        <v/>
      </c>
      <c r="N21" s="217">
        <f>SUMIF('Opera Enerji Veri'!$C:$C, 'Opera Günlük Analiz'!$B21,'Opera Enerji Veri'!BJ:BJ)</f>
        <v/>
      </c>
      <c r="O21" s="217">
        <f>SUMIF('Opera Enerji Veri'!$C:$C, 'Opera Günlük Analiz'!$B21,'Opera Enerji Veri'!BK:BK)</f>
        <v/>
      </c>
      <c r="P21" s="217">
        <f>SUMIF('Opera Enerji Veri'!$C:$C, 'Opera Günlük Analiz'!$B21,'Opera Enerji Veri'!BL:BL)</f>
        <v/>
      </c>
      <c r="Q21" s="217">
        <f>J21+K21+P21-M21</f>
        <v/>
      </c>
      <c r="R21" s="217">
        <f>F21-Q21-M21</f>
        <v/>
      </c>
      <c r="S21" s="217">
        <f>M21+R21</f>
        <v/>
      </c>
      <c r="T21" s="217">
        <f>IFERROR(Q21/G21,0)</f>
        <v/>
      </c>
      <c r="U21" s="218">
        <f>IF(G21=0,0,S21/G21)</f>
        <v/>
      </c>
      <c r="V21" s="225">
        <f>IFERROR(U21/H21,0)</f>
        <v/>
      </c>
      <c r="W21" s="27">
        <f>IFERROR(ABS(N21/G21),0)</f>
        <v/>
      </c>
      <c r="X21" s="109">
        <f>SUMIF('Opera Enerji Veri'!$C:$C, 'Opera Günlük Analiz'!$B21,'Opera Enerji Veri'!BU:BU)</f>
        <v/>
      </c>
      <c r="Y21" s="217">
        <f>SUMIF('Opera Enerji Veri'!$C:$C, 'Opera Günlük Analiz'!$B21,'Opera Enerji Veri'!BD:BD)</f>
        <v/>
      </c>
      <c r="Z21" s="217">
        <f>SUMIF('Opera Enerji Veri'!$C:$C, 'Opera Günlük Analiz'!$B21,'Opera Enerji Veri'!BW:BW)</f>
        <v/>
      </c>
      <c r="AA21" s="217">
        <f>SUMIF('Opera Enerji Veri'!$C:$C, 'Opera Günlük Analiz'!$B21,'Opera Enerji Veri'!BX:BX)</f>
        <v/>
      </c>
      <c r="AB21" s="217">
        <f>SUMIF('Opera Enerji Veri'!$C:$C, 'Opera Günlük Analiz'!$B21,'Opera Enerji Veri'!BY:BY)</f>
        <v/>
      </c>
      <c r="AC21" s="219">
        <f>SUMIF('Opera Enerji Veri'!$C:$C, 'Opera Günlük Analiz'!$B21,'Opera Enerji Veri'!CI:CI)</f>
        <v/>
      </c>
      <c r="AD21" s="219">
        <f>IFERROR(AC21/G21,0)</f>
        <v/>
      </c>
      <c r="AE21" s="217">
        <f>J21+K21+L21+AB21-Y21</f>
        <v/>
      </c>
      <c r="AF21" s="217">
        <f>F21-AE21-Y21</f>
        <v/>
      </c>
      <c r="AG21" s="217">
        <f>Y21+AF21</f>
        <v/>
      </c>
      <c r="AH21" s="217">
        <f>IFERROR(AE21/G21,0)</f>
        <v/>
      </c>
      <c r="AI21" s="218">
        <f>IF(G21=0,0,AG21/G21)</f>
        <v/>
      </c>
      <c r="AJ21" s="225">
        <f>IFERROR(AI21/H21,0)</f>
        <v/>
      </c>
      <c r="AK21" s="27">
        <f>IFERROR(ABS(Z21/G21),0)</f>
        <v/>
      </c>
      <c r="AL21" s="109">
        <f>SUMIF('Opera Enerji Veri'!$C:$C, 'Opera Günlük Analiz'!$B21,'Opera Enerji Veri'!CH:CH)</f>
        <v/>
      </c>
      <c r="AM21" s="217">
        <f>M21-Y21</f>
        <v/>
      </c>
      <c r="AN21" s="97">
        <f>IFERROR(AM21/M21,0)</f>
        <v/>
      </c>
      <c r="AO21" s="217">
        <f>S21-AG21</f>
        <v/>
      </c>
      <c r="AP21" s="97">
        <f>IFERROR(AO21/S21,0)</f>
        <v/>
      </c>
    </row>
    <row r="22">
      <c r="B22" s="17">
        <f>B21+1</f>
        <v/>
      </c>
      <c r="C22" s="217">
        <f>IFERROR(AVERAGEIF('Opera Enerji Veri'!C:C,'Opera Günlük Analiz'!B22,'Opera Enerji Veri'!F:F),0)</f>
        <v/>
      </c>
      <c r="D22" s="217">
        <f>IFERROR(AVERAGEIF('Opera Enerji Veri'!$C:$C,'Opera Günlük Analiz'!$B22,'Opera Enerji Veri'!G:G),0)</f>
        <v/>
      </c>
      <c r="E22" s="217">
        <f>IFERROR(AVERAGEIF('Opera Enerji Veri'!$C:$C,'Opera Günlük Analiz'!$B22,'Opera Enerji Veri'!H:H),0)</f>
        <v/>
      </c>
      <c r="F22" s="217">
        <f>SUMIF('Opera Enerji Veri'!$C:$C, 'Opera Günlük Analiz'!$B22,'Opera Enerji Veri'!BE:BE)</f>
        <v/>
      </c>
      <c r="G22" s="217">
        <f>SUMIF('Opera Enerji Veri'!$C:$C, 'Opera Günlük Analiz'!$B22,'Opera Enerji Veri'!AY:AY)</f>
        <v/>
      </c>
      <c r="H22" s="217">
        <f>IFERROR(F22/G22,0)</f>
        <v/>
      </c>
      <c r="I22" s="217">
        <f>SUMIF('Opera Enerji Veri'!$C:$C, 'Opera Günlük Analiz'!$B22,'Opera Enerji Veri'!J:J)</f>
        <v/>
      </c>
      <c r="J22" s="217">
        <f>SUMIF('Opera Enerji Veri'!$C:$C, 'Opera Günlük Analiz'!$B22,'Opera Enerji Veri'!BF:BF)</f>
        <v/>
      </c>
      <c r="K22" s="217">
        <f>SUMIF('Opera Enerji Veri'!$C:$C, 'Opera Günlük Analiz'!$B22,'Opera Enerji Veri'!BG:BG)</f>
        <v/>
      </c>
      <c r="L22" s="217">
        <f>SUMIF('Opera Enerji Veri'!$C:$C, 'Opera Günlük Analiz'!$B22,'Opera Enerji Veri'!BH:BH)</f>
        <v/>
      </c>
      <c r="M22" s="217">
        <f>SUMIF('Opera Enerji Veri'!$C:$C, 'Opera Günlük Analiz'!$B22,'Opera Enerji Veri'!BB:BB)</f>
        <v/>
      </c>
      <c r="N22" s="217">
        <f>SUMIF('Opera Enerji Veri'!$C:$C, 'Opera Günlük Analiz'!$B22,'Opera Enerji Veri'!BJ:BJ)</f>
        <v/>
      </c>
      <c r="O22" s="217">
        <f>SUMIF('Opera Enerji Veri'!$C:$C, 'Opera Günlük Analiz'!$B22,'Opera Enerji Veri'!BK:BK)</f>
        <v/>
      </c>
      <c r="P22" s="217">
        <f>SUMIF('Opera Enerji Veri'!$C:$C, 'Opera Günlük Analiz'!$B22,'Opera Enerji Veri'!BL:BL)</f>
        <v/>
      </c>
      <c r="Q22" s="217">
        <f>J22+K22+P22-M22</f>
        <v/>
      </c>
      <c r="R22" s="217">
        <f>F22-Q22-M22</f>
        <v/>
      </c>
      <c r="S22" s="217">
        <f>M22+R22</f>
        <v/>
      </c>
      <c r="T22" s="217">
        <f>IFERROR(Q22/G22,0)</f>
        <v/>
      </c>
      <c r="U22" s="218">
        <f>IF(G22=0,0,S22/G22)</f>
        <v/>
      </c>
      <c r="V22" s="225">
        <f>IFERROR(U22/H22,0)</f>
        <v/>
      </c>
      <c r="W22" s="27">
        <f>IFERROR(ABS(N22/G22),0)</f>
        <v/>
      </c>
      <c r="X22" s="109">
        <f>SUMIF('Opera Enerji Veri'!$C:$C, 'Opera Günlük Analiz'!$B22,'Opera Enerji Veri'!BU:BU)</f>
        <v/>
      </c>
      <c r="Y22" s="217">
        <f>SUMIF('Opera Enerji Veri'!$C:$C, 'Opera Günlük Analiz'!$B22,'Opera Enerji Veri'!BD:BD)</f>
        <v/>
      </c>
      <c r="Z22" s="217">
        <f>SUMIF('Opera Enerji Veri'!$C:$C, 'Opera Günlük Analiz'!$B22,'Opera Enerji Veri'!BW:BW)</f>
        <v/>
      </c>
      <c r="AA22" s="217">
        <f>SUMIF('Opera Enerji Veri'!$C:$C, 'Opera Günlük Analiz'!$B22,'Opera Enerji Veri'!BX:BX)</f>
        <v/>
      </c>
      <c r="AB22" s="217">
        <f>SUMIF('Opera Enerji Veri'!$C:$C, 'Opera Günlük Analiz'!$B22,'Opera Enerji Veri'!BY:BY)</f>
        <v/>
      </c>
      <c r="AC22" s="219">
        <f>SUMIF('Opera Enerji Veri'!$C:$C, 'Opera Günlük Analiz'!$B22,'Opera Enerji Veri'!CI:CI)</f>
        <v/>
      </c>
      <c r="AD22" s="219">
        <f>IFERROR(AC22/G22,0)</f>
        <v/>
      </c>
      <c r="AE22" s="217">
        <f>J22+K22+L22+AB22-Y22</f>
        <v/>
      </c>
      <c r="AF22" s="217">
        <f>F22-AE22-Y22</f>
        <v/>
      </c>
      <c r="AG22" s="217">
        <f>Y22+AF22</f>
        <v/>
      </c>
      <c r="AH22" s="217">
        <f>IFERROR(AE22/G22,0)</f>
        <v/>
      </c>
      <c r="AI22" s="218">
        <f>IF(G22=0,0,AG22/G22)</f>
        <v/>
      </c>
      <c r="AJ22" s="225">
        <f>IFERROR(AI22/H22,0)</f>
        <v/>
      </c>
      <c r="AK22" s="27">
        <f>IFERROR(ABS(Z22/G22),0)</f>
        <v/>
      </c>
      <c r="AL22" s="109">
        <f>SUMIF('Opera Enerji Veri'!$C:$C, 'Opera Günlük Analiz'!$B22,'Opera Enerji Veri'!CH:CH)</f>
        <v/>
      </c>
      <c r="AM22" s="217">
        <f>M22-Y22</f>
        <v/>
      </c>
      <c r="AN22" s="97">
        <f>IFERROR(AM22/M22,0)</f>
        <v/>
      </c>
      <c r="AO22" s="217">
        <f>S22-AG22</f>
        <v/>
      </c>
      <c r="AP22" s="97">
        <f>IFERROR(AO22/S22,0)</f>
        <v/>
      </c>
    </row>
    <row r="23">
      <c r="B23" s="17">
        <f>B22+1</f>
        <v/>
      </c>
      <c r="C23" s="217">
        <f>IFERROR(AVERAGEIF('Opera Enerji Veri'!C:C,'Opera Günlük Analiz'!B23,'Opera Enerji Veri'!F:F),0)</f>
        <v/>
      </c>
      <c r="D23" s="217">
        <f>IFERROR(AVERAGEIF('Opera Enerji Veri'!$C:$C,'Opera Günlük Analiz'!$B23,'Opera Enerji Veri'!G:G),0)</f>
        <v/>
      </c>
      <c r="E23" s="217">
        <f>IFERROR(AVERAGEIF('Opera Enerji Veri'!$C:$C,'Opera Günlük Analiz'!$B23,'Opera Enerji Veri'!H:H),0)</f>
        <v/>
      </c>
      <c r="F23" s="217">
        <f>SUMIF('Opera Enerji Veri'!$C:$C, 'Opera Günlük Analiz'!$B23,'Opera Enerji Veri'!BE:BE)</f>
        <v/>
      </c>
      <c r="G23" s="217">
        <f>SUMIF('Opera Enerji Veri'!$C:$C, 'Opera Günlük Analiz'!$B23,'Opera Enerji Veri'!AY:AY)</f>
        <v/>
      </c>
      <c r="H23" s="217">
        <f>IFERROR(F23/G23,0)</f>
        <v/>
      </c>
      <c r="I23" s="217">
        <f>SUMIF('Opera Enerji Veri'!$C:$C, 'Opera Günlük Analiz'!$B23,'Opera Enerji Veri'!J:J)</f>
        <v/>
      </c>
      <c r="J23" s="217">
        <f>SUMIF('Opera Enerji Veri'!$C:$C, 'Opera Günlük Analiz'!$B23,'Opera Enerji Veri'!BF:BF)</f>
        <v/>
      </c>
      <c r="K23" s="217">
        <f>SUMIF('Opera Enerji Veri'!$C:$C, 'Opera Günlük Analiz'!$B23,'Opera Enerji Veri'!BG:BG)</f>
        <v/>
      </c>
      <c r="L23" s="217">
        <f>SUMIF('Opera Enerji Veri'!$C:$C, 'Opera Günlük Analiz'!$B23,'Opera Enerji Veri'!BH:BH)</f>
        <v/>
      </c>
      <c r="M23" s="217">
        <f>SUMIF('Opera Enerji Veri'!$C:$C, 'Opera Günlük Analiz'!$B23,'Opera Enerji Veri'!BB:BB)</f>
        <v/>
      </c>
      <c r="N23" s="217">
        <f>SUMIF('Opera Enerji Veri'!$C:$C, 'Opera Günlük Analiz'!$B23,'Opera Enerji Veri'!BJ:BJ)</f>
        <v/>
      </c>
      <c r="O23" s="217">
        <f>SUMIF('Opera Enerji Veri'!$C:$C, 'Opera Günlük Analiz'!$B23,'Opera Enerji Veri'!BK:BK)</f>
        <v/>
      </c>
      <c r="P23" s="217">
        <f>SUMIF('Opera Enerji Veri'!$C:$C, 'Opera Günlük Analiz'!$B23,'Opera Enerji Veri'!BL:BL)</f>
        <v/>
      </c>
      <c r="Q23" s="217">
        <f>J23+K23+P23-M23</f>
        <v/>
      </c>
      <c r="R23" s="217">
        <f>F23-Q23-M23</f>
        <v/>
      </c>
      <c r="S23" s="217">
        <f>M23+R23</f>
        <v/>
      </c>
      <c r="T23" s="217">
        <f>IFERROR(Q23/G23,0)</f>
        <v/>
      </c>
      <c r="U23" s="218">
        <f>IF(G23=0,0,S23/G23)</f>
        <v/>
      </c>
      <c r="V23" s="225">
        <f>IFERROR(U23/H23,0)</f>
        <v/>
      </c>
      <c r="W23" s="27">
        <f>IFERROR(ABS(N23/G23),0)</f>
        <v/>
      </c>
      <c r="X23" s="109">
        <f>SUMIF('Opera Enerji Veri'!$C:$C, 'Opera Günlük Analiz'!$B23,'Opera Enerji Veri'!BU:BU)</f>
        <v/>
      </c>
      <c r="Y23" s="217">
        <f>SUMIF('Opera Enerji Veri'!$C:$C, 'Opera Günlük Analiz'!$B23,'Opera Enerji Veri'!BD:BD)</f>
        <v/>
      </c>
      <c r="Z23" s="217">
        <f>SUMIF('Opera Enerji Veri'!$C:$C, 'Opera Günlük Analiz'!$B23,'Opera Enerji Veri'!BW:BW)</f>
        <v/>
      </c>
      <c r="AA23" s="217">
        <f>SUMIF('Opera Enerji Veri'!$C:$C, 'Opera Günlük Analiz'!$B23,'Opera Enerji Veri'!BX:BX)</f>
        <v/>
      </c>
      <c r="AB23" s="217">
        <f>SUMIF('Opera Enerji Veri'!$C:$C, 'Opera Günlük Analiz'!$B23,'Opera Enerji Veri'!BY:BY)</f>
        <v/>
      </c>
      <c r="AC23" s="219">
        <f>SUMIF('Opera Enerji Veri'!$C:$C, 'Opera Günlük Analiz'!$B23,'Opera Enerji Veri'!CI:CI)</f>
        <v/>
      </c>
      <c r="AD23" s="219">
        <f>IFERROR(AC23/G23,0)</f>
        <v/>
      </c>
      <c r="AE23" s="217">
        <f>J23+K23+L23+AB23-Y23</f>
        <v/>
      </c>
      <c r="AF23" s="217">
        <f>F23-AE23-Y23</f>
        <v/>
      </c>
      <c r="AG23" s="217">
        <f>Y23+AF23</f>
        <v/>
      </c>
      <c r="AH23" s="217">
        <f>IFERROR(AE23/G23,0)</f>
        <v/>
      </c>
      <c r="AI23" s="218">
        <f>IF(G23=0,0,AG23/G23)</f>
        <v/>
      </c>
      <c r="AJ23" s="225">
        <f>IFERROR(AI23/H23,0)</f>
        <v/>
      </c>
      <c r="AK23" s="27">
        <f>IFERROR(ABS(Z23/G23),0)</f>
        <v/>
      </c>
      <c r="AL23" s="109">
        <f>SUMIF('Opera Enerji Veri'!$C:$C, 'Opera Günlük Analiz'!$B23,'Opera Enerji Veri'!CH:CH)</f>
        <v/>
      </c>
      <c r="AM23" s="217">
        <f>M23-Y23</f>
        <v/>
      </c>
      <c r="AN23" s="97">
        <f>IFERROR(AM23/M23,0)</f>
        <v/>
      </c>
      <c r="AO23" s="217">
        <f>S23-AG23</f>
        <v/>
      </c>
      <c r="AP23" s="97">
        <f>IFERROR(AO23/S23,0)</f>
        <v/>
      </c>
    </row>
    <row r="24">
      <c r="B24" s="17">
        <f>B23+1</f>
        <v/>
      </c>
      <c r="C24" s="217">
        <f>IFERROR(AVERAGEIF('Opera Enerji Veri'!C:C,'Opera Günlük Analiz'!B24,'Opera Enerji Veri'!F:F),0)</f>
        <v/>
      </c>
      <c r="D24" s="217">
        <f>IFERROR(AVERAGEIF('Opera Enerji Veri'!$C:$C,'Opera Günlük Analiz'!$B24,'Opera Enerji Veri'!G:G),0)</f>
        <v/>
      </c>
      <c r="E24" s="217">
        <f>IFERROR(AVERAGEIF('Opera Enerji Veri'!$C:$C,'Opera Günlük Analiz'!$B24,'Opera Enerji Veri'!H:H),0)</f>
        <v/>
      </c>
      <c r="F24" s="217">
        <f>SUMIF('Opera Enerji Veri'!$C:$C, 'Opera Günlük Analiz'!$B24,'Opera Enerji Veri'!BE:BE)</f>
        <v/>
      </c>
      <c r="G24" s="217">
        <f>SUMIF('Opera Enerji Veri'!$C:$C, 'Opera Günlük Analiz'!$B24,'Opera Enerji Veri'!AY:AY)</f>
        <v/>
      </c>
      <c r="H24" s="217">
        <f>IFERROR(F24/G24,0)</f>
        <v/>
      </c>
      <c r="I24" s="217">
        <f>SUMIF('Opera Enerji Veri'!$C:$C, 'Opera Günlük Analiz'!$B24,'Opera Enerji Veri'!J:J)</f>
        <v/>
      </c>
      <c r="J24" s="217">
        <f>SUMIF('Opera Enerji Veri'!$C:$C, 'Opera Günlük Analiz'!$B24,'Opera Enerji Veri'!BF:BF)</f>
        <v/>
      </c>
      <c r="K24" s="217">
        <f>SUMIF('Opera Enerji Veri'!$C:$C, 'Opera Günlük Analiz'!$B24,'Opera Enerji Veri'!BG:BG)</f>
        <v/>
      </c>
      <c r="L24" s="217">
        <f>SUMIF('Opera Enerji Veri'!$C:$C, 'Opera Günlük Analiz'!$B24,'Opera Enerji Veri'!BH:BH)</f>
        <v/>
      </c>
      <c r="M24" s="217">
        <f>SUMIF('Opera Enerji Veri'!$C:$C, 'Opera Günlük Analiz'!$B24,'Opera Enerji Veri'!BB:BB)</f>
        <v/>
      </c>
      <c r="N24" s="217">
        <f>SUMIF('Opera Enerji Veri'!$C:$C, 'Opera Günlük Analiz'!$B24,'Opera Enerji Veri'!BJ:BJ)</f>
        <v/>
      </c>
      <c r="O24" s="217">
        <f>SUMIF('Opera Enerji Veri'!$C:$C, 'Opera Günlük Analiz'!$B24,'Opera Enerji Veri'!BK:BK)</f>
        <v/>
      </c>
      <c r="P24" s="217">
        <f>SUMIF('Opera Enerji Veri'!$C:$C, 'Opera Günlük Analiz'!$B24,'Opera Enerji Veri'!BL:BL)</f>
        <v/>
      </c>
      <c r="Q24" s="217">
        <f>J24+K24+P24-M24</f>
        <v/>
      </c>
      <c r="R24" s="217">
        <f>F24-Q24-M24</f>
        <v/>
      </c>
      <c r="S24" s="217">
        <f>M24+R24</f>
        <v/>
      </c>
      <c r="T24" s="217">
        <f>IFERROR(Q24/G24,0)</f>
        <v/>
      </c>
      <c r="U24" s="218">
        <f>IF(G24=0,0,S24/G24)</f>
        <v/>
      </c>
      <c r="V24" s="225">
        <f>IFERROR(U24/H24,0)</f>
        <v/>
      </c>
      <c r="W24" s="27">
        <f>IFERROR(ABS(N24/G24),0)</f>
        <v/>
      </c>
      <c r="X24" s="109">
        <f>SUMIF('Opera Enerji Veri'!$C:$C, 'Opera Günlük Analiz'!$B24,'Opera Enerji Veri'!BU:BU)</f>
        <v/>
      </c>
      <c r="Y24" s="217">
        <f>SUMIF('Opera Enerji Veri'!$C:$C, 'Opera Günlük Analiz'!$B24,'Opera Enerji Veri'!BD:BD)</f>
        <v/>
      </c>
      <c r="Z24" s="217">
        <f>SUMIF('Opera Enerji Veri'!$C:$C, 'Opera Günlük Analiz'!$B24,'Opera Enerji Veri'!BW:BW)</f>
        <v/>
      </c>
      <c r="AA24" s="217">
        <f>SUMIF('Opera Enerji Veri'!$C:$C, 'Opera Günlük Analiz'!$B24,'Opera Enerji Veri'!BX:BX)</f>
        <v/>
      </c>
      <c r="AB24" s="217">
        <f>SUMIF('Opera Enerji Veri'!$C:$C, 'Opera Günlük Analiz'!$B24,'Opera Enerji Veri'!BY:BY)</f>
        <v/>
      </c>
      <c r="AC24" s="219">
        <f>SUMIF('Opera Enerji Veri'!$C:$C, 'Opera Günlük Analiz'!$B24,'Opera Enerji Veri'!CI:CI)</f>
        <v/>
      </c>
      <c r="AD24" s="219">
        <f>IFERROR(AC24/G24,0)</f>
        <v/>
      </c>
      <c r="AE24" s="217">
        <f>J24+K24+L24+AB24-Y24</f>
        <v/>
      </c>
      <c r="AF24" s="217">
        <f>F24-AE24-Y24</f>
        <v/>
      </c>
      <c r="AG24" s="217">
        <f>Y24+AF24</f>
        <v/>
      </c>
      <c r="AH24" s="217">
        <f>IFERROR(AE24/G24,0)</f>
        <v/>
      </c>
      <c r="AI24" s="218">
        <f>IF(G24=0,0,AG24/G24)</f>
        <v/>
      </c>
      <c r="AJ24" s="225">
        <f>IFERROR(AI24/H24,0)</f>
        <v/>
      </c>
      <c r="AK24" s="27">
        <f>IFERROR(ABS(Z24/G24),0)</f>
        <v/>
      </c>
      <c r="AL24" s="109">
        <f>SUMIF('Opera Enerji Veri'!$C:$C, 'Opera Günlük Analiz'!$B24,'Opera Enerji Veri'!CH:CH)</f>
        <v/>
      </c>
      <c r="AM24" s="217">
        <f>M24-Y24</f>
        <v/>
      </c>
      <c r="AN24" s="97">
        <f>IFERROR(AM24/M24,0)</f>
        <v/>
      </c>
      <c r="AO24" s="217">
        <f>S24-AG24</f>
        <v/>
      </c>
      <c r="AP24" s="97">
        <f>IFERROR(AO24/S24,0)</f>
        <v/>
      </c>
    </row>
    <row r="25">
      <c r="B25" s="17">
        <f>B24+1</f>
        <v/>
      </c>
      <c r="C25" s="217">
        <f>IFERROR(AVERAGEIF('Opera Enerji Veri'!C:C,'Opera Günlük Analiz'!B25,'Opera Enerji Veri'!F:F),0)</f>
        <v/>
      </c>
      <c r="D25" s="217">
        <f>IFERROR(AVERAGEIF('Opera Enerji Veri'!$C:$C,'Opera Günlük Analiz'!$B25,'Opera Enerji Veri'!G:G),0)</f>
        <v/>
      </c>
      <c r="E25" s="217">
        <f>IFERROR(AVERAGEIF('Opera Enerji Veri'!$C:$C,'Opera Günlük Analiz'!$B25,'Opera Enerji Veri'!H:H),0)</f>
        <v/>
      </c>
      <c r="F25" s="217">
        <f>SUMIF('Opera Enerji Veri'!$C:$C, 'Opera Günlük Analiz'!$B25,'Opera Enerji Veri'!BE:BE)</f>
        <v/>
      </c>
      <c r="G25" s="217">
        <f>SUMIF('Opera Enerji Veri'!$C:$C, 'Opera Günlük Analiz'!$B25,'Opera Enerji Veri'!AY:AY)</f>
        <v/>
      </c>
      <c r="H25" s="217">
        <f>IFERROR(F25/G25,0)</f>
        <v/>
      </c>
      <c r="I25" s="217">
        <f>SUMIF('Opera Enerji Veri'!$C:$C, 'Opera Günlük Analiz'!$B25,'Opera Enerji Veri'!J:J)</f>
        <v/>
      </c>
      <c r="J25" s="217">
        <f>SUMIF('Opera Enerji Veri'!$C:$C, 'Opera Günlük Analiz'!$B25,'Opera Enerji Veri'!BF:BF)</f>
        <v/>
      </c>
      <c r="K25" s="217">
        <f>SUMIF('Opera Enerji Veri'!$C:$C, 'Opera Günlük Analiz'!$B25,'Opera Enerji Veri'!BG:BG)</f>
        <v/>
      </c>
      <c r="L25" s="217">
        <f>SUMIF('Opera Enerji Veri'!$C:$C, 'Opera Günlük Analiz'!$B25,'Opera Enerji Veri'!BH:BH)</f>
        <v/>
      </c>
      <c r="M25" s="217">
        <f>SUMIF('Opera Enerji Veri'!$C:$C, 'Opera Günlük Analiz'!$B25,'Opera Enerji Veri'!BB:BB)</f>
        <v/>
      </c>
      <c r="N25" s="217">
        <f>SUMIF('Opera Enerji Veri'!$C:$C, 'Opera Günlük Analiz'!$B25,'Opera Enerji Veri'!BJ:BJ)</f>
        <v/>
      </c>
      <c r="O25" s="217">
        <f>SUMIF('Opera Enerji Veri'!$C:$C, 'Opera Günlük Analiz'!$B25,'Opera Enerji Veri'!BK:BK)</f>
        <v/>
      </c>
      <c r="P25" s="217">
        <f>SUMIF('Opera Enerji Veri'!$C:$C, 'Opera Günlük Analiz'!$B25,'Opera Enerji Veri'!BL:BL)</f>
        <v/>
      </c>
      <c r="Q25" s="217">
        <f>J25+K25+P25-M25</f>
        <v/>
      </c>
      <c r="R25" s="217">
        <f>F25-Q25-M25</f>
        <v/>
      </c>
      <c r="S25" s="217">
        <f>M25+R25</f>
        <v/>
      </c>
      <c r="T25" s="217">
        <f>IFERROR(Q25/G25,0)</f>
        <v/>
      </c>
      <c r="U25" s="218">
        <f>IF(G25=0,0,S25/G25)</f>
        <v/>
      </c>
      <c r="V25" s="225">
        <f>IFERROR(U25/H25,0)</f>
        <v/>
      </c>
      <c r="W25" s="27">
        <f>IFERROR(ABS(N25/G25),0)</f>
        <v/>
      </c>
      <c r="X25" s="109">
        <f>SUMIF('Opera Enerji Veri'!$C:$C, 'Opera Günlük Analiz'!$B25,'Opera Enerji Veri'!BU:BU)</f>
        <v/>
      </c>
      <c r="Y25" s="217">
        <f>SUMIF('Opera Enerji Veri'!$C:$C, 'Opera Günlük Analiz'!$B25,'Opera Enerji Veri'!BD:BD)</f>
        <v/>
      </c>
      <c r="Z25" s="217">
        <f>SUMIF('Opera Enerji Veri'!$C:$C, 'Opera Günlük Analiz'!$B25,'Opera Enerji Veri'!BW:BW)</f>
        <v/>
      </c>
      <c r="AA25" s="217">
        <f>SUMIF('Opera Enerji Veri'!$C:$C, 'Opera Günlük Analiz'!$B25,'Opera Enerji Veri'!BX:BX)</f>
        <v/>
      </c>
      <c r="AB25" s="217">
        <f>SUMIF('Opera Enerji Veri'!$C:$C, 'Opera Günlük Analiz'!$B25,'Opera Enerji Veri'!BY:BY)</f>
        <v/>
      </c>
      <c r="AC25" s="219">
        <f>SUMIF('Opera Enerji Veri'!$C:$C, 'Opera Günlük Analiz'!$B25,'Opera Enerji Veri'!CI:CI)</f>
        <v/>
      </c>
      <c r="AD25" s="219">
        <f>IFERROR(AC25/G25,0)</f>
        <v/>
      </c>
      <c r="AE25" s="217">
        <f>J25+K25+L25+AB25-Y25</f>
        <v/>
      </c>
      <c r="AF25" s="217">
        <f>F25-AE25-Y25</f>
        <v/>
      </c>
      <c r="AG25" s="217">
        <f>Y25+AF25</f>
        <v/>
      </c>
      <c r="AH25" s="217">
        <f>IFERROR(AE25/G25,0)</f>
        <v/>
      </c>
      <c r="AI25" s="218">
        <f>IF(G25=0,0,AG25/G25)</f>
        <v/>
      </c>
      <c r="AJ25" s="225">
        <f>IFERROR(AI25/H25,0)</f>
        <v/>
      </c>
      <c r="AK25" s="27">
        <f>IFERROR(ABS(Z25/G25),0)</f>
        <v/>
      </c>
      <c r="AL25" s="109">
        <f>SUMIF('Opera Enerji Veri'!$C:$C, 'Opera Günlük Analiz'!$B25,'Opera Enerji Veri'!CH:CH)</f>
        <v/>
      </c>
      <c r="AM25" s="217">
        <f>M25-Y25</f>
        <v/>
      </c>
      <c r="AN25" s="97">
        <f>IFERROR(AM25/M25,0)</f>
        <v/>
      </c>
      <c r="AO25" s="217">
        <f>S25-AG25</f>
        <v/>
      </c>
      <c r="AP25" s="97">
        <f>IFERROR(AO25/S25,0)</f>
        <v/>
      </c>
    </row>
    <row r="26">
      <c r="B26" s="17">
        <f>B25+1</f>
        <v/>
      </c>
      <c r="C26" s="217">
        <f>IFERROR(AVERAGEIF('Opera Enerji Veri'!C:C,'Opera Günlük Analiz'!B26,'Opera Enerji Veri'!F:F),0)</f>
        <v/>
      </c>
      <c r="D26" s="217">
        <f>IFERROR(AVERAGEIF('Opera Enerji Veri'!$C:$C,'Opera Günlük Analiz'!$B26,'Opera Enerji Veri'!G:G),0)</f>
        <v/>
      </c>
      <c r="E26" s="217">
        <f>IFERROR(AVERAGEIF('Opera Enerji Veri'!$C:$C,'Opera Günlük Analiz'!$B26,'Opera Enerji Veri'!H:H),0)</f>
        <v/>
      </c>
      <c r="F26" s="217">
        <f>SUMIF('Opera Enerji Veri'!$C:$C, 'Opera Günlük Analiz'!$B26,'Opera Enerji Veri'!BE:BE)</f>
        <v/>
      </c>
      <c r="G26" s="217">
        <f>SUMIF('Opera Enerji Veri'!$C:$C, 'Opera Günlük Analiz'!$B26,'Opera Enerji Veri'!AY:AY)</f>
        <v/>
      </c>
      <c r="H26" s="217">
        <f>IFERROR(F26/G26,0)</f>
        <v/>
      </c>
      <c r="I26" s="217">
        <f>SUMIF('Opera Enerji Veri'!$C:$C, 'Opera Günlük Analiz'!$B26,'Opera Enerji Veri'!J:J)</f>
        <v/>
      </c>
      <c r="J26" s="217">
        <f>SUMIF('Opera Enerji Veri'!$C:$C, 'Opera Günlük Analiz'!$B26,'Opera Enerji Veri'!BF:BF)</f>
        <v/>
      </c>
      <c r="K26" s="217">
        <f>SUMIF('Opera Enerji Veri'!$C:$C, 'Opera Günlük Analiz'!$B26,'Opera Enerji Veri'!BG:BG)</f>
        <v/>
      </c>
      <c r="L26" s="217">
        <f>SUMIF('Opera Enerji Veri'!$C:$C, 'Opera Günlük Analiz'!$B26,'Opera Enerji Veri'!BH:BH)</f>
        <v/>
      </c>
      <c r="M26" s="217">
        <f>SUMIF('Opera Enerji Veri'!$C:$C, 'Opera Günlük Analiz'!$B26,'Opera Enerji Veri'!BB:BB)</f>
        <v/>
      </c>
      <c r="N26" s="217">
        <f>SUMIF('Opera Enerji Veri'!$C:$C, 'Opera Günlük Analiz'!$B26,'Opera Enerji Veri'!BJ:BJ)</f>
        <v/>
      </c>
      <c r="O26" s="217">
        <f>SUMIF('Opera Enerji Veri'!$C:$C, 'Opera Günlük Analiz'!$B26,'Opera Enerji Veri'!BK:BK)</f>
        <v/>
      </c>
      <c r="P26" s="217">
        <f>SUMIF('Opera Enerji Veri'!$C:$C, 'Opera Günlük Analiz'!$B26,'Opera Enerji Veri'!BL:BL)</f>
        <v/>
      </c>
      <c r="Q26" s="217">
        <f>J26+K26+P26-M26</f>
        <v/>
      </c>
      <c r="R26" s="217">
        <f>F26-Q26-M26</f>
        <v/>
      </c>
      <c r="S26" s="217">
        <f>M26+R26</f>
        <v/>
      </c>
      <c r="T26" s="217">
        <f>IFERROR(Q26/G26,0)</f>
        <v/>
      </c>
      <c r="U26" s="218">
        <f>IF(G26=0,0,S26/G26)</f>
        <v/>
      </c>
      <c r="V26" s="225">
        <f>IFERROR(U26/H26,0)</f>
        <v/>
      </c>
      <c r="W26" s="27">
        <f>IFERROR(ABS(N26/G26),0)</f>
        <v/>
      </c>
      <c r="X26" s="109">
        <f>SUMIF('Opera Enerji Veri'!$C:$C, 'Opera Günlük Analiz'!$B26,'Opera Enerji Veri'!BU:BU)</f>
        <v/>
      </c>
      <c r="Y26" s="217">
        <f>SUMIF('Opera Enerji Veri'!$C:$C, 'Opera Günlük Analiz'!$B26,'Opera Enerji Veri'!BD:BD)</f>
        <v/>
      </c>
      <c r="Z26" s="217">
        <f>SUMIF('Opera Enerji Veri'!$C:$C, 'Opera Günlük Analiz'!$B26,'Opera Enerji Veri'!BW:BW)</f>
        <v/>
      </c>
      <c r="AA26" s="217">
        <f>SUMIF('Opera Enerji Veri'!$C:$C, 'Opera Günlük Analiz'!$B26,'Opera Enerji Veri'!BX:BX)</f>
        <v/>
      </c>
      <c r="AB26" s="217">
        <f>SUMIF('Opera Enerji Veri'!$C:$C, 'Opera Günlük Analiz'!$B26,'Opera Enerji Veri'!BY:BY)</f>
        <v/>
      </c>
      <c r="AC26" s="219">
        <f>SUMIF('Opera Enerji Veri'!$C:$C, 'Opera Günlük Analiz'!$B26,'Opera Enerji Veri'!CI:CI)</f>
        <v/>
      </c>
      <c r="AD26" s="219">
        <f>IFERROR(AC26/G26,0)</f>
        <v/>
      </c>
      <c r="AE26" s="217">
        <f>J26+K26+L26+AB26-Y26</f>
        <v/>
      </c>
      <c r="AF26" s="217">
        <f>F26-AE26-Y26</f>
        <v/>
      </c>
      <c r="AG26" s="217">
        <f>Y26+AF26</f>
        <v/>
      </c>
      <c r="AH26" s="217">
        <f>IFERROR(AE26/G26,0)</f>
        <v/>
      </c>
      <c r="AI26" s="218">
        <f>IF(G26=0,0,AG26/G26)</f>
        <v/>
      </c>
      <c r="AJ26" s="225">
        <f>IFERROR(AI26/H26,0)</f>
        <v/>
      </c>
      <c r="AK26" s="27">
        <f>IFERROR(ABS(Z26/G26),0)</f>
        <v/>
      </c>
      <c r="AL26" s="109">
        <f>SUMIF('Opera Enerji Veri'!$C:$C, 'Opera Günlük Analiz'!$B26,'Opera Enerji Veri'!CH:CH)</f>
        <v/>
      </c>
      <c r="AM26" s="217">
        <f>M26-Y26</f>
        <v/>
      </c>
      <c r="AN26" s="97">
        <f>IFERROR(AM26/M26,0)</f>
        <v/>
      </c>
      <c r="AO26" s="217">
        <f>S26-AG26</f>
        <v/>
      </c>
      <c r="AP26" s="97">
        <f>IFERROR(AO26/S26,0)</f>
        <v/>
      </c>
    </row>
    <row r="27">
      <c r="B27" s="17">
        <f>B26+1</f>
        <v/>
      </c>
      <c r="C27" s="217">
        <f>IFERROR(AVERAGEIF('Opera Enerji Veri'!C:C,'Opera Günlük Analiz'!B27,'Opera Enerji Veri'!F:F),0)</f>
        <v/>
      </c>
      <c r="D27" s="217">
        <f>IFERROR(AVERAGEIF('Opera Enerji Veri'!$C:$C,'Opera Günlük Analiz'!$B27,'Opera Enerji Veri'!G:G),0)</f>
        <v/>
      </c>
      <c r="E27" s="217">
        <f>IFERROR(AVERAGEIF('Opera Enerji Veri'!$C:$C,'Opera Günlük Analiz'!$B27,'Opera Enerji Veri'!H:H),0)</f>
        <v/>
      </c>
      <c r="F27" s="217">
        <f>SUMIF('Opera Enerji Veri'!$C:$C, 'Opera Günlük Analiz'!$B27,'Opera Enerji Veri'!BE:BE)</f>
        <v/>
      </c>
      <c r="G27" s="217">
        <f>SUMIF('Opera Enerji Veri'!$C:$C, 'Opera Günlük Analiz'!$B27,'Opera Enerji Veri'!AY:AY)</f>
        <v/>
      </c>
      <c r="H27" s="217">
        <f>IFERROR(F27/G27,0)</f>
        <v/>
      </c>
      <c r="I27" s="217">
        <f>SUMIF('Opera Enerji Veri'!$C:$C, 'Opera Günlük Analiz'!$B27,'Opera Enerji Veri'!J:J)</f>
        <v/>
      </c>
      <c r="J27" s="217">
        <f>SUMIF('Opera Enerji Veri'!$C:$C, 'Opera Günlük Analiz'!$B27,'Opera Enerji Veri'!BF:BF)</f>
        <v/>
      </c>
      <c r="K27" s="217">
        <f>SUMIF('Opera Enerji Veri'!$C:$C, 'Opera Günlük Analiz'!$B27,'Opera Enerji Veri'!BG:BG)</f>
        <v/>
      </c>
      <c r="L27" s="217">
        <f>SUMIF('Opera Enerji Veri'!$C:$C, 'Opera Günlük Analiz'!$B27,'Opera Enerji Veri'!BH:BH)</f>
        <v/>
      </c>
      <c r="M27" s="217">
        <f>SUMIF('Opera Enerji Veri'!$C:$C, 'Opera Günlük Analiz'!$B27,'Opera Enerji Veri'!BB:BB)</f>
        <v/>
      </c>
      <c r="N27" s="217">
        <f>SUMIF('Opera Enerji Veri'!$C:$C, 'Opera Günlük Analiz'!$B27,'Opera Enerji Veri'!BJ:BJ)</f>
        <v/>
      </c>
      <c r="O27" s="217">
        <f>SUMIF('Opera Enerji Veri'!$C:$C, 'Opera Günlük Analiz'!$B27,'Opera Enerji Veri'!BK:BK)</f>
        <v/>
      </c>
      <c r="P27" s="217">
        <f>SUMIF('Opera Enerji Veri'!$C:$C, 'Opera Günlük Analiz'!$B27,'Opera Enerji Veri'!BL:BL)</f>
        <v/>
      </c>
      <c r="Q27" s="217">
        <f>J27+K27+P27-M27</f>
        <v/>
      </c>
      <c r="R27" s="217">
        <f>F27-Q27-M27</f>
        <v/>
      </c>
      <c r="S27" s="217">
        <f>M27+R27</f>
        <v/>
      </c>
      <c r="T27" s="217">
        <f>IFERROR(Q27/G27,0)</f>
        <v/>
      </c>
      <c r="U27" s="218">
        <f>IF(G27=0,0,S27/G27)</f>
        <v/>
      </c>
      <c r="V27" s="225">
        <f>IFERROR(U27/H27,0)</f>
        <v/>
      </c>
      <c r="W27" s="27">
        <f>IFERROR(ABS(N27/G27),0)</f>
        <v/>
      </c>
      <c r="X27" s="109">
        <f>SUMIF('Opera Enerji Veri'!$C:$C, 'Opera Günlük Analiz'!$B27,'Opera Enerji Veri'!BU:BU)</f>
        <v/>
      </c>
      <c r="Y27" s="217">
        <f>SUMIF('Opera Enerji Veri'!$C:$C, 'Opera Günlük Analiz'!$B27,'Opera Enerji Veri'!BD:BD)</f>
        <v/>
      </c>
      <c r="Z27" s="217">
        <f>SUMIF('Opera Enerji Veri'!$C:$C, 'Opera Günlük Analiz'!$B27,'Opera Enerji Veri'!BW:BW)</f>
        <v/>
      </c>
      <c r="AA27" s="217">
        <f>SUMIF('Opera Enerji Veri'!$C:$C, 'Opera Günlük Analiz'!$B27,'Opera Enerji Veri'!BX:BX)</f>
        <v/>
      </c>
      <c r="AB27" s="217">
        <f>SUMIF('Opera Enerji Veri'!$C:$C, 'Opera Günlük Analiz'!$B27,'Opera Enerji Veri'!BY:BY)</f>
        <v/>
      </c>
      <c r="AC27" s="219">
        <f>SUMIF('Opera Enerji Veri'!$C:$C, 'Opera Günlük Analiz'!$B27,'Opera Enerji Veri'!CI:CI)</f>
        <v/>
      </c>
      <c r="AD27" s="219">
        <f>IFERROR(AC27/G27,0)</f>
        <v/>
      </c>
      <c r="AE27" s="217">
        <f>J27+K27+L27+AB27-Y27</f>
        <v/>
      </c>
      <c r="AF27" s="217">
        <f>F27-AE27-Y27</f>
        <v/>
      </c>
      <c r="AG27" s="217">
        <f>Y27+AF27</f>
        <v/>
      </c>
      <c r="AH27" s="217">
        <f>IFERROR(AE27/G27,0)</f>
        <v/>
      </c>
      <c r="AI27" s="218">
        <f>IF(G27=0,0,AG27/G27)</f>
        <v/>
      </c>
      <c r="AJ27" s="225">
        <f>IFERROR(AI27/H27,0)</f>
        <v/>
      </c>
      <c r="AK27" s="27">
        <f>IFERROR(ABS(Z27/G27),0)</f>
        <v/>
      </c>
      <c r="AL27" s="109">
        <f>SUMIF('Opera Enerji Veri'!$C:$C, 'Opera Günlük Analiz'!$B27,'Opera Enerji Veri'!CH:CH)</f>
        <v/>
      </c>
      <c r="AM27" s="217">
        <f>M27-Y27</f>
        <v/>
      </c>
      <c r="AN27" s="97">
        <f>IFERROR(AM27/M27,0)</f>
        <v/>
      </c>
      <c r="AO27" s="217">
        <f>S27-AG27</f>
        <v/>
      </c>
      <c r="AP27" s="97">
        <f>IFERROR(AO27/S27,0)</f>
        <v/>
      </c>
    </row>
    <row r="28">
      <c r="B28" s="17">
        <f>B27+1</f>
        <v/>
      </c>
      <c r="C28" s="217">
        <f>IFERROR(AVERAGEIF('Opera Enerji Veri'!C:C,'Opera Günlük Analiz'!B28,'Opera Enerji Veri'!F:F),0)</f>
        <v/>
      </c>
      <c r="D28" s="217">
        <f>IFERROR(AVERAGEIF('Opera Enerji Veri'!$C:$C,'Opera Günlük Analiz'!$B28,'Opera Enerji Veri'!G:G),0)</f>
        <v/>
      </c>
      <c r="E28" s="217">
        <f>IFERROR(AVERAGEIF('Opera Enerji Veri'!$C:$C,'Opera Günlük Analiz'!$B28,'Opera Enerji Veri'!H:H),0)</f>
        <v/>
      </c>
      <c r="F28" s="217">
        <f>SUMIF('Opera Enerji Veri'!$C:$C, 'Opera Günlük Analiz'!$B28,'Opera Enerji Veri'!BE:BE)</f>
        <v/>
      </c>
      <c r="G28" s="217">
        <f>SUMIF('Opera Enerji Veri'!$C:$C, 'Opera Günlük Analiz'!$B28,'Opera Enerji Veri'!AY:AY)</f>
        <v/>
      </c>
      <c r="H28" s="217">
        <f>IFERROR(F28/G28,0)</f>
        <v/>
      </c>
      <c r="I28" s="217">
        <f>SUMIF('Opera Enerji Veri'!$C:$C, 'Opera Günlük Analiz'!$B28,'Opera Enerji Veri'!J:J)</f>
        <v/>
      </c>
      <c r="J28" s="217">
        <f>SUMIF('Opera Enerji Veri'!$C:$C, 'Opera Günlük Analiz'!$B28,'Opera Enerji Veri'!BF:BF)</f>
        <v/>
      </c>
      <c r="K28" s="217">
        <f>SUMIF('Opera Enerji Veri'!$C:$C, 'Opera Günlük Analiz'!$B28,'Opera Enerji Veri'!BG:BG)</f>
        <v/>
      </c>
      <c r="L28" s="217">
        <f>SUMIF('Opera Enerji Veri'!$C:$C, 'Opera Günlük Analiz'!$B28,'Opera Enerji Veri'!BH:BH)</f>
        <v/>
      </c>
      <c r="M28" s="217">
        <f>SUMIF('Opera Enerji Veri'!$C:$C, 'Opera Günlük Analiz'!$B28,'Opera Enerji Veri'!BB:BB)</f>
        <v/>
      </c>
      <c r="N28" s="217">
        <f>SUMIF('Opera Enerji Veri'!$C:$C, 'Opera Günlük Analiz'!$B28,'Opera Enerji Veri'!BJ:BJ)</f>
        <v/>
      </c>
      <c r="O28" s="217">
        <f>SUMIF('Opera Enerji Veri'!$C:$C, 'Opera Günlük Analiz'!$B28,'Opera Enerji Veri'!BK:BK)</f>
        <v/>
      </c>
      <c r="P28" s="217">
        <f>SUMIF('Opera Enerji Veri'!$C:$C, 'Opera Günlük Analiz'!$B28,'Opera Enerji Veri'!BL:BL)</f>
        <v/>
      </c>
      <c r="Q28" s="217">
        <f>J28+K28+P28-M28</f>
        <v/>
      </c>
      <c r="R28" s="217">
        <f>F28-Q28-M28</f>
        <v/>
      </c>
      <c r="S28" s="217">
        <f>M28+R28</f>
        <v/>
      </c>
      <c r="T28" s="217">
        <f>IFERROR(Q28/G28,0)</f>
        <v/>
      </c>
      <c r="U28" s="218">
        <f>IF(G28=0,0,S28/G28)</f>
        <v/>
      </c>
      <c r="V28" s="225">
        <f>IFERROR(U28/H28,0)</f>
        <v/>
      </c>
      <c r="W28" s="27">
        <f>IFERROR(ABS(N28/G28),0)</f>
        <v/>
      </c>
      <c r="X28" s="109">
        <f>SUMIF('Opera Enerji Veri'!$C:$C, 'Opera Günlük Analiz'!$B28,'Opera Enerji Veri'!BU:BU)</f>
        <v/>
      </c>
      <c r="Y28" s="217">
        <f>SUMIF('Opera Enerji Veri'!$C:$C, 'Opera Günlük Analiz'!$B28,'Opera Enerji Veri'!BD:BD)</f>
        <v/>
      </c>
      <c r="Z28" s="217">
        <f>SUMIF('Opera Enerji Veri'!$C:$C, 'Opera Günlük Analiz'!$B28,'Opera Enerji Veri'!BW:BW)</f>
        <v/>
      </c>
      <c r="AA28" s="217">
        <f>SUMIF('Opera Enerji Veri'!$C:$C, 'Opera Günlük Analiz'!$B28,'Opera Enerji Veri'!BX:BX)</f>
        <v/>
      </c>
      <c r="AB28" s="217">
        <f>SUMIF('Opera Enerji Veri'!$C:$C, 'Opera Günlük Analiz'!$B28,'Opera Enerji Veri'!BY:BY)</f>
        <v/>
      </c>
      <c r="AC28" s="219">
        <f>SUMIF('Opera Enerji Veri'!$C:$C, 'Opera Günlük Analiz'!$B28,'Opera Enerji Veri'!CI:CI)</f>
        <v/>
      </c>
      <c r="AD28" s="219">
        <f>IFERROR(AC28/G28,0)</f>
        <v/>
      </c>
      <c r="AE28" s="217">
        <f>J28+K28+L28+AB28-Y28</f>
        <v/>
      </c>
      <c r="AF28" s="217">
        <f>F28-AE28-Y28</f>
        <v/>
      </c>
      <c r="AG28" s="217">
        <f>Y28+AF28</f>
        <v/>
      </c>
      <c r="AH28" s="217">
        <f>IFERROR(AE28/G28,0)</f>
        <v/>
      </c>
      <c r="AI28" s="218">
        <f>IF(G28=0,0,AG28/G28)</f>
        <v/>
      </c>
      <c r="AJ28" s="225">
        <f>IFERROR(AI28/H28,0)</f>
        <v/>
      </c>
      <c r="AK28" s="27">
        <f>IFERROR(ABS(Z28/G28),0)</f>
        <v/>
      </c>
      <c r="AL28" s="109">
        <f>SUMIF('Opera Enerji Veri'!$C:$C, 'Opera Günlük Analiz'!$B28,'Opera Enerji Veri'!CH:CH)</f>
        <v/>
      </c>
      <c r="AM28" s="217">
        <f>M28-Y28</f>
        <v/>
      </c>
      <c r="AN28" s="97">
        <f>IFERROR(AM28/M28,0)</f>
        <v/>
      </c>
      <c r="AO28" s="217">
        <f>S28-AG28</f>
        <v/>
      </c>
      <c r="AP28" s="97">
        <f>IFERROR(AO28/S28,0)</f>
        <v/>
      </c>
    </row>
    <row r="29">
      <c r="B29" s="17">
        <f>B28+1</f>
        <v/>
      </c>
      <c r="C29" s="217">
        <f>IFERROR(AVERAGEIF('Opera Enerji Veri'!C:C,'Opera Günlük Analiz'!B29,'Opera Enerji Veri'!F:F),0)</f>
        <v/>
      </c>
      <c r="D29" s="217">
        <f>IFERROR(AVERAGEIF('Opera Enerji Veri'!$C:$C,'Opera Günlük Analiz'!$B29,'Opera Enerji Veri'!G:G),0)</f>
        <v/>
      </c>
      <c r="E29" s="217">
        <f>IFERROR(AVERAGEIF('Opera Enerji Veri'!$C:$C,'Opera Günlük Analiz'!$B29,'Opera Enerji Veri'!H:H),0)</f>
        <v/>
      </c>
      <c r="F29" s="217">
        <f>SUMIF('Opera Enerji Veri'!$C:$C, 'Opera Günlük Analiz'!$B29,'Opera Enerji Veri'!BE:BE)</f>
        <v/>
      </c>
      <c r="G29" s="217">
        <f>SUMIF('Opera Enerji Veri'!$C:$C, 'Opera Günlük Analiz'!$B29,'Opera Enerji Veri'!AY:AY)</f>
        <v/>
      </c>
      <c r="H29" s="217">
        <f>IFERROR(F29/G29,0)</f>
        <v/>
      </c>
      <c r="I29" s="217">
        <f>SUMIF('Opera Enerji Veri'!$C:$C, 'Opera Günlük Analiz'!$B29,'Opera Enerji Veri'!J:J)</f>
        <v/>
      </c>
      <c r="J29" s="217">
        <f>SUMIF('Opera Enerji Veri'!$C:$C, 'Opera Günlük Analiz'!$B29,'Opera Enerji Veri'!BF:BF)</f>
        <v/>
      </c>
      <c r="K29" s="217">
        <f>SUMIF('Opera Enerji Veri'!$C:$C, 'Opera Günlük Analiz'!$B29,'Opera Enerji Veri'!BG:BG)</f>
        <v/>
      </c>
      <c r="L29" s="217">
        <f>SUMIF('Opera Enerji Veri'!$C:$C, 'Opera Günlük Analiz'!$B29,'Opera Enerji Veri'!BH:BH)</f>
        <v/>
      </c>
      <c r="M29" s="217">
        <f>SUMIF('Opera Enerji Veri'!$C:$C, 'Opera Günlük Analiz'!$B29,'Opera Enerji Veri'!BB:BB)</f>
        <v/>
      </c>
      <c r="N29" s="217">
        <f>SUMIF('Opera Enerji Veri'!$C:$C, 'Opera Günlük Analiz'!$B29,'Opera Enerji Veri'!BJ:BJ)</f>
        <v/>
      </c>
      <c r="O29" s="217">
        <f>SUMIF('Opera Enerji Veri'!$C:$C, 'Opera Günlük Analiz'!$B29,'Opera Enerji Veri'!BK:BK)</f>
        <v/>
      </c>
      <c r="P29" s="217">
        <f>SUMIF('Opera Enerji Veri'!$C:$C, 'Opera Günlük Analiz'!$B29,'Opera Enerji Veri'!BL:BL)</f>
        <v/>
      </c>
      <c r="Q29" s="217">
        <f>J29+K29+P29-M29</f>
        <v/>
      </c>
      <c r="R29" s="217">
        <f>F29-Q29-M29</f>
        <v/>
      </c>
      <c r="S29" s="217">
        <f>M29+R29</f>
        <v/>
      </c>
      <c r="T29" s="217">
        <f>IFERROR(Q29/G29,0)</f>
        <v/>
      </c>
      <c r="U29" s="218">
        <f>IF(G29=0,0,S29/G29)</f>
        <v/>
      </c>
      <c r="V29" s="225">
        <f>IFERROR(U29/H29,0)</f>
        <v/>
      </c>
      <c r="W29" s="27">
        <f>IFERROR(ABS(N29/G29),0)</f>
        <v/>
      </c>
      <c r="X29" s="109">
        <f>SUMIF('Opera Enerji Veri'!$C:$C, 'Opera Günlük Analiz'!$B29,'Opera Enerji Veri'!BU:BU)</f>
        <v/>
      </c>
      <c r="Y29" s="217">
        <f>SUMIF('Opera Enerji Veri'!$C:$C, 'Opera Günlük Analiz'!$B29,'Opera Enerji Veri'!BD:BD)</f>
        <v/>
      </c>
      <c r="Z29" s="217">
        <f>SUMIF('Opera Enerji Veri'!$C:$C, 'Opera Günlük Analiz'!$B29,'Opera Enerji Veri'!BW:BW)</f>
        <v/>
      </c>
      <c r="AA29" s="217">
        <f>SUMIF('Opera Enerji Veri'!$C:$C, 'Opera Günlük Analiz'!$B29,'Opera Enerji Veri'!BX:BX)</f>
        <v/>
      </c>
      <c r="AB29" s="217">
        <f>SUMIF('Opera Enerji Veri'!$C:$C, 'Opera Günlük Analiz'!$B29,'Opera Enerji Veri'!BY:BY)</f>
        <v/>
      </c>
      <c r="AC29" s="219">
        <f>SUMIF('Opera Enerji Veri'!$C:$C, 'Opera Günlük Analiz'!$B29,'Opera Enerji Veri'!CI:CI)</f>
        <v/>
      </c>
      <c r="AD29" s="219">
        <f>IFERROR(AC29/G29,0)</f>
        <v/>
      </c>
      <c r="AE29" s="217">
        <f>J29+K29+L29+AB29-Y29</f>
        <v/>
      </c>
      <c r="AF29" s="217">
        <f>F29-AE29-Y29</f>
        <v/>
      </c>
      <c r="AG29" s="217">
        <f>Y29+AF29</f>
        <v/>
      </c>
      <c r="AH29" s="217">
        <f>IFERROR(AE29/G29,0)</f>
        <v/>
      </c>
      <c r="AI29" s="218">
        <f>IF(G29=0,0,AG29/G29)</f>
        <v/>
      </c>
      <c r="AJ29" s="225">
        <f>IFERROR(AI29/H29,0)</f>
        <v/>
      </c>
      <c r="AK29" s="27">
        <f>IFERROR(ABS(Z29/G29),0)</f>
        <v/>
      </c>
      <c r="AL29" s="109">
        <f>SUMIF('Opera Enerji Veri'!$C:$C, 'Opera Günlük Analiz'!$B29,'Opera Enerji Veri'!CH:CH)</f>
        <v/>
      </c>
      <c r="AM29" s="217">
        <f>M29-Y29</f>
        <v/>
      </c>
      <c r="AN29" s="97">
        <f>IFERROR(AM29/M29,0)</f>
        <v/>
      </c>
      <c r="AO29" s="217">
        <f>S29-AG29</f>
        <v/>
      </c>
      <c r="AP29" s="97">
        <f>IFERROR(AO29/S29,0)</f>
        <v/>
      </c>
    </row>
    <row r="30">
      <c r="B30" s="17">
        <f>B29+1</f>
        <v/>
      </c>
      <c r="C30" s="217">
        <f>IFERROR(AVERAGEIF('Opera Enerji Veri'!C:C,'Opera Günlük Analiz'!B30,'Opera Enerji Veri'!F:F),0)</f>
        <v/>
      </c>
      <c r="D30" s="217">
        <f>IFERROR(AVERAGEIF('Opera Enerji Veri'!$C:$C,'Opera Günlük Analiz'!$B30,'Opera Enerji Veri'!G:G),0)</f>
        <v/>
      </c>
      <c r="E30" s="217">
        <f>IFERROR(AVERAGEIF('Opera Enerji Veri'!$C:$C,'Opera Günlük Analiz'!$B30,'Opera Enerji Veri'!H:H),0)</f>
        <v/>
      </c>
      <c r="F30" s="217">
        <f>SUMIF('Opera Enerji Veri'!$C:$C, 'Opera Günlük Analiz'!$B30,'Opera Enerji Veri'!BE:BE)</f>
        <v/>
      </c>
      <c r="G30" s="217">
        <f>SUMIF('Opera Enerji Veri'!$C:$C, 'Opera Günlük Analiz'!$B30,'Opera Enerji Veri'!AY:AY)</f>
        <v/>
      </c>
      <c r="H30" s="217">
        <f>IFERROR(F30/G30,0)</f>
        <v/>
      </c>
      <c r="I30" s="217">
        <f>SUMIF('Opera Enerji Veri'!$C:$C, 'Opera Günlük Analiz'!$B30,'Opera Enerji Veri'!J:J)</f>
        <v/>
      </c>
      <c r="J30" s="217">
        <f>SUMIF('Opera Enerji Veri'!$C:$C, 'Opera Günlük Analiz'!$B30,'Opera Enerji Veri'!BF:BF)</f>
        <v/>
      </c>
      <c r="K30" s="217">
        <f>SUMIF('Opera Enerji Veri'!$C:$C, 'Opera Günlük Analiz'!$B30,'Opera Enerji Veri'!BG:BG)</f>
        <v/>
      </c>
      <c r="L30" s="217">
        <f>SUMIF('Opera Enerji Veri'!$C:$C, 'Opera Günlük Analiz'!$B30,'Opera Enerji Veri'!BH:BH)</f>
        <v/>
      </c>
      <c r="M30" s="217">
        <f>SUMIF('Opera Enerji Veri'!$C:$C, 'Opera Günlük Analiz'!$B30,'Opera Enerji Veri'!BB:BB)</f>
        <v/>
      </c>
      <c r="N30" s="217">
        <f>SUMIF('Opera Enerji Veri'!$C:$C, 'Opera Günlük Analiz'!$B30,'Opera Enerji Veri'!BJ:BJ)</f>
        <v/>
      </c>
      <c r="O30" s="217">
        <f>SUMIF('Opera Enerji Veri'!$C:$C, 'Opera Günlük Analiz'!$B30,'Opera Enerji Veri'!BK:BK)</f>
        <v/>
      </c>
      <c r="P30" s="217">
        <f>SUMIF('Opera Enerji Veri'!$C:$C, 'Opera Günlük Analiz'!$B30,'Opera Enerji Veri'!BL:BL)</f>
        <v/>
      </c>
      <c r="Q30" s="217">
        <f>J30+K30+P30-M30</f>
        <v/>
      </c>
      <c r="R30" s="217">
        <f>F30-Q30-M30</f>
        <v/>
      </c>
      <c r="S30" s="217">
        <f>M30+R30</f>
        <v/>
      </c>
      <c r="T30" s="217">
        <f>IFERROR(Q30/G30,0)</f>
        <v/>
      </c>
      <c r="U30" s="218">
        <f>IF(G30=0,0,S30/G30)</f>
        <v/>
      </c>
      <c r="V30" s="225">
        <f>IFERROR(U30/H30,0)</f>
        <v/>
      </c>
      <c r="W30" s="27">
        <f>IFERROR(ABS(N30/G30),0)</f>
        <v/>
      </c>
      <c r="X30" s="109">
        <f>SUMIF('Opera Enerji Veri'!$C:$C, 'Opera Günlük Analiz'!$B30,'Opera Enerji Veri'!BU:BU)</f>
        <v/>
      </c>
      <c r="Y30" s="217">
        <f>SUMIF('Opera Enerji Veri'!$C:$C, 'Opera Günlük Analiz'!$B30,'Opera Enerji Veri'!BD:BD)</f>
        <v/>
      </c>
      <c r="Z30" s="217">
        <f>SUMIF('Opera Enerji Veri'!$C:$C, 'Opera Günlük Analiz'!$B30,'Opera Enerji Veri'!BW:BW)</f>
        <v/>
      </c>
      <c r="AA30" s="217">
        <f>SUMIF('Opera Enerji Veri'!$C:$C, 'Opera Günlük Analiz'!$B30,'Opera Enerji Veri'!BX:BX)</f>
        <v/>
      </c>
      <c r="AB30" s="217">
        <f>SUMIF('Opera Enerji Veri'!$C:$C, 'Opera Günlük Analiz'!$B30,'Opera Enerji Veri'!BY:BY)</f>
        <v/>
      </c>
      <c r="AC30" s="219">
        <f>SUMIF('Opera Enerji Veri'!$C:$C, 'Opera Günlük Analiz'!$B30,'Opera Enerji Veri'!CI:CI)</f>
        <v/>
      </c>
      <c r="AD30" s="219">
        <f>IFERROR(AC30/G30,0)</f>
        <v/>
      </c>
      <c r="AE30" s="217">
        <f>J30+K30+L30+AB30-Y30</f>
        <v/>
      </c>
      <c r="AF30" s="217">
        <f>F30-AE30-Y30</f>
        <v/>
      </c>
      <c r="AG30" s="217">
        <f>Y30+AF30</f>
        <v/>
      </c>
      <c r="AH30" s="217">
        <f>IFERROR(AE30/G30,0)</f>
        <v/>
      </c>
      <c r="AI30" s="218">
        <f>IF(G30=0,0,AG30/G30)</f>
        <v/>
      </c>
      <c r="AJ30" s="225">
        <f>IFERROR(AI30/H30,0)</f>
        <v/>
      </c>
      <c r="AK30" s="27">
        <f>IFERROR(ABS(Z30/G30),0)</f>
        <v/>
      </c>
      <c r="AL30" s="109">
        <f>SUMIF('Opera Enerji Veri'!$C:$C, 'Opera Günlük Analiz'!$B30,'Opera Enerji Veri'!CH:CH)</f>
        <v/>
      </c>
      <c r="AM30" s="217">
        <f>M30-Y30</f>
        <v/>
      </c>
      <c r="AN30" s="97">
        <f>IFERROR(AM30/M30,0)</f>
        <v/>
      </c>
      <c r="AO30" s="217">
        <f>S30-AG30</f>
        <v/>
      </c>
      <c r="AP30" s="97">
        <f>IFERROR(AO30/S30,0)</f>
        <v/>
      </c>
    </row>
    <row r="31">
      <c r="B31" s="17">
        <f>B30+1</f>
        <v/>
      </c>
      <c r="C31" s="217">
        <f>IFERROR(AVERAGEIF('Opera Enerji Veri'!C:C,'Opera Günlük Analiz'!B31,'Opera Enerji Veri'!F:F),0)</f>
        <v/>
      </c>
      <c r="D31" s="217">
        <f>IFERROR(AVERAGEIF('Opera Enerji Veri'!$C:$C,'Opera Günlük Analiz'!$B31,'Opera Enerji Veri'!G:G),0)</f>
        <v/>
      </c>
      <c r="E31" s="217">
        <f>IFERROR(AVERAGEIF('Opera Enerji Veri'!$C:$C,'Opera Günlük Analiz'!$B31,'Opera Enerji Veri'!H:H),0)</f>
        <v/>
      </c>
      <c r="F31" s="217">
        <f>SUMIF('Opera Enerji Veri'!$C:$C, 'Opera Günlük Analiz'!$B31,'Opera Enerji Veri'!BE:BE)</f>
        <v/>
      </c>
      <c r="G31" s="217">
        <f>SUMIF('Opera Enerji Veri'!$C:$C, 'Opera Günlük Analiz'!$B31,'Opera Enerji Veri'!AY:AY)</f>
        <v/>
      </c>
      <c r="H31" s="217">
        <f>IFERROR(F31/G31,0)</f>
        <v/>
      </c>
      <c r="I31" s="217">
        <f>SUMIF('Opera Enerji Veri'!$C:$C, 'Opera Günlük Analiz'!$B31,'Opera Enerji Veri'!J:J)</f>
        <v/>
      </c>
      <c r="J31" s="217">
        <f>SUMIF('Opera Enerji Veri'!$C:$C, 'Opera Günlük Analiz'!$B31,'Opera Enerji Veri'!BF:BF)</f>
        <v/>
      </c>
      <c r="K31" s="217">
        <f>SUMIF('Opera Enerji Veri'!$C:$C, 'Opera Günlük Analiz'!$B31,'Opera Enerji Veri'!BG:BG)</f>
        <v/>
      </c>
      <c r="L31" s="217">
        <f>SUMIF('Opera Enerji Veri'!$C:$C, 'Opera Günlük Analiz'!$B31,'Opera Enerji Veri'!BH:BH)</f>
        <v/>
      </c>
      <c r="M31" s="217">
        <f>SUMIF('Opera Enerji Veri'!$C:$C, 'Opera Günlük Analiz'!$B31,'Opera Enerji Veri'!BB:BB)</f>
        <v/>
      </c>
      <c r="N31" s="217">
        <f>SUMIF('Opera Enerji Veri'!$C:$C, 'Opera Günlük Analiz'!$B31,'Opera Enerji Veri'!BJ:BJ)</f>
        <v/>
      </c>
      <c r="O31" s="217">
        <f>SUMIF('Opera Enerji Veri'!$C:$C, 'Opera Günlük Analiz'!$B31,'Opera Enerji Veri'!BK:BK)</f>
        <v/>
      </c>
      <c r="P31" s="217">
        <f>SUMIF('Opera Enerji Veri'!$C:$C, 'Opera Günlük Analiz'!$B31,'Opera Enerji Veri'!BL:BL)</f>
        <v/>
      </c>
      <c r="Q31" s="217">
        <f>J31+K31+P31-M31</f>
        <v/>
      </c>
      <c r="R31" s="217">
        <f>F31-Q31-M31</f>
        <v/>
      </c>
      <c r="S31" s="217">
        <f>M31+R31</f>
        <v/>
      </c>
      <c r="T31" s="217">
        <f>IFERROR(Q31/G31,0)</f>
        <v/>
      </c>
      <c r="U31" s="218">
        <f>IF(G31=0,0,S31/G31)</f>
        <v/>
      </c>
      <c r="V31" s="225">
        <f>IFERROR(U31/H31,0)</f>
        <v/>
      </c>
      <c r="W31" s="27">
        <f>IFERROR(ABS(N31/G31),0)</f>
        <v/>
      </c>
      <c r="X31" s="109">
        <f>SUMIF('Opera Enerji Veri'!$C:$C, 'Opera Günlük Analiz'!$B31,'Opera Enerji Veri'!BU:BU)</f>
        <v/>
      </c>
      <c r="Y31" s="217">
        <f>SUMIF('Opera Enerji Veri'!$C:$C, 'Opera Günlük Analiz'!$B31,'Opera Enerji Veri'!BD:BD)</f>
        <v/>
      </c>
      <c r="Z31" s="217">
        <f>SUMIF('Opera Enerji Veri'!$C:$C, 'Opera Günlük Analiz'!$B31,'Opera Enerji Veri'!BW:BW)</f>
        <v/>
      </c>
      <c r="AA31" s="217">
        <f>SUMIF('Opera Enerji Veri'!$C:$C, 'Opera Günlük Analiz'!$B31,'Opera Enerji Veri'!BX:BX)</f>
        <v/>
      </c>
      <c r="AB31" s="217">
        <f>SUMIF('Opera Enerji Veri'!$C:$C, 'Opera Günlük Analiz'!$B31,'Opera Enerji Veri'!BY:BY)</f>
        <v/>
      </c>
      <c r="AC31" s="219">
        <f>SUMIF('Opera Enerji Veri'!$C:$C, 'Opera Günlük Analiz'!$B31,'Opera Enerji Veri'!CI:CI)</f>
        <v/>
      </c>
      <c r="AD31" s="219">
        <f>IFERROR(AC31/G31,0)</f>
        <v/>
      </c>
      <c r="AE31" s="217">
        <f>J31+K31+L31+AB31-Y31</f>
        <v/>
      </c>
      <c r="AF31" s="217">
        <f>F31-AE31-Y31</f>
        <v/>
      </c>
      <c r="AG31" s="217">
        <f>Y31+AF31</f>
        <v/>
      </c>
      <c r="AH31" s="217">
        <f>IFERROR(AE31/G31,0)</f>
        <v/>
      </c>
      <c r="AI31" s="218">
        <f>IF(G31=0,0,AG31/G31)</f>
        <v/>
      </c>
      <c r="AJ31" s="225">
        <f>IFERROR(AI31/H31,0)</f>
        <v/>
      </c>
      <c r="AK31" s="27">
        <f>IFERROR(ABS(Z31/G31),0)</f>
        <v/>
      </c>
      <c r="AL31" s="109">
        <f>SUMIF('Opera Enerji Veri'!$C:$C, 'Opera Günlük Analiz'!$B31,'Opera Enerji Veri'!CH:CH)</f>
        <v/>
      </c>
      <c r="AM31" s="217">
        <f>M31-Y31</f>
        <v/>
      </c>
      <c r="AN31" s="97">
        <f>IFERROR(AM31/M31,0)</f>
        <v/>
      </c>
      <c r="AO31" s="217">
        <f>S31-AG31</f>
        <v/>
      </c>
      <c r="AP31" s="97">
        <f>IFERROR(AO31/S31,0)</f>
        <v/>
      </c>
    </row>
    <row r="32">
      <c r="B32" s="17">
        <f>B31+1</f>
        <v/>
      </c>
      <c r="C32" s="217">
        <f>IFERROR(AVERAGEIF('Opera Enerji Veri'!C:C,'Opera Günlük Analiz'!B32,'Opera Enerji Veri'!F:F),0)</f>
        <v/>
      </c>
      <c r="D32" s="217">
        <f>IFERROR(AVERAGEIF('Opera Enerji Veri'!$C:$C,'Opera Günlük Analiz'!$B32,'Opera Enerji Veri'!G:G),0)</f>
        <v/>
      </c>
      <c r="E32" s="217">
        <f>IFERROR(AVERAGEIF('Opera Enerji Veri'!$C:$C,'Opera Günlük Analiz'!$B32,'Opera Enerji Veri'!H:H),0)</f>
        <v/>
      </c>
      <c r="F32" s="217">
        <f>SUMIF('Opera Enerji Veri'!$C:$C, 'Opera Günlük Analiz'!$B32,'Opera Enerji Veri'!BE:BE)</f>
        <v/>
      </c>
      <c r="G32" s="217">
        <f>SUMIF('Opera Enerji Veri'!$C:$C, 'Opera Günlük Analiz'!$B32,'Opera Enerji Veri'!AY:AY)</f>
        <v/>
      </c>
      <c r="H32" s="217">
        <f>IFERROR(F32/G32,0)</f>
        <v/>
      </c>
      <c r="I32" s="217">
        <f>SUMIF('Opera Enerji Veri'!$C:$C, 'Opera Günlük Analiz'!$B32,'Opera Enerji Veri'!J:J)</f>
        <v/>
      </c>
      <c r="J32" s="217">
        <f>SUMIF('Opera Enerji Veri'!$C:$C, 'Opera Günlük Analiz'!$B32,'Opera Enerji Veri'!BF:BF)</f>
        <v/>
      </c>
      <c r="K32" s="217">
        <f>SUMIF('Opera Enerji Veri'!$C:$C, 'Opera Günlük Analiz'!$B32,'Opera Enerji Veri'!BG:BG)</f>
        <v/>
      </c>
      <c r="L32" s="217">
        <f>SUMIF('Opera Enerji Veri'!$C:$C, 'Opera Günlük Analiz'!$B32,'Opera Enerji Veri'!BH:BH)</f>
        <v/>
      </c>
      <c r="M32" s="217">
        <f>SUMIF('Opera Enerji Veri'!$C:$C, 'Opera Günlük Analiz'!$B32,'Opera Enerji Veri'!BB:BB)</f>
        <v/>
      </c>
      <c r="N32" s="217">
        <f>SUMIF('Opera Enerji Veri'!$C:$C, 'Opera Günlük Analiz'!$B32,'Opera Enerji Veri'!BJ:BJ)</f>
        <v/>
      </c>
      <c r="O32" s="217">
        <f>SUMIF('Opera Enerji Veri'!$C:$C, 'Opera Günlük Analiz'!$B32,'Opera Enerji Veri'!BK:BK)</f>
        <v/>
      </c>
      <c r="P32" s="217">
        <f>SUMIF('Opera Enerji Veri'!$C:$C, 'Opera Günlük Analiz'!$B32,'Opera Enerji Veri'!BL:BL)</f>
        <v/>
      </c>
      <c r="Q32" s="217">
        <f>J32+K32+P32-M32</f>
        <v/>
      </c>
      <c r="R32" s="217">
        <f>F32-Q32-M32</f>
        <v/>
      </c>
      <c r="S32" s="217">
        <f>M32+R32</f>
        <v/>
      </c>
      <c r="T32" s="217">
        <f>IFERROR(Q32/G32,0)</f>
        <v/>
      </c>
      <c r="U32" s="218">
        <f>IF(G32=0,0,S32/G32)</f>
        <v/>
      </c>
      <c r="V32" s="225">
        <f>IFERROR(U32/H32,0)</f>
        <v/>
      </c>
      <c r="W32" s="27">
        <f>IFERROR(ABS(N32/G32),0)</f>
        <v/>
      </c>
      <c r="X32" s="109">
        <f>SUMIF('Opera Enerji Veri'!$C:$C, 'Opera Günlük Analiz'!$B32,'Opera Enerji Veri'!BU:BU)</f>
        <v/>
      </c>
      <c r="Y32" s="217">
        <f>SUMIF('Opera Enerji Veri'!$C:$C, 'Opera Günlük Analiz'!$B32,'Opera Enerji Veri'!BD:BD)</f>
        <v/>
      </c>
      <c r="Z32" s="217">
        <f>SUMIF('Opera Enerji Veri'!$C:$C, 'Opera Günlük Analiz'!$B32,'Opera Enerji Veri'!BW:BW)</f>
        <v/>
      </c>
      <c r="AA32" s="217">
        <f>SUMIF('Opera Enerji Veri'!$C:$C, 'Opera Günlük Analiz'!$B32,'Opera Enerji Veri'!BX:BX)</f>
        <v/>
      </c>
      <c r="AB32" s="217">
        <f>SUMIF('Opera Enerji Veri'!$C:$C, 'Opera Günlük Analiz'!$B32,'Opera Enerji Veri'!BY:BY)</f>
        <v/>
      </c>
      <c r="AC32" s="219">
        <f>SUMIF('Opera Enerji Veri'!$C:$C, 'Opera Günlük Analiz'!$B32,'Opera Enerji Veri'!CI:CI)</f>
        <v/>
      </c>
      <c r="AD32" s="219">
        <f>IFERROR(AC32/G32,0)</f>
        <v/>
      </c>
      <c r="AE32" s="217">
        <f>J32+K32+L32+AB32-Y32</f>
        <v/>
      </c>
      <c r="AF32" s="217">
        <f>F32-AE32-Y32</f>
        <v/>
      </c>
      <c r="AG32" s="217">
        <f>Y32+AF32</f>
        <v/>
      </c>
      <c r="AH32" s="217">
        <f>IFERROR(AE32/G32,0)</f>
        <v/>
      </c>
      <c r="AI32" s="218">
        <f>IF(G32=0,0,AG32/G32)</f>
        <v/>
      </c>
      <c r="AJ32" s="225">
        <f>IFERROR(AI32/H32,0)</f>
        <v/>
      </c>
      <c r="AK32" s="27">
        <f>IFERROR(ABS(Z32/G32),0)</f>
        <v/>
      </c>
      <c r="AL32" s="109">
        <f>SUMIF('Opera Enerji Veri'!$C:$C, 'Opera Günlük Analiz'!$B32,'Opera Enerji Veri'!CH:CH)</f>
        <v/>
      </c>
      <c r="AM32" s="217">
        <f>M32-Y32</f>
        <v/>
      </c>
      <c r="AN32" s="97">
        <f>IFERROR(AM32/M32,0)</f>
        <v/>
      </c>
      <c r="AO32" s="217">
        <f>S32-AG32</f>
        <v/>
      </c>
      <c r="AP32" s="97">
        <f>IFERROR(AO32/S32,0)</f>
        <v/>
      </c>
    </row>
    <row r="33">
      <c r="B33" s="17">
        <f>B32+1</f>
        <v/>
      </c>
      <c r="C33" s="217">
        <f>IFERROR(AVERAGEIF('Opera Enerji Veri'!C:C,'Opera Günlük Analiz'!B33,'Opera Enerji Veri'!F:F),0)</f>
        <v/>
      </c>
      <c r="D33" s="217">
        <f>IFERROR(AVERAGEIF('Opera Enerji Veri'!$C:$C,'Opera Günlük Analiz'!$B33,'Opera Enerji Veri'!G:G),0)</f>
        <v/>
      </c>
      <c r="E33" s="217">
        <f>IFERROR(AVERAGEIF('Opera Enerji Veri'!$C:$C,'Opera Günlük Analiz'!$B33,'Opera Enerji Veri'!H:H),0)</f>
        <v/>
      </c>
      <c r="F33" s="217">
        <f>SUMIF('Opera Enerji Veri'!$C:$C, 'Opera Günlük Analiz'!$B33,'Opera Enerji Veri'!BE:BE)</f>
        <v/>
      </c>
      <c r="G33" s="217">
        <f>SUMIF('Opera Enerji Veri'!$C:$C, 'Opera Günlük Analiz'!$B33,'Opera Enerji Veri'!AY:AY)</f>
        <v/>
      </c>
      <c r="H33" s="217">
        <f>IFERROR(F33/G33,0)</f>
        <v/>
      </c>
      <c r="I33" s="217">
        <f>SUMIF('Opera Enerji Veri'!$C:$C, 'Opera Günlük Analiz'!$B33,'Opera Enerji Veri'!J:J)</f>
        <v/>
      </c>
      <c r="J33" s="217">
        <f>SUMIF('Opera Enerji Veri'!$C:$C, 'Opera Günlük Analiz'!$B33,'Opera Enerji Veri'!BF:BF)</f>
        <v/>
      </c>
      <c r="K33" s="217">
        <f>SUMIF('Opera Enerji Veri'!$C:$C, 'Opera Günlük Analiz'!$B33,'Opera Enerji Veri'!BG:BG)</f>
        <v/>
      </c>
      <c r="L33" s="217">
        <f>SUMIF('Opera Enerji Veri'!$C:$C, 'Opera Günlük Analiz'!$B33,'Opera Enerji Veri'!BH:BH)</f>
        <v/>
      </c>
      <c r="M33" s="217">
        <f>SUMIF('Opera Enerji Veri'!$C:$C, 'Opera Günlük Analiz'!$B33,'Opera Enerji Veri'!BB:BB)</f>
        <v/>
      </c>
      <c r="N33" s="217">
        <f>SUMIF('Opera Enerji Veri'!$C:$C, 'Opera Günlük Analiz'!$B33,'Opera Enerji Veri'!BJ:BJ)</f>
        <v/>
      </c>
      <c r="O33" s="217">
        <f>SUMIF('Opera Enerji Veri'!$C:$C, 'Opera Günlük Analiz'!$B33,'Opera Enerji Veri'!BK:BK)</f>
        <v/>
      </c>
      <c r="P33" s="217">
        <f>SUMIF('Opera Enerji Veri'!$C:$C, 'Opera Günlük Analiz'!$B33,'Opera Enerji Veri'!BL:BL)</f>
        <v/>
      </c>
      <c r="Q33" s="217">
        <f>J33+K33+P33-M33</f>
        <v/>
      </c>
      <c r="R33" s="217">
        <f>F33-Q33-M33</f>
        <v/>
      </c>
      <c r="S33" s="217">
        <f>M33+R33</f>
        <v/>
      </c>
      <c r="T33" s="217">
        <f>IFERROR(Q33/G33,0)</f>
        <v/>
      </c>
      <c r="U33" s="218">
        <f>IF(G33=0,0,S33/G33)</f>
        <v/>
      </c>
      <c r="V33" s="225">
        <f>IFERROR(U33/H33,0)</f>
        <v/>
      </c>
      <c r="W33" s="27">
        <f>IFERROR(ABS(N33/G33),0)</f>
        <v/>
      </c>
      <c r="X33" s="109">
        <f>SUMIF('Opera Enerji Veri'!$C:$C, 'Opera Günlük Analiz'!$B33,'Opera Enerji Veri'!BU:BU)</f>
        <v/>
      </c>
      <c r="Y33" s="217">
        <f>SUMIF('Opera Enerji Veri'!$C:$C, 'Opera Günlük Analiz'!$B33,'Opera Enerji Veri'!BD:BD)</f>
        <v/>
      </c>
      <c r="Z33" s="217">
        <f>SUMIF('Opera Enerji Veri'!$C:$C, 'Opera Günlük Analiz'!$B33,'Opera Enerji Veri'!BW:BW)</f>
        <v/>
      </c>
      <c r="AA33" s="217">
        <f>SUMIF('Opera Enerji Veri'!$C:$C, 'Opera Günlük Analiz'!$B33,'Opera Enerji Veri'!BX:BX)</f>
        <v/>
      </c>
      <c r="AB33" s="217">
        <f>SUMIF('Opera Enerji Veri'!$C:$C, 'Opera Günlük Analiz'!$B33,'Opera Enerji Veri'!BY:BY)</f>
        <v/>
      </c>
      <c r="AC33" s="219">
        <f>SUMIF('Opera Enerji Veri'!$C:$C, 'Opera Günlük Analiz'!$B33,'Opera Enerji Veri'!CI:CI)</f>
        <v/>
      </c>
      <c r="AD33" s="219">
        <f>IFERROR(AC33/G33,0)</f>
        <v/>
      </c>
      <c r="AE33" s="217">
        <f>J33+K33+L33+AB33-Y33</f>
        <v/>
      </c>
      <c r="AF33" s="217">
        <f>F33-AE33-Y33</f>
        <v/>
      </c>
      <c r="AG33" s="217">
        <f>Y33+AF33</f>
        <v/>
      </c>
      <c r="AH33" s="217">
        <f>IFERROR(AE33/G33,0)</f>
        <v/>
      </c>
      <c r="AI33" s="218">
        <f>IF(G33=0,0,AG33/G33)</f>
        <v/>
      </c>
      <c r="AJ33" s="225">
        <f>IFERROR(AI33/H33,0)</f>
        <v/>
      </c>
      <c r="AK33" s="27">
        <f>IFERROR(ABS(Z33/G33),0)</f>
        <v/>
      </c>
      <c r="AL33" s="109">
        <f>SUMIF('Opera Enerji Veri'!$C:$C, 'Opera Günlük Analiz'!$B33,'Opera Enerji Veri'!CH:CH)</f>
        <v/>
      </c>
      <c r="AM33" s="217">
        <f>M33-Y33</f>
        <v/>
      </c>
      <c r="AN33" s="97">
        <f>IFERROR(AM33/M33,0)</f>
        <v/>
      </c>
      <c r="AO33" s="217">
        <f>S33-AG33</f>
        <v/>
      </c>
      <c r="AP33" s="97">
        <f>IFERROR(AO33/S33,0)</f>
        <v/>
      </c>
    </row>
    <row r="62">
      <c r="AI62" s="209">
        <f>19000000-18439500</f>
        <v/>
      </c>
      <c r="AJ62" s="209" t="n"/>
      <c r="AM62" s="23">
        <f>AI62/19000000</f>
        <v/>
      </c>
    </row>
  </sheetData>
  <mergeCells count="2">
    <mergeCell ref="M1:U1"/>
    <mergeCell ref="Y1:AI1"/>
  </mergeCells>
  <conditionalFormatting sqref="AM2 AO2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770"/>
  <sheetViews>
    <sheetView showGridLines="0" zoomScale="70" zoomScaleNormal="70" workbookViewId="0">
      <pane ySplit="2" topLeftCell="A699" activePane="bottomLeft" state="frozen"/>
      <selection activeCell="A2" sqref="A2"/>
      <selection pane="bottomLeft" activeCell="A2" sqref="A2:D746"/>
    </sheetView>
  </sheetViews>
  <sheetFormatPr baseColWidth="8" defaultColWidth="8.88671875" defaultRowHeight="14.4"/>
  <cols>
    <col width="18.6640625" customWidth="1" style="226" min="1" max="1"/>
    <col width="12" customWidth="1" style="34" min="2" max="2"/>
    <col width="18.6640625" customWidth="1" style="226" min="3" max="5"/>
    <col width="12" customWidth="1" style="34" min="6" max="9"/>
    <col width="12" customWidth="1" style="117" min="10" max="10"/>
    <col width="12" customWidth="1" style="34" min="11" max="11"/>
    <col width="12" customWidth="1" style="117" min="12" max="12"/>
    <col width="12" customWidth="1" style="34" min="13" max="13"/>
    <col width="12" customWidth="1" style="117" min="14" max="14"/>
    <col width="12" customWidth="1" style="34" min="15" max="16"/>
    <col width="12" customWidth="1" style="117" min="17" max="17"/>
    <col width="12" customWidth="1" style="34" min="18" max="35"/>
    <col width="9.44140625" customWidth="1" style="34" min="36" max="38"/>
    <col width="12" customWidth="1" style="40" min="39" max="39"/>
    <col width="12" customWidth="1" style="34" min="40" max="42"/>
    <col width="8.5546875" customWidth="1" style="34" min="43" max="45"/>
    <col width="12" customWidth="1" style="34" min="46" max="56"/>
    <col width="12.33203125" customWidth="1" style="34" min="57" max="59"/>
    <col width="12.33203125" customWidth="1" style="188" min="60" max="60"/>
    <col width="11.109375" customWidth="1" style="34" min="61" max="64"/>
    <col width="13.6640625" customWidth="1" style="34" min="65" max="65"/>
    <col width="11.109375" customWidth="1" style="34" min="66" max="68"/>
    <col hidden="1" width="11.109375" customWidth="1" style="34" min="69" max="73"/>
    <col width="11.44140625" bestFit="1" customWidth="1" style="34" min="74" max="74"/>
    <col width="10.6640625" customWidth="1" style="34" min="75" max="77"/>
    <col width="11.6640625" customWidth="1" style="34" min="78" max="78"/>
    <col width="8.88671875" customWidth="1" style="34" min="79" max="79"/>
    <col width="12.88671875" customWidth="1" style="34" min="80" max="80"/>
    <col width="8.88671875" customWidth="1" style="34" min="81" max="81"/>
    <col hidden="1" width="13" customWidth="1" style="34" min="82" max="84"/>
    <col hidden="1" width="11.109375" customWidth="1" style="34" min="85" max="85"/>
    <col hidden="1" width="13" customWidth="1" style="34" min="86" max="86"/>
    <col width="15.6640625" customWidth="1" style="34" min="87" max="87"/>
    <col width="8.88671875" customWidth="1" style="34" min="88" max="16384"/>
  </cols>
  <sheetData>
    <row r="1" ht="14.4" customHeight="1" s="188">
      <c r="AB1" s="169" t="inlineStr">
        <is>
          <t>ARPACIK HES(3,77 MWh)</t>
        </is>
      </c>
      <c r="AI1" s="165" t="inlineStr">
        <is>
          <t>YAVUZ HES(33,5 MWh)</t>
        </is>
      </c>
      <c r="AP1" s="166" t="inlineStr">
        <is>
          <t>MİDİLLİ HES(33,548 MWh)</t>
        </is>
      </c>
      <c r="BH1" s="34" t="n"/>
      <c r="BI1" s="164" t="inlineStr">
        <is>
          <t>GİP ÖNCESİ</t>
        </is>
      </c>
      <c r="BJ1" s="212" t="n"/>
      <c r="BK1" s="212" t="n"/>
      <c r="BL1" s="212" t="n"/>
      <c r="BM1" s="212" t="n"/>
      <c r="BN1" s="212" t="n"/>
      <c r="BO1" s="212" t="n"/>
      <c r="BP1" s="213" t="n"/>
      <c r="BQ1" s="164" t="n"/>
      <c r="BR1" s="164" t="n"/>
      <c r="BS1" s="164" t="n"/>
      <c r="BT1" s="164" t="n"/>
      <c r="BU1" s="164" t="n"/>
      <c r="BV1" s="167" t="inlineStr">
        <is>
          <t>GİP SONRASI</t>
        </is>
      </c>
      <c r="BW1" s="214" t="n"/>
      <c r="BX1" s="214" t="n"/>
      <c r="BY1" s="214" t="n"/>
      <c r="BZ1" s="214" t="n"/>
      <c r="CA1" s="214" t="n"/>
      <c r="CB1" s="214" t="n"/>
      <c r="CC1" s="214" t="n"/>
      <c r="CD1" s="214" t="n"/>
      <c r="CE1" s="214" t="n"/>
      <c r="CF1" s="214" t="n"/>
      <c r="CG1" s="214" t="n"/>
      <c r="CH1" s="214" t="n"/>
    </row>
    <row r="2" ht="86.40000000000001" customFormat="1" customHeight="1" s="3">
      <c r="A2" s="210" t="inlineStr">
        <is>
          <t>Tarih</t>
        </is>
      </c>
      <c r="B2" s="2" t="inlineStr">
        <is>
          <t>Saat</t>
        </is>
      </c>
      <c r="C2" s="210" t="inlineStr">
        <is>
          <t>GÜN</t>
        </is>
      </c>
      <c r="D2" s="210" t="inlineStr">
        <is>
          <t>AY</t>
        </is>
      </c>
      <c r="E2" s="210" t="inlineStr">
        <is>
          <t>Sistem Yönü</t>
        </is>
      </c>
      <c r="F2" s="2" t="inlineStr">
        <is>
          <t>PTF (TL/MWh)</t>
        </is>
      </c>
      <c r="G2" s="2" t="inlineStr">
        <is>
          <t>SMF (TL/MWh)</t>
        </is>
      </c>
      <c r="H2" s="2" t="inlineStr">
        <is>
          <t>PTF (USD/MWh)</t>
        </is>
      </c>
      <c r="I2" s="227" t="inlineStr">
        <is>
          <t>AOF (TL/MWh)</t>
        </is>
      </c>
      <c r="J2" s="118" t="inlineStr">
        <is>
          <t>GÖP SSM (MWh)</t>
        </is>
      </c>
      <c r="K2" s="2" t="inlineStr">
        <is>
          <t>GÖP SST (TL)</t>
        </is>
      </c>
      <c r="L2" s="118" t="inlineStr">
        <is>
          <t>GÖP SAM (MWh)</t>
        </is>
      </c>
      <c r="M2" s="2" t="inlineStr">
        <is>
          <t>GÖP SAT (TL)</t>
        </is>
      </c>
      <c r="N2" s="118" t="inlineStr">
        <is>
          <t>İA Satış Miktarı (MWh)</t>
        </is>
      </c>
      <c r="O2" s="2" t="inlineStr">
        <is>
          <t>İA Satış Birim Fiyatı(TL/MWh)</t>
        </is>
      </c>
      <c r="P2" s="2" t="inlineStr">
        <is>
          <t>İASST(TL)</t>
        </is>
      </c>
      <c r="Q2" s="118" t="inlineStr">
        <is>
          <t>İA Alış Miktarı (MWh)</t>
        </is>
      </c>
      <c r="R2" s="2" t="inlineStr">
        <is>
          <t>İA Alış Birim Fiyatı (TL/MWh)</t>
        </is>
      </c>
      <c r="S2" s="2" t="inlineStr">
        <is>
          <t>İAAT(TL)</t>
        </is>
      </c>
      <c r="T2" s="2" t="inlineStr">
        <is>
          <t>GİPSM (MWh)</t>
        </is>
      </c>
      <c r="U2" s="227" t="inlineStr">
        <is>
          <t>GİP İŞLEM AOF (TL/MWh)</t>
        </is>
      </c>
      <c r="V2" s="228" t="inlineStr">
        <is>
          <t>PTF-SATIŞ AÖF</t>
        </is>
      </c>
      <c r="W2" s="2" t="inlineStr">
        <is>
          <t>GİPST (TL)</t>
        </is>
      </c>
      <c r="X2" s="2" t="inlineStr">
        <is>
          <t>GİPAM (MWh)</t>
        </is>
      </c>
      <c r="Y2" s="227" t="inlineStr">
        <is>
          <t>GİP İŞLEM AOF (TL/MWh)</t>
        </is>
      </c>
      <c r="Z2" s="227" t="inlineStr">
        <is>
          <t>ALIŞ AÖF-PTF</t>
        </is>
      </c>
      <c r="AA2" s="149" t="inlineStr">
        <is>
          <t>GİPAT (TL)</t>
        </is>
      </c>
      <c r="AB2" s="127" t="inlineStr">
        <is>
          <t>UEVM</t>
        </is>
      </c>
      <c r="AC2" s="127" t="inlineStr">
        <is>
          <t>İLK KGÜP</t>
        </is>
      </c>
      <c r="AD2" s="127" t="inlineStr">
        <is>
          <t>İLK KUPSM</t>
        </is>
      </c>
      <c r="AE2" s="127" t="inlineStr">
        <is>
          <t>İLK KUPST</t>
        </is>
      </c>
      <c r="AF2" s="128" t="inlineStr">
        <is>
          <t>SON KGÜP</t>
        </is>
      </c>
      <c r="AG2" s="127" t="inlineStr">
        <is>
          <t>SON KUPSM</t>
        </is>
      </c>
      <c r="AH2" s="127" t="inlineStr">
        <is>
          <t>SON KUPST</t>
        </is>
      </c>
      <c r="AI2" s="31" t="inlineStr">
        <is>
          <t>UEVM</t>
        </is>
      </c>
      <c r="AJ2" s="31" t="inlineStr">
        <is>
          <t>İLK KGÜP</t>
        </is>
      </c>
      <c r="AK2" s="31" t="inlineStr">
        <is>
          <t>İLK KUPSM</t>
        </is>
      </c>
      <c r="AL2" s="31" t="inlineStr">
        <is>
          <t>İLK KUPST</t>
        </is>
      </c>
      <c r="AM2" s="38" t="inlineStr">
        <is>
          <t>SON KGÜP</t>
        </is>
      </c>
      <c r="AN2" s="31" t="inlineStr">
        <is>
          <t>SON KUPSM</t>
        </is>
      </c>
      <c r="AO2" s="31" t="inlineStr">
        <is>
          <t>SON KUPST</t>
        </is>
      </c>
      <c r="AP2" s="32" t="inlineStr">
        <is>
          <t>UEVM</t>
        </is>
      </c>
      <c r="AQ2" s="32" t="inlineStr">
        <is>
          <t>İLK KGÜP</t>
        </is>
      </c>
      <c r="AR2" s="32" t="inlineStr">
        <is>
          <t>İLK KUPSM</t>
        </is>
      </c>
      <c r="AS2" s="32" t="inlineStr">
        <is>
          <t>İLK KUPST</t>
        </is>
      </c>
      <c r="AT2" s="32" t="inlineStr">
        <is>
          <t>SON KGÜP</t>
        </is>
      </c>
      <c r="AU2" s="32" t="inlineStr">
        <is>
          <t>SON KUPSM</t>
        </is>
      </c>
      <c r="AV2" s="32" t="inlineStr">
        <is>
          <t>SON KUPST</t>
        </is>
      </c>
      <c r="AW2" s="2" t="inlineStr">
        <is>
          <t>TOPLAM İLK KGÜP</t>
        </is>
      </c>
      <c r="AX2" s="2" t="inlineStr">
        <is>
          <t>TOPLAM SON KGÜP</t>
        </is>
      </c>
      <c r="AY2" s="2" t="inlineStr">
        <is>
          <t>TOPLAM UEVM (MWh)</t>
        </is>
      </c>
      <c r="AZ2" s="2" t="inlineStr">
        <is>
          <t>TOPLAM UEÇM (MWh)</t>
        </is>
      </c>
      <c r="BA2" s="8" t="inlineStr">
        <is>
          <t>İLK KUPSM(MWh)</t>
        </is>
      </c>
      <c r="BB2" s="8" t="inlineStr">
        <is>
          <t>İLK KUPST(TL)</t>
        </is>
      </c>
      <c r="BC2" s="8" t="inlineStr">
        <is>
          <t>SON KUPSM</t>
        </is>
      </c>
      <c r="BD2" s="8" t="inlineStr">
        <is>
          <t>SON KUPST</t>
        </is>
      </c>
      <c r="BE2" s="8" t="inlineStr">
        <is>
          <t>İDEAL TUTAR(TL)</t>
        </is>
      </c>
      <c r="BF2" s="8" t="inlineStr">
        <is>
          <t>GÖP TUTAR</t>
        </is>
      </c>
      <c r="BG2" s="8" t="inlineStr">
        <is>
          <t>İA TUTAR</t>
        </is>
      </c>
      <c r="BH2" s="8" t="inlineStr">
        <is>
          <t>GİP TUTAR</t>
        </is>
      </c>
      <c r="BI2" s="24" t="inlineStr">
        <is>
          <t>NET GELİR(TL)</t>
        </is>
      </c>
      <c r="BJ2" s="24" t="inlineStr">
        <is>
          <t>Mutlak EDM(MWh)</t>
        </is>
      </c>
      <c r="BK2" s="24" t="inlineStr">
        <is>
          <t>EDM(MWh)</t>
        </is>
      </c>
      <c r="BL2" s="24" t="inlineStr">
        <is>
          <t>EDT(TL)</t>
        </is>
      </c>
      <c r="BM2" s="24" t="inlineStr">
        <is>
          <t>DENGESİZLİK MALİYETİ</t>
        </is>
      </c>
      <c r="BN2" s="24" t="inlineStr">
        <is>
          <t>İLK KÜPST</t>
        </is>
      </c>
      <c r="BO2" s="24" t="inlineStr">
        <is>
          <t>TOPLAM MALİYET</t>
        </is>
      </c>
      <c r="BP2" s="24" t="inlineStr">
        <is>
          <t>BİRİM MALİYET</t>
        </is>
      </c>
      <c r="BQ2" s="11" t="inlineStr">
        <is>
          <t>GİP'siz Piyasa Hacmi</t>
        </is>
      </c>
      <c r="BR2" s="102" t="inlineStr">
        <is>
          <t>GİP'siz Dengesizlik Oranı</t>
        </is>
      </c>
      <c r="BS2" s="11" t="inlineStr">
        <is>
          <t>GİP'siz Piyasa Hacminin %10 dışında EDM</t>
        </is>
      </c>
      <c r="BT2" s="11" t="inlineStr">
        <is>
          <t>GİP'siz Piyasa Hacminin %10 dışında EDT</t>
        </is>
      </c>
      <c r="BU2" s="11" t="inlineStr">
        <is>
          <t>GİP'siz DO Miktarı</t>
        </is>
      </c>
      <c r="BV2" s="25" t="inlineStr">
        <is>
          <t>NET GELİR(TL)</t>
        </is>
      </c>
      <c r="BW2" s="25" t="inlineStr">
        <is>
          <t>Mutlak EDM(MWh)</t>
        </is>
      </c>
      <c r="BX2" s="25" t="inlineStr">
        <is>
          <t>EDM(MWh)</t>
        </is>
      </c>
      <c r="BY2" s="25" t="inlineStr">
        <is>
          <t>EDT(TL)</t>
        </is>
      </c>
      <c r="BZ2" s="25" t="inlineStr">
        <is>
          <t>DENGESİZLİK MALİYETİ</t>
        </is>
      </c>
      <c r="CA2" s="25" t="inlineStr">
        <is>
          <t>SON KÜPST</t>
        </is>
      </c>
      <c r="CB2" s="25" t="inlineStr">
        <is>
          <t>TOPLAM MALİYET</t>
        </is>
      </c>
      <c r="CC2" s="25" t="inlineStr">
        <is>
          <t>BİRİM MALİYET</t>
        </is>
      </c>
      <c r="CD2" s="103" t="inlineStr">
        <is>
          <t>GİP'li Piyasa Hacmi</t>
        </is>
      </c>
      <c r="CE2" s="103" t="inlineStr">
        <is>
          <t>GİP' li Dengesizlik Oranı</t>
        </is>
      </c>
      <c r="CF2" s="229" t="inlineStr">
        <is>
          <t>GİP'li Piyasa Hacminin %10 dışında EDM</t>
        </is>
      </c>
      <c r="CG2" s="229" t="inlineStr">
        <is>
          <t>GİP'li Piyasa Hacminin %10 dışında EDT</t>
        </is>
      </c>
      <c r="CH2" s="229" t="inlineStr">
        <is>
          <t>GİP'li DO Miktarı</t>
        </is>
      </c>
      <c r="CI2" s="150" t="inlineStr">
        <is>
          <t>Dengesizlik Maliyeti_Yeni</t>
        </is>
      </c>
      <c r="CJ2" s="150" t="inlineStr">
        <is>
          <t>Birim Maliyeti_Yeni</t>
        </is>
      </c>
    </row>
    <row r="3">
      <c r="A3" s="29" t="n">
        <v>46204</v>
      </c>
      <c r="B3" s="29" t="inlineStr">
        <is>
          <t>00:00</t>
        </is>
      </c>
      <c r="C3" s="35">
        <f>INT(A3)</f>
        <v/>
      </c>
      <c r="D3" s="36">
        <f>MONTH(A3)</f>
        <v/>
      </c>
      <c r="E3" s="147" t="inlineStr">
        <is>
          <t>Enerji Açığı</t>
        </is>
      </c>
      <c r="F3" s="30" t="n">
        <v>4090.67</v>
      </c>
      <c r="G3" s="30" t="n">
        <v>4091</v>
      </c>
      <c r="H3" s="30" t="n">
        <v>87.87</v>
      </c>
      <c r="I3" s="30" t="n">
        <v>3901.78</v>
      </c>
      <c r="J3" s="119" t="n">
        <v>0</v>
      </c>
      <c r="K3" s="34">
        <f>F3*J3</f>
        <v/>
      </c>
      <c r="L3" s="119" t="n">
        <v>0</v>
      </c>
      <c r="M3" s="34">
        <f>L3*F3</f>
        <v/>
      </c>
      <c r="N3" s="119" t="n">
        <v>16</v>
      </c>
      <c r="O3" s="34">
        <f>F3</f>
        <v/>
      </c>
      <c r="P3" s="34">
        <f>N3*O3</f>
        <v/>
      </c>
      <c r="Q3" s="119" t="n">
        <v>0</v>
      </c>
      <c r="R3" s="34">
        <f>F3</f>
        <v/>
      </c>
      <c r="S3" s="34">
        <f>R3*Q3</f>
        <v/>
      </c>
      <c r="T3" s="34" t="n"/>
      <c r="U3" s="34">
        <f>IFERROR(W3/T3,0)</f>
        <v/>
      </c>
      <c r="V3" s="34">
        <f>IF(U3=0,0,U3-F3)</f>
        <v/>
      </c>
      <c r="W3" s="34" t="n"/>
      <c r="X3" s="34" t="n"/>
      <c r="Y3" s="34">
        <f>IFERROR(AA3/X3,0)</f>
        <v/>
      </c>
      <c r="Z3" s="34">
        <f>IF(Y3=0,0,F3-Y3)</f>
        <v/>
      </c>
      <c r="AA3" s="34" t="n"/>
      <c r="AB3" s="34" t="n">
        <v>0</v>
      </c>
      <c r="AC3" s="34" t="n">
        <v>0</v>
      </c>
      <c r="AD3" s="34">
        <f>IF(AB3&gt;AC3*1.05,AB3-AC3*1.05,IF(AB3&lt;AC3*0.95,AC3*0.95-AB3,0))</f>
        <v/>
      </c>
      <c r="AE3" s="34">
        <f>MAX(F3,G3,750)*0.05*AD3</f>
        <v/>
      </c>
      <c r="AF3" s="34" t="n">
        <v>0</v>
      </c>
      <c r="AG3" s="34">
        <f>IF(AB3&gt;AF3*1.05,AB3-AF3*1.05,IF(AB3&lt;AF3*0.95,AF3*0.95-AB3,0))</f>
        <v/>
      </c>
      <c r="AH3" s="34">
        <f>MAX(I3,J3,750)*0.05*AG3</f>
        <v/>
      </c>
      <c r="AI3" t="n">
        <v>8.15</v>
      </c>
      <c r="AJ3" t="n">
        <v>7</v>
      </c>
      <c r="AK3" s="34">
        <f>IF(AI3&gt;AJ3*1.05,AI3-AJ3*1.05,IF(AI3&lt;AJ3*0.95,AJ3*0.95-AI3,0))</f>
        <v/>
      </c>
      <c r="AL3" s="34">
        <f>MAX(F3,G3,750)*0.05*AK3</f>
        <v/>
      </c>
      <c r="AM3" s="39" t="n">
        <v>8</v>
      </c>
      <c r="AN3" s="34">
        <f>IF(AI3&gt;AM3*1.05,AI3-AM3*1.05,IF(AI3&lt;AM3*0.95,AM3*0.95-AI3,0))</f>
        <v/>
      </c>
      <c r="AO3" s="34">
        <f>MAX(F3,G3,750)*0.05*AN3</f>
        <v/>
      </c>
      <c r="AP3" s="34" t="n">
        <v>8.94</v>
      </c>
      <c r="AQ3" s="34" t="n">
        <v>9</v>
      </c>
      <c r="AR3" s="34">
        <f>IF(AP3&gt;AQ3*1.05,AP3-AQ3*1.05,IF(AP3&lt;AQ3*0.95,AQ3*0.95-AP3,0))</f>
        <v/>
      </c>
      <c r="AS3" s="34">
        <f>MAX(F3:G3,750)*0.05*AR3</f>
        <v/>
      </c>
      <c r="AT3" t="n">
        <v>9</v>
      </c>
      <c r="AU3" s="34">
        <f>IF(AP3&gt;AT3*1.05,AP3-AT3*1.05,IF(AP3&lt;AT3*0.95,AT3*0.95-AP3,0))</f>
        <v/>
      </c>
      <c r="AV3" s="34">
        <f>MAX(F3:G3,750)*0.05*AU3</f>
        <v/>
      </c>
      <c r="AW3" s="34">
        <f>AC3+AJ3+AQ3</f>
        <v/>
      </c>
      <c r="AX3" s="34">
        <f>AF3+AM3+AT3</f>
        <v/>
      </c>
      <c r="AY3" s="34">
        <f>AB3+AI3+AP3</f>
        <v/>
      </c>
      <c r="AZ3" s="34" t="n">
        <v>0</v>
      </c>
      <c r="BA3" s="34">
        <f>AD3+AK3+AR3</f>
        <v/>
      </c>
      <c r="BB3" s="34">
        <f>MAX(F3:G3,750)*0.05*BA3</f>
        <v/>
      </c>
      <c r="BC3" s="34">
        <f>AG3+AN3+AU3</f>
        <v/>
      </c>
      <c r="BD3" s="34">
        <f>MAX(F3:G3,750)*0.05*BC3</f>
        <v/>
      </c>
      <c r="BE3" s="34">
        <f>F3*AY3</f>
        <v/>
      </c>
      <c r="BF3" s="34">
        <f>K3-M3</f>
        <v/>
      </c>
      <c r="BG3" s="34">
        <f>P3-S3</f>
        <v/>
      </c>
      <c r="BH3" s="34">
        <f>W3-AA3</f>
        <v/>
      </c>
      <c r="BI3" s="34">
        <f>BF3+BG3+BL3-BN3</f>
        <v/>
      </c>
      <c r="BJ3" s="34">
        <f>ABS(BK3)</f>
        <v/>
      </c>
      <c r="BK3" s="34">
        <f>AY3-(J3-L3+N3-Q3)</f>
        <v/>
      </c>
      <c r="BL3" s="34">
        <f>IF(AND(BK3&gt;0,MIN($F3:$G3)&lt;150,$E3="Enerji Açığı"),-100*BK3*1.03,IF(AND(BK3&gt;0,MIN($F3:$G3)&lt;150,$E3="Enerji Fazlası"),-100*BK3*1.06,IF(AND(BK3&gt;0,MIN($F3:$G3)&gt;=150,$E3="Enerji Açığı"),BK3*MIN($F3:$G3)*0.97,IF(AND(BK3&gt;0,MIN($F3:$G3)&gt;=150,$E3="Enerji Fazlası"),BK3*MIN($F3:$G3)*0.94,IF(AND(BK3&lt;0,MAX($F3:$G3)=4500,$E3="Enerji Açığı"),4500*1.05*1.06*BK3,IF(AND(BK3&lt;0,MAX($F3:$G3)=4500,$E3="Enerji Fazlası"),4500*1.05*1.03*BK3,IF(AND(BK3&lt;0,$E3="Enerji Açığı"),MAX($F3,$G3,150)*BK3*1.06,IF(AND(BK3&lt;0,$E3="Enerji Fazlası"),MAX($F3,$G3,150)*BK3*1.03,IF(AND(BK3&lt;0,$E3="Dengede"),MAX($F3:$G3,150)*1.03*BK3,MIN($F3:$G3)*0.97*BK3)))))))))</f>
        <v/>
      </c>
      <c r="BM3" s="34">
        <f>BE3-BI3-BN3</f>
        <v/>
      </c>
      <c r="BN3" s="34">
        <f>BB3</f>
        <v/>
      </c>
      <c r="BO3" s="34">
        <f>BE3-BI3</f>
        <v/>
      </c>
      <c r="BP3" s="34">
        <f>IF(AY3=0,0,BO3/AY3)</f>
        <v/>
      </c>
      <c r="BQ3" s="34">
        <f>MAX((AY3+MAX((-J3+L3-N3+Q3),0)),(MAX((J3-L3+N3-Q3),0)))</f>
        <v/>
      </c>
      <c r="BR3" s="82">
        <f>IFERROR(ABS(BK3/BQ3),0)</f>
        <v/>
      </c>
      <c r="BS3" s="34">
        <f>IF(BR3&lt;=0.1,0,BK3/BR3*(BR3-0.1))</f>
        <v/>
      </c>
      <c r="BT3" s="34">
        <f>IF((BS3)&lt;0,MAX(F3:G3)*(BS3)*1.03,MIN(F3:G3)*(BS3)*0.97)</f>
        <v/>
      </c>
      <c r="BU3" s="34">
        <f>IF(BR3&gt;0.1,1,0)</f>
        <v/>
      </c>
      <c r="BV3" s="34">
        <f>BF3+BG3+BH3+BY3-CA3</f>
        <v/>
      </c>
      <c r="BW3" s="34">
        <f>ABS(BX3)</f>
        <v/>
      </c>
      <c r="BX3" s="34">
        <f>AY3-(J3-L3+N3-Q3+T3-X3)</f>
        <v/>
      </c>
      <c r="BY3" s="34">
        <f>IF(AND(BX3&gt;0,MIN($F3:$G3)&lt;150,$E3="Enerji Açığı"),-100*BX3*1.03,IF(AND(BX3&gt;0,MIN($F3:$G3)&lt;150,$E3="Enerji Fazlası"),-100*BX3*1.06,IF(AND(BX3&gt;0,MIN($F3:$G3)&gt;=150,$E3="Enerji Açığı"),BX3*MIN($F3:$G3)*0.97,IF(AND(BX3&gt;0,MIN($F3:$G3)&gt;=150,$E3="Enerji Fazlası"),BX3*MIN($F3:$G3)*0.94,IF(AND(BX3&lt;0,MAX($F3:$G3)=4500,$E3="Enerji Açığı"),4500*1.05*1.06*BX3,IF(AND(BX3&lt;0,MAX($F3:$G3)=4500,$E3="Enerji Fazlası"),4500*1.05*1.03*BX3,IF(AND(BX3&lt;0,$E3="Enerji Açığı"),MAX($F3,$G3,150)*BX3*1.06,IF(AND(BX3&lt;0,$E3="Enerji Fazlası"),MAX($F3,$G3,150)*BX3*1.03,IF(AND(BX3&lt;0,$E3="Dengede"),MAX($F3:$G3,150)*1.03*BX3,MIN($F3:$G3)*0.97*BX3)))))))))</f>
        <v/>
      </c>
      <c r="BZ3" s="34">
        <f>BE3-BV3-CA3</f>
        <v/>
      </c>
      <c r="CA3" s="34">
        <f>BD3</f>
        <v/>
      </c>
      <c r="CB3" s="33">
        <f>BE3-BV3</f>
        <v/>
      </c>
      <c r="CC3" s="34">
        <f>IF(AY3=0,0,CB3/AY3)</f>
        <v/>
      </c>
      <c r="CD3" s="34">
        <f>MAX((AY3+MAX((-J3+L3-N3+Q3-T3+X3),0)),(MAX((J3-L3+N3-Q3+T3-X3),0)))</f>
        <v/>
      </c>
      <c r="CE3" s="82">
        <f>IFERROR(ABS(BX3/CD3),0)</f>
        <v/>
      </c>
      <c r="CF3" s="34">
        <f>IF(CE3&lt;=0.1,0,BX3/CE3*(CE3-0.1))</f>
        <v/>
      </c>
      <c r="CG3" s="34">
        <f>IF((CF3)&lt;0,MAX(F3:G3)*(CF3)*1.03,MIN(F3:G3)*(CF3)*0.97)</f>
        <v/>
      </c>
      <c r="CH3" s="34">
        <f>IF(CE3&gt;0.1,1,0)</f>
        <v/>
      </c>
      <c r="CI3" s="34">
        <f>(F3*BX3)-BY3</f>
        <v/>
      </c>
      <c r="CJ3" s="34">
        <f>IF(AY3=0,0,CI3/AY3)</f>
        <v/>
      </c>
    </row>
    <row r="4">
      <c r="A4" s="29" t="n">
        <v>46204.04166666666</v>
      </c>
      <c r="B4" s="29" t="inlineStr">
        <is>
          <t>01:00</t>
        </is>
      </c>
      <c r="C4" s="35">
        <f>INT(A4)</f>
        <v/>
      </c>
      <c r="D4" s="36">
        <f>MONTH(A4)</f>
        <v/>
      </c>
      <c r="E4" s="147" t="inlineStr">
        <is>
          <t>Enerji Açığı</t>
        </is>
      </c>
      <c r="F4" s="30" t="n">
        <v>4000</v>
      </c>
      <c r="G4" s="30" t="n">
        <v>4000</v>
      </c>
      <c r="H4" s="30" t="n">
        <v>85.92</v>
      </c>
      <c r="I4" s="30" t="n">
        <v>3986.47</v>
      </c>
      <c r="J4" s="119" t="n">
        <v>0</v>
      </c>
      <c r="K4" s="34">
        <f>F4*J4</f>
        <v/>
      </c>
      <c r="L4" s="119" t="n">
        <v>0</v>
      </c>
      <c r="M4" s="34">
        <f>L4*F4</f>
        <v/>
      </c>
      <c r="N4" s="119" t="n">
        <v>16</v>
      </c>
      <c r="O4" s="34">
        <f>F4</f>
        <v/>
      </c>
      <c r="P4" s="34">
        <f>N4*O4</f>
        <v/>
      </c>
      <c r="Q4" s="119" t="n">
        <v>0</v>
      </c>
      <c r="R4" s="34">
        <f>F4</f>
        <v/>
      </c>
      <c r="S4" s="34">
        <f>R4*Q4</f>
        <v/>
      </c>
      <c r="T4" s="34" t="n"/>
      <c r="U4" s="34">
        <f>IFERROR(W4/T4,0)</f>
        <v/>
      </c>
      <c r="V4" s="34">
        <f>IF(U4=0,0,U4-F4)</f>
        <v/>
      </c>
      <c r="W4" s="34" t="n"/>
      <c r="X4" s="34" t="n"/>
      <c r="Y4" s="34">
        <f>IFERROR(AA4/X4,0)</f>
        <v/>
      </c>
      <c r="Z4" s="34">
        <f>IF(Y4=0,0,F4-Y4)</f>
        <v/>
      </c>
      <c r="AA4" s="34" t="n"/>
      <c r="AB4" s="34" t="n">
        <v>0</v>
      </c>
      <c r="AC4" s="34" t="n">
        <v>0</v>
      </c>
      <c r="AD4" s="34">
        <f>IF(AB4&gt;AC4*1.05,AB4-AC4*1.05,IF(AB4&lt;AC4*0.95,AC4*0.95-AB4,0))</f>
        <v/>
      </c>
      <c r="AE4" s="34">
        <f>MAX(F4,G4,750)*0.05*AD4</f>
        <v/>
      </c>
      <c r="AF4" s="34" t="n">
        <v>0</v>
      </c>
      <c r="AG4" s="34">
        <f>IF(AB4&gt;AF4*1.05,AB4-AF4*1.05,IF(AB4&lt;AF4*0.95,AF4*0.95-AB4,0))</f>
        <v/>
      </c>
      <c r="AH4" s="34">
        <f>MAX(I4,J4,750)*0.05*AG4</f>
        <v/>
      </c>
      <c r="AI4" t="n">
        <v>8.140000000000001</v>
      </c>
      <c r="AJ4" t="n">
        <v>7</v>
      </c>
      <c r="AK4" s="34">
        <f>IF(AI4&gt;AJ4*1.05,AI4-AJ4*1.05,IF(AI4&lt;AJ4*0.95,AJ4*0.95-AI4,0))</f>
        <v/>
      </c>
      <c r="AL4" s="34">
        <f>MAX(F4,G4,750)*0.05*AK4</f>
        <v/>
      </c>
      <c r="AM4" s="39" t="n">
        <v>8</v>
      </c>
      <c r="AN4" s="34">
        <f>IF(AI4&gt;AM4*1.05,AI4-AM4*1.05,IF(AI4&lt;AM4*0.95,AM4*0.95-AI4,0))</f>
        <v/>
      </c>
      <c r="AO4" s="34">
        <f>MAX(F4,G4,750)*0.05*AN4</f>
        <v/>
      </c>
      <c r="AP4" s="34" t="n">
        <v>9.970000000000001</v>
      </c>
      <c r="AQ4" s="34" t="n">
        <v>9</v>
      </c>
      <c r="AR4" s="34">
        <f>IF(AP4&gt;AQ4*1.05,AP4-AQ4*1.05,IF(AP4&lt;AQ4*0.95,AQ4*0.95-AP4,0))</f>
        <v/>
      </c>
      <c r="AS4" s="34">
        <f>MAX(F4:G4,750)*0.05*AR4</f>
        <v/>
      </c>
      <c r="AT4" t="n">
        <v>10</v>
      </c>
      <c r="AU4" s="34">
        <f>IF(AP4&gt;AT4*1.05,AP4-AT4*1.05,IF(AP4&lt;AT4*0.95,AT4*0.95-AP4,0))</f>
        <v/>
      </c>
      <c r="AV4" s="34">
        <f>MAX(F4:G4,750)*0.05*AU4</f>
        <v/>
      </c>
      <c r="AW4" s="34">
        <f>AC4+AJ4+AQ4</f>
        <v/>
      </c>
      <c r="AX4" s="34">
        <f>AF4+AM4+AT4</f>
        <v/>
      </c>
      <c r="AY4" s="34">
        <f>AB4+AI4+AP4</f>
        <v/>
      </c>
      <c r="AZ4" s="34" t="n">
        <v>0</v>
      </c>
      <c r="BA4" s="34">
        <f>AD4+AK4+AR4</f>
        <v/>
      </c>
      <c r="BB4" s="34">
        <f>MAX(F4:G4,750)*0.05*BA4</f>
        <v/>
      </c>
      <c r="BC4" s="34">
        <f>AG4+AN4+AU4</f>
        <v/>
      </c>
      <c r="BD4" s="34">
        <f>MAX(F4:G4,750)*0.05*BC4</f>
        <v/>
      </c>
      <c r="BE4" s="34">
        <f>F4*AY4</f>
        <v/>
      </c>
      <c r="BF4" s="34">
        <f>K4-M4</f>
        <v/>
      </c>
      <c r="BG4" s="34">
        <f>P4-S4</f>
        <v/>
      </c>
      <c r="BH4" s="34">
        <f>W4-AA4</f>
        <v/>
      </c>
      <c r="BI4" s="34">
        <f>BF4+BG4+BL4-BN4</f>
        <v/>
      </c>
      <c r="BJ4" s="34">
        <f>ABS(BK4)</f>
        <v/>
      </c>
      <c r="BK4" s="34">
        <f>AY4-(J4-L4+N4-Q4)</f>
        <v/>
      </c>
      <c r="BL4" s="34">
        <f>IF(AND(BK4&gt;0,MIN($F4:$G4)&lt;150,$E4="Enerji Açığı"),-100*BK4*1.03,IF(AND(BK4&gt;0,MIN($F4:$G4)&lt;150,$E4="Enerji Fazlası"),-100*BK4*1.06,IF(AND(BK4&gt;0,MIN($F4:$G4)&gt;=150,$E4="Enerji Açığı"),BK4*MIN($F4:$G4)*0.97,IF(AND(BK4&gt;0,MIN($F4:$G4)&gt;=150,$E4="Enerji Fazlası"),BK4*MIN($F4:$G4)*0.94,IF(AND(BK4&lt;0,MAX($F4:$G4)=4500,$E4="Enerji Açığı"),4500*1.05*1.06*BK4,IF(AND(BK4&lt;0,MAX($F4:$G4)=4500,$E4="Enerji Fazlası"),4500*1.05*1.03*BK4,IF(AND(BK4&lt;0,$E4="Enerji Açığı"),MAX($F4,$G4,150)*BK4*1.06,IF(AND(BK4&lt;0,$E4="Enerji Fazlası"),MAX($F4,$G4,150)*BK4*1.03,IF(AND(BK4&lt;0,$E4="Dengede"),MAX($F4:$G4,150)*1.03*BK4,MIN($F4:$G4)*0.97*BK4)))))))))</f>
        <v/>
      </c>
      <c r="BM4" s="34">
        <f>BE4-BI4-BN4</f>
        <v/>
      </c>
      <c r="BN4" s="34">
        <f>BB4</f>
        <v/>
      </c>
      <c r="BO4" s="34">
        <f>BE4-BI4</f>
        <v/>
      </c>
      <c r="BP4" s="34">
        <f>IF(AY4=0,0,BO4/AY4)</f>
        <v/>
      </c>
      <c r="BQ4" s="34">
        <f>MAX((AY4+MAX((-J4+L4-N4+Q4),0)),(MAX((J4-L4+N4-Q4),0)))</f>
        <v/>
      </c>
      <c r="BR4" s="82">
        <f>IFERROR(ABS(BK4/BQ4),0)</f>
        <v/>
      </c>
      <c r="BS4" s="34">
        <f>IF(BR4&lt;=0.1,0,BK4/BR4*(BR4-0.1))</f>
        <v/>
      </c>
      <c r="BT4" s="34">
        <f>IF((BS4)&lt;0,MAX(F4:G4)*(BS4)*1.03,MIN(F4:G4)*(BS4)*0.97)</f>
        <v/>
      </c>
      <c r="BU4" s="34">
        <f>IF(BR4&gt;0.1,1,0)</f>
        <v/>
      </c>
      <c r="BV4" s="34">
        <f>BF4+BG4+BH4+BY4-CA4</f>
        <v/>
      </c>
      <c r="BW4" s="34">
        <f>ABS(BX4)</f>
        <v/>
      </c>
      <c r="BX4" s="34">
        <f>AY4-(J4-L4+N4-Q4+T4-X4)</f>
        <v/>
      </c>
      <c r="BY4" s="34">
        <f>IF(AND(BX4&gt;0,MIN($F4:$G4)&lt;150,$E4="Enerji Açığı"),-100*BX4*1.03,IF(AND(BX4&gt;0,MIN($F4:$G4)&lt;150,$E4="Enerji Fazlası"),-100*BX4*1.06,IF(AND(BX4&gt;0,MIN($F4:$G4)&gt;=150,$E4="Enerji Açığı"),BX4*MIN($F4:$G4)*0.97,IF(AND(BX4&gt;0,MIN($F4:$G4)&gt;=150,$E4="Enerji Fazlası"),BX4*MIN($F4:$G4)*0.94,IF(AND(BX4&lt;0,MAX($F4:$G4)=4500,$E4="Enerji Açığı"),4500*1.05*1.06*BX4,IF(AND(BX4&lt;0,MAX($F4:$G4)=4500,$E4="Enerji Fazlası"),4500*1.05*1.03*BX4,IF(AND(BX4&lt;0,$E4="Enerji Açığı"),MAX($F4,$G4,150)*BX4*1.06,IF(AND(BX4&lt;0,$E4="Enerji Fazlası"),MAX($F4,$G4,150)*BX4*1.03,IF(AND(BX4&lt;0,$E4="Dengede"),MAX($F4:$G4,150)*1.03*BX4,MIN($F4:$G4)*0.97*BX4)))))))))</f>
        <v/>
      </c>
      <c r="BZ4" s="34">
        <f>BE4-BV4-CA4</f>
        <v/>
      </c>
      <c r="CA4" s="34">
        <f>BD4</f>
        <v/>
      </c>
      <c r="CB4" s="33">
        <f>BE4-BV4</f>
        <v/>
      </c>
      <c r="CC4" s="34">
        <f>IF(AY4=0,0,CB4/AY4)</f>
        <v/>
      </c>
      <c r="CD4" s="34">
        <f>MAX((AY4+MAX((-J4+L4-N4+Q4-T4+X4),0)),(MAX((J4-L4+N4-Q4+T4-X4),0)))</f>
        <v/>
      </c>
      <c r="CE4" s="82">
        <f>IFERROR(ABS(BX4/CD4),0)</f>
        <v/>
      </c>
      <c r="CF4" s="34">
        <f>IF(CE4&lt;=0.1,0,BX4/CE4*(CE4-0.1))</f>
        <v/>
      </c>
      <c r="CG4" s="34">
        <f>IF((CF4)&lt;0,MAX(F4:G4)*(CF4)*1.03,MIN(F4:G4)*(CF4)*0.97)</f>
        <v/>
      </c>
      <c r="CH4" s="34">
        <f>IF(CE4&gt;0.1,1,0)</f>
        <v/>
      </c>
      <c r="CI4" s="34">
        <f>(F4*BX4)-BY4</f>
        <v/>
      </c>
      <c r="CJ4" s="34">
        <f>IF(AY4=0,0,CI4/AY4)</f>
        <v/>
      </c>
    </row>
    <row r="5">
      <c r="A5" s="29" t="n">
        <v>46204.08333333334</v>
      </c>
      <c r="B5" s="29" t="inlineStr">
        <is>
          <t>02:00</t>
        </is>
      </c>
      <c r="C5" s="35">
        <f>INT(A5)</f>
        <v/>
      </c>
      <c r="D5" s="36">
        <f>MONTH(A5)</f>
        <v/>
      </c>
      <c r="E5" s="147" t="inlineStr">
        <is>
          <t>Enerji Açığı</t>
        </is>
      </c>
      <c r="F5" s="30" t="n">
        <v>3575.03</v>
      </c>
      <c r="G5" s="30" t="n">
        <v>3848</v>
      </c>
      <c r="H5" s="30" t="n">
        <v>76.79000000000001</v>
      </c>
      <c r="I5" s="30" t="n">
        <v>3229.34</v>
      </c>
      <c r="J5" s="119" t="n">
        <v>0</v>
      </c>
      <c r="K5" s="34">
        <f>F5*J5</f>
        <v/>
      </c>
      <c r="L5" s="119" t="n">
        <v>0</v>
      </c>
      <c r="M5" s="34">
        <f>L5*F5</f>
        <v/>
      </c>
      <c r="N5" s="119" t="n">
        <v>16</v>
      </c>
      <c r="O5" s="34">
        <f>F5</f>
        <v/>
      </c>
      <c r="P5" s="34">
        <f>N5*O5</f>
        <v/>
      </c>
      <c r="Q5" s="119" t="n">
        <v>0</v>
      </c>
      <c r="R5" s="34">
        <f>F5</f>
        <v/>
      </c>
      <c r="S5" s="34">
        <f>R5*Q5</f>
        <v/>
      </c>
      <c r="T5" s="34" t="n"/>
      <c r="U5" s="34">
        <f>IFERROR(W5/T5,0)</f>
        <v/>
      </c>
      <c r="V5" s="34">
        <f>IF(U5=0,0,U5-F5)</f>
        <v/>
      </c>
      <c r="W5" s="34" t="n"/>
      <c r="X5" s="34" t="n"/>
      <c r="Y5" s="34">
        <f>IFERROR(AA5/X5,0)</f>
        <v/>
      </c>
      <c r="Z5" s="34">
        <f>IF(Y5=0,0,F5-Y5)</f>
        <v/>
      </c>
      <c r="AA5" s="34" t="n"/>
      <c r="AB5" s="34" t="n">
        <v>0</v>
      </c>
      <c r="AC5" s="34" t="n">
        <v>0</v>
      </c>
      <c r="AD5" s="34">
        <f>IF(AB5&gt;AC5*1.05,AB5-AC5*1.05,IF(AB5&lt;AC5*0.95,AC5*0.95-AB5,0))</f>
        <v/>
      </c>
      <c r="AE5" s="34">
        <f>MAX(F5,G5,750)*0.05*AD5</f>
        <v/>
      </c>
      <c r="AF5" s="34" t="n">
        <v>0</v>
      </c>
      <c r="AG5" s="34">
        <f>IF(AB5&gt;AF5*1.05,AB5-AF5*1.05,IF(AB5&lt;AF5*0.95,AF5*0.95-AB5,0))</f>
        <v/>
      </c>
      <c r="AH5" s="34">
        <f>MAX(I5,J5,750)*0.05*AG5</f>
        <v/>
      </c>
      <c r="AI5" t="n">
        <v>7.25</v>
      </c>
      <c r="AJ5" t="n">
        <v>7</v>
      </c>
      <c r="AK5" s="34">
        <f>IF(AI5&gt;AJ5*1.05,AI5-AJ5*1.05,IF(AI5&lt;AJ5*0.95,AJ5*0.95-AI5,0))</f>
        <v/>
      </c>
      <c r="AL5" s="34">
        <f>MAX(F5,G5,750)*0.05*AK5</f>
        <v/>
      </c>
      <c r="AM5" s="39" t="n">
        <v>8</v>
      </c>
      <c r="AN5" s="34">
        <f>IF(AI5&gt;AM5*1.05,AI5-AM5*1.05,IF(AI5&lt;AM5*0.95,AM5*0.95-AI5,0))</f>
        <v/>
      </c>
      <c r="AO5" s="34">
        <f>MAX(F5,G5,750)*0.05*AN5</f>
        <v/>
      </c>
      <c r="AP5" s="34" t="n">
        <v>10.05</v>
      </c>
      <c r="AQ5" s="34" t="n">
        <v>9</v>
      </c>
      <c r="AR5" s="34">
        <f>IF(AP5&gt;AQ5*1.05,AP5-AQ5*1.05,IF(AP5&lt;AQ5*0.95,AQ5*0.95-AP5,0))</f>
        <v/>
      </c>
      <c r="AS5" s="34">
        <f>MAX(F5:G5,750)*0.05*AR5</f>
        <v/>
      </c>
      <c r="AT5" t="n">
        <v>9</v>
      </c>
      <c r="AU5" s="34">
        <f>IF(AP5&gt;AT5*1.05,AP5-AT5*1.05,IF(AP5&lt;AT5*0.95,AT5*0.95-AP5,0))</f>
        <v/>
      </c>
      <c r="AV5" s="34">
        <f>MAX(F5:G5,750)*0.05*AU5</f>
        <v/>
      </c>
      <c r="AW5" s="34">
        <f>AC5+AJ5+AQ5</f>
        <v/>
      </c>
      <c r="AX5" s="34">
        <f>AF5+AM5+AT5</f>
        <v/>
      </c>
      <c r="AY5" s="34">
        <f>AB5+AI5+AP5</f>
        <v/>
      </c>
      <c r="AZ5" s="34" t="n">
        <v>0</v>
      </c>
      <c r="BA5" s="34">
        <f>AD5+AK5+AR5</f>
        <v/>
      </c>
      <c r="BB5" s="34">
        <f>MAX(F5:G5,750)*0.05*BA5</f>
        <v/>
      </c>
      <c r="BC5" s="34">
        <f>AG5+AN5+AU5</f>
        <v/>
      </c>
      <c r="BD5" s="34">
        <f>MAX(F5:G5,750)*0.05*BC5</f>
        <v/>
      </c>
      <c r="BE5" s="34">
        <f>F5*AY5</f>
        <v/>
      </c>
      <c r="BF5" s="34">
        <f>K5-M5</f>
        <v/>
      </c>
      <c r="BG5" s="34">
        <f>P5-S5</f>
        <v/>
      </c>
      <c r="BH5" s="34">
        <f>W5-AA5</f>
        <v/>
      </c>
      <c r="BI5" s="34">
        <f>BF5+BG5+BL5-BN5</f>
        <v/>
      </c>
      <c r="BJ5" s="34">
        <f>ABS(BK5)</f>
        <v/>
      </c>
      <c r="BK5" s="34">
        <f>AY5-(J5-L5+N5-Q5)</f>
        <v/>
      </c>
      <c r="BL5" s="34">
        <f>IF(AND(BK5&gt;0,MIN($F5:$G5)&lt;150,$E5="Enerji Açığı"),-100*BK5*1.03,IF(AND(BK5&gt;0,MIN($F5:$G5)&lt;150,$E5="Enerji Fazlası"),-100*BK5*1.06,IF(AND(BK5&gt;0,MIN($F5:$G5)&gt;=150,$E5="Enerji Açığı"),BK5*MIN($F5:$G5)*0.97,IF(AND(BK5&gt;0,MIN($F5:$G5)&gt;=150,$E5="Enerji Fazlası"),BK5*MIN($F5:$G5)*0.94,IF(AND(BK5&lt;0,MAX($F5:$G5)=4500,$E5="Enerji Açığı"),4500*1.05*1.06*BK5,IF(AND(BK5&lt;0,MAX($F5:$G5)=4500,$E5="Enerji Fazlası"),4500*1.05*1.03*BK5,IF(AND(BK5&lt;0,$E5="Enerji Açığı"),MAX($F5,$G5,150)*BK5*1.06,IF(AND(BK5&lt;0,$E5="Enerji Fazlası"),MAX($F5,$G5,150)*BK5*1.03,IF(AND(BK5&lt;0,$E5="Dengede"),MAX($F5:$G5,150)*1.03*BK5,MIN($F5:$G5)*0.97*BK5)))))))))</f>
        <v/>
      </c>
      <c r="BM5" s="34">
        <f>BE5-BI5-BN5</f>
        <v/>
      </c>
      <c r="BN5" s="34">
        <f>BB5</f>
        <v/>
      </c>
      <c r="BO5" s="34">
        <f>BE5-BI5</f>
        <v/>
      </c>
      <c r="BP5" s="34">
        <f>IF(AY5=0,0,BO5/AY5)</f>
        <v/>
      </c>
      <c r="BQ5" s="34">
        <f>MAX((AY5+MAX((-J5+L5-N5+Q5),0)),(MAX((J5-L5+N5-Q5),0)))</f>
        <v/>
      </c>
      <c r="BR5" s="82">
        <f>IFERROR(ABS(BK5/BQ5),0)</f>
        <v/>
      </c>
      <c r="BS5" s="34">
        <f>IF(BR5&lt;=0.1,0,BK5/BR5*(BR5-0.1))</f>
        <v/>
      </c>
      <c r="BT5" s="34">
        <f>IF((BS5)&lt;0,MAX(F5:G5)*(BS5)*1.03,MIN(F5:G5)*(BS5)*0.97)</f>
        <v/>
      </c>
      <c r="BU5" s="34">
        <f>IF(BR5&gt;0.1,1,0)</f>
        <v/>
      </c>
      <c r="BV5" s="34">
        <f>BF5+BG5+BH5+BY5-CA5</f>
        <v/>
      </c>
      <c r="BW5" s="34">
        <f>ABS(BX5)</f>
        <v/>
      </c>
      <c r="BX5" s="34">
        <f>AY5-(J5-L5+N5-Q5+T5-X5)</f>
        <v/>
      </c>
      <c r="BY5" s="34">
        <f>IF(AND(BX5&gt;0,MIN($F5:$G5)&lt;150,$E5="Enerji Açığı"),-100*BX5*1.03,IF(AND(BX5&gt;0,MIN($F5:$G5)&lt;150,$E5="Enerji Fazlası"),-100*BX5*1.06,IF(AND(BX5&gt;0,MIN($F5:$G5)&gt;=150,$E5="Enerji Açığı"),BX5*MIN($F5:$G5)*0.97,IF(AND(BX5&gt;0,MIN($F5:$G5)&gt;=150,$E5="Enerji Fazlası"),BX5*MIN($F5:$G5)*0.94,IF(AND(BX5&lt;0,MAX($F5:$G5)=4500,$E5="Enerji Açığı"),4500*1.05*1.06*BX5,IF(AND(BX5&lt;0,MAX($F5:$G5)=4500,$E5="Enerji Fazlası"),4500*1.05*1.03*BX5,IF(AND(BX5&lt;0,$E5="Enerji Açığı"),MAX($F5,$G5,150)*BX5*1.06,IF(AND(BX5&lt;0,$E5="Enerji Fazlası"),MAX($F5,$G5,150)*BX5*1.03,IF(AND(BX5&lt;0,$E5="Dengede"),MAX($F5:$G5,150)*1.03*BX5,MIN($F5:$G5)*0.97*BX5)))))))))</f>
        <v/>
      </c>
      <c r="BZ5" s="34">
        <f>BE5-BV5-CA5</f>
        <v/>
      </c>
      <c r="CA5" s="34">
        <f>BD5</f>
        <v/>
      </c>
      <c r="CB5" s="33">
        <f>BE5-BV5</f>
        <v/>
      </c>
      <c r="CC5" s="34">
        <f>IF(AY5=0,0,CB5/AY5)</f>
        <v/>
      </c>
      <c r="CD5" s="34">
        <f>MAX((AY5+MAX((-J5+L5-N5+Q5-T5+X5),0)),(MAX((J5-L5+N5-Q5+T5-X5),0)))</f>
        <v/>
      </c>
      <c r="CE5" s="82">
        <f>IFERROR(ABS(BX5/CD5),0)</f>
        <v/>
      </c>
      <c r="CF5" s="34">
        <f>IF(CE5&lt;=0.1,0,BX5/CE5*(CE5-0.1))</f>
        <v/>
      </c>
      <c r="CG5" s="34">
        <f>IF((CF5)&lt;0,MAX(F5:G5)*(CF5)*1.03,MIN(F5:G5)*(CF5)*0.97)</f>
        <v/>
      </c>
      <c r="CH5" s="34">
        <f>IF(CE5&gt;0.1,1,0)</f>
        <v/>
      </c>
      <c r="CI5" s="34">
        <f>(F5*BX5)-BY5</f>
        <v/>
      </c>
      <c r="CJ5" s="34">
        <f>IF(AY5=0,0,CI5/AY5)</f>
        <v/>
      </c>
    </row>
    <row r="6">
      <c r="A6" s="29" t="n">
        <v>46204.125</v>
      </c>
      <c r="B6" s="29" t="inlineStr">
        <is>
          <t>03:00</t>
        </is>
      </c>
      <c r="C6" s="35">
        <f>INT(A6)</f>
        <v/>
      </c>
      <c r="D6" s="36">
        <f>MONTH(A6)</f>
        <v/>
      </c>
      <c r="E6" s="147" t="inlineStr">
        <is>
          <t>Enerji Açığı</t>
        </is>
      </c>
      <c r="F6" s="30" t="n">
        <v>3544.71</v>
      </c>
      <c r="G6" s="30" t="n">
        <v>3800</v>
      </c>
      <c r="H6" s="30" t="n">
        <v>76.14</v>
      </c>
      <c r="I6" s="30" t="n">
        <v>3506.53</v>
      </c>
      <c r="J6" s="119" t="n">
        <v>0</v>
      </c>
      <c r="K6" s="34">
        <f>F6*J6</f>
        <v/>
      </c>
      <c r="L6" s="119" t="n">
        <v>0</v>
      </c>
      <c r="M6" s="34">
        <f>L6*F6</f>
        <v/>
      </c>
      <c r="N6" s="119" t="n">
        <v>16</v>
      </c>
      <c r="O6" s="34">
        <f>F6</f>
        <v/>
      </c>
      <c r="P6" s="34">
        <f>N6*O6</f>
        <v/>
      </c>
      <c r="Q6" s="119" t="n">
        <v>0</v>
      </c>
      <c r="R6" s="34">
        <f>F6</f>
        <v/>
      </c>
      <c r="S6" s="34">
        <f>R6*Q6</f>
        <v/>
      </c>
      <c r="T6" s="34" t="n"/>
      <c r="U6" s="34">
        <f>IFERROR(W6/T6,0)</f>
        <v/>
      </c>
      <c r="V6" s="34">
        <f>IF(U6=0,0,U6-F6)</f>
        <v/>
      </c>
      <c r="W6" s="34" t="n"/>
      <c r="X6" s="34" t="n"/>
      <c r="Y6" s="34">
        <f>IFERROR(AA6/X6,0)</f>
        <v/>
      </c>
      <c r="Z6" s="34">
        <f>IF(Y6=0,0,F6-Y6)</f>
        <v/>
      </c>
      <c r="AA6" s="34" t="n"/>
      <c r="AB6" s="34" t="n">
        <v>0</v>
      </c>
      <c r="AC6" s="34" t="n">
        <v>0</v>
      </c>
      <c r="AD6" s="34">
        <f>IF(AB6&gt;AC6*1.05,AB6-AC6*1.05,IF(AB6&lt;AC6*0.95,AC6*0.95-AB6,0))</f>
        <v/>
      </c>
      <c r="AE6" s="34">
        <f>MAX(F6,G6,750)*0.05*AD6</f>
        <v/>
      </c>
      <c r="AF6" s="34" t="n">
        <v>0</v>
      </c>
      <c r="AG6" s="34">
        <f>IF(AB6&gt;AF6*1.05,AB6-AF6*1.05,IF(AB6&lt;AF6*0.95,AF6*0.95-AB6,0))</f>
        <v/>
      </c>
      <c r="AH6" s="34">
        <f>MAX(I6,J6,750)*0.05*AG6</f>
        <v/>
      </c>
      <c r="AI6" t="n">
        <v>7.15</v>
      </c>
      <c r="AJ6" t="n">
        <v>7</v>
      </c>
      <c r="AK6" s="34">
        <f>IF(AI6&gt;AJ6*1.05,AI6-AJ6*1.05,IF(AI6&lt;AJ6*0.95,AJ6*0.95-AI6,0))</f>
        <v/>
      </c>
      <c r="AL6" s="34">
        <f>MAX(F6,G6,750)*0.05*AK6</f>
        <v/>
      </c>
      <c r="AM6" s="39" t="n">
        <v>7</v>
      </c>
      <c r="AN6" s="34">
        <f>IF(AI6&gt;AM6*1.05,AI6-AM6*1.05,IF(AI6&lt;AM6*0.95,AM6*0.95-AI6,0))</f>
        <v/>
      </c>
      <c r="AO6" s="34">
        <f>MAX(F6,G6,750)*0.05*AN6</f>
        <v/>
      </c>
      <c r="AP6" s="34" t="n">
        <v>8.970000000000001</v>
      </c>
      <c r="AQ6" s="34" t="n">
        <v>9</v>
      </c>
      <c r="AR6" s="34">
        <f>IF(AP6&gt;AQ6*1.05,AP6-AQ6*1.05,IF(AP6&lt;AQ6*0.95,AQ6*0.95-AP6,0))</f>
        <v/>
      </c>
      <c r="AS6" s="34">
        <f>MAX(F6:G6,750)*0.05*AR6</f>
        <v/>
      </c>
      <c r="AT6" t="n">
        <v>9</v>
      </c>
      <c r="AU6" s="34">
        <f>IF(AP6&gt;AT6*1.05,AP6-AT6*1.05,IF(AP6&lt;AT6*0.95,AT6*0.95-AP6,0))</f>
        <v/>
      </c>
      <c r="AV6" s="34">
        <f>MAX(F6:G6,750)*0.05*AU6</f>
        <v/>
      </c>
      <c r="AW6" s="34">
        <f>AC6+AJ6+AQ6</f>
        <v/>
      </c>
      <c r="AX6" s="34">
        <f>AF6+AM6+AT6</f>
        <v/>
      </c>
      <c r="AY6" s="34">
        <f>AB6+AI6+AP6</f>
        <v/>
      </c>
      <c r="AZ6" s="34" t="n">
        <v>0</v>
      </c>
      <c r="BA6" s="34">
        <f>AD6+AK6+AR6</f>
        <v/>
      </c>
      <c r="BB6" s="34">
        <f>MAX(F6:G6,750)*0.05*BA6</f>
        <v/>
      </c>
      <c r="BC6" s="34">
        <f>AG6+AN6+AU6</f>
        <v/>
      </c>
      <c r="BD6" s="34">
        <f>MAX(F6:G6,750)*0.05*BC6</f>
        <v/>
      </c>
      <c r="BE6" s="34">
        <f>F6*AY6</f>
        <v/>
      </c>
      <c r="BF6" s="34">
        <f>K6-M6</f>
        <v/>
      </c>
      <c r="BG6" s="34">
        <f>P6-S6</f>
        <v/>
      </c>
      <c r="BH6" s="34">
        <f>W6-AA6</f>
        <v/>
      </c>
      <c r="BI6" s="34">
        <f>BF6+BG6+BL6-BN6</f>
        <v/>
      </c>
      <c r="BJ6" s="34">
        <f>ABS(BK6)</f>
        <v/>
      </c>
      <c r="BK6" s="34">
        <f>AY6-(J6-L6+N6-Q6)</f>
        <v/>
      </c>
      <c r="BL6" s="34">
        <f>IF(AND(BK6&gt;0,MIN($F6:$G6)&lt;150,$E6="Enerji Açığı"),-100*BK6*1.03,IF(AND(BK6&gt;0,MIN($F6:$G6)&lt;150,$E6="Enerji Fazlası"),-100*BK6*1.06,IF(AND(BK6&gt;0,MIN($F6:$G6)&gt;=150,$E6="Enerji Açığı"),BK6*MIN($F6:$G6)*0.97,IF(AND(BK6&gt;0,MIN($F6:$G6)&gt;=150,$E6="Enerji Fazlası"),BK6*MIN($F6:$G6)*0.94,IF(AND(BK6&lt;0,MAX($F6:$G6)=4500,$E6="Enerji Açığı"),4500*1.05*1.06*BK6,IF(AND(BK6&lt;0,MAX($F6:$G6)=4500,$E6="Enerji Fazlası"),4500*1.05*1.03*BK6,IF(AND(BK6&lt;0,$E6="Enerji Açığı"),MAX($F6,$G6,150)*BK6*1.06,IF(AND(BK6&lt;0,$E6="Enerji Fazlası"),MAX($F6,$G6,150)*BK6*1.03,IF(AND(BK6&lt;0,$E6="Dengede"),MAX($F6:$G6,150)*1.03*BK6,MIN($F6:$G6)*0.97*BK6)))))))))</f>
        <v/>
      </c>
      <c r="BM6" s="34">
        <f>BE6-BI6-BN6</f>
        <v/>
      </c>
      <c r="BN6" s="34">
        <f>BB6</f>
        <v/>
      </c>
      <c r="BO6" s="34">
        <f>BE6-BI6</f>
        <v/>
      </c>
      <c r="BP6" s="34">
        <f>IF(AY6=0,0,BO6/AY6)</f>
        <v/>
      </c>
      <c r="BQ6" s="34">
        <f>MAX((AY6+MAX((-J6+L6-N6+Q6),0)),(MAX((J6-L6+N6-Q6),0)))</f>
        <v/>
      </c>
      <c r="BR6" s="82">
        <f>IFERROR(ABS(BK6/BQ6),0)</f>
        <v/>
      </c>
      <c r="BS6" s="34">
        <f>IF(BR6&lt;=0.1,0,BK6/BR6*(BR6-0.1))</f>
        <v/>
      </c>
      <c r="BT6" s="34">
        <f>IF((BS6)&lt;0,MAX(F6:G6)*(BS6)*1.03,MIN(F6:G6)*(BS6)*0.97)</f>
        <v/>
      </c>
      <c r="BU6" s="34">
        <f>IF(BR6&gt;0.1,1,0)</f>
        <v/>
      </c>
      <c r="BV6" s="34">
        <f>BF6+BG6+BH6+BY6-CA6</f>
        <v/>
      </c>
      <c r="BW6" s="34">
        <f>ABS(BX6)</f>
        <v/>
      </c>
      <c r="BX6" s="34">
        <f>AY6-(J6-L6+N6-Q6+T6-X6)</f>
        <v/>
      </c>
      <c r="BY6" s="34">
        <f>IF(AND(BX6&gt;0,MIN($F6:$G6)&lt;150,$E6="Enerji Açığı"),-100*BX6*1.03,IF(AND(BX6&gt;0,MIN($F6:$G6)&lt;150,$E6="Enerji Fazlası"),-100*BX6*1.06,IF(AND(BX6&gt;0,MIN($F6:$G6)&gt;=150,$E6="Enerji Açığı"),BX6*MIN($F6:$G6)*0.97,IF(AND(BX6&gt;0,MIN($F6:$G6)&gt;=150,$E6="Enerji Fazlası"),BX6*MIN($F6:$G6)*0.94,IF(AND(BX6&lt;0,MAX($F6:$G6)=4500,$E6="Enerji Açığı"),4500*1.05*1.06*BX6,IF(AND(BX6&lt;0,MAX($F6:$G6)=4500,$E6="Enerji Fazlası"),4500*1.05*1.03*BX6,IF(AND(BX6&lt;0,$E6="Enerji Açığı"),MAX($F6,$G6,150)*BX6*1.06,IF(AND(BX6&lt;0,$E6="Enerji Fazlası"),MAX($F6,$G6,150)*BX6*1.03,IF(AND(BX6&lt;0,$E6="Dengede"),MAX($F6:$G6,150)*1.03*BX6,MIN($F6:$G6)*0.97*BX6)))))))))</f>
        <v/>
      </c>
      <c r="BZ6" s="34">
        <f>BE6-BV6-CA6</f>
        <v/>
      </c>
      <c r="CA6" s="34">
        <f>BD6</f>
        <v/>
      </c>
      <c r="CB6" s="33">
        <f>BE6-BV6</f>
        <v/>
      </c>
      <c r="CC6" s="34">
        <f>IF(AY6=0,0,CB6/AY6)</f>
        <v/>
      </c>
      <c r="CD6" s="34">
        <f>MAX((AY6+MAX((-J6+L6-N6+Q6-T6+X6),0)),(MAX((J6-L6+N6-Q6+T6-X6),0)))</f>
        <v/>
      </c>
      <c r="CE6" s="82">
        <f>IFERROR(ABS(BX6/CD6),0)</f>
        <v/>
      </c>
      <c r="CF6" s="34">
        <f>IF(CE6&lt;=0.1,0,BX6/CE6*(CE6-0.1))</f>
        <v/>
      </c>
      <c r="CG6" s="34">
        <f>IF((CF6)&lt;0,MAX(F6:G6)*(CF6)*1.03,MIN(F6:G6)*(CF6)*0.97)</f>
        <v/>
      </c>
      <c r="CH6" s="34">
        <f>IF(CE6&gt;0.1,1,0)</f>
        <v/>
      </c>
      <c r="CI6" s="34">
        <f>(F6*BX6)-BY6</f>
        <v/>
      </c>
      <c r="CJ6" s="34">
        <f>IF(AY6=0,0,CI6/AY6)</f>
        <v/>
      </c>
    </row>
    <row r="7">
      <c r="A7" s="29" t="n">
        <v>46204.16666666666</v>
      </c>
      <c r="B7" s="29" t="inlineStr">
        <is>
          <t>04:00</t>
        </is>
      </c>
      <c r="C7" s="35">
        <f>INT(A7)</f>
        <v/>
      </c>
      <c r="D7" s="36">
        <f>MONTH(A7)</f>
        <v/>
      </c>
      <c r="E7" s="147" t="inlineStr">
        <is>
          <t>Enerji Açığı</t>
        </is>
      </c>
      <c r="F7" s="30" t="n">
        <v>3506.05</v>
      </c>
      <c r="G7" s="30" t="n">
        <v>3600</v>
      </c>
      <c r="H7" s="30" t="n">
        <v>75.31</v>
      </c>
      <c r="I7" s="30" t="n">
        <v>3554.59</v>
      </c>
      <c r="J7" s="119" t="n">
        <v>0</v>
      </c>
      <c r="K7" s="34">
        <f>F7*J7</f>
        <v/>
      </c>
      <c r="L7" s="119" t="n">
        <v>0</v>
      </c>
      <c r="M7" s="34">
        <f>L7*F7</f>
        <v/>
      </c>
      <c r="N7" s="119" t="n">
        <v>17</v>
      </c>
      <c r="O7" s="34">
        <f>F7</f>
        <v/>
      </c>
      <c r="P7" s="34">
        <f>N7*O7</f>
        <v/>
      </c>
      <c r="Q7" s="119" t="n">
        <v>0</v>
      </c>
      <c r="R7" s="34">
        <f>F7</f>
        <v/>
      </c>
      <c r="S7" s="34">
        <f>R7*Q7</f>
        <v/>
      </c>
      <c r="T7" s="34" t="n"/>
      <c r="U7" s="34">
        <f>IFERROR(W7/T7,0)</f>
        <v/>
      </c>
      <c r="V7" s="34">
        <f>IF(U7=0,0,U7-F7)</f>
        <v/>
      </c>
      <c r="W7" s="34" t="n"/>
      <c r="X7" s="34" t="n"/>
      <c r="Y7" s="34">
        <f>IFERROR(AA7/X7,0)</f>
        <v/>
      </c>
      <c r="Z7" s="34">
        <f>IF(Y7=0,0,F7-Y7)</f>
        <v/>
      </c>
      <c r="AA7" s="34" t="n"/>
      <c r="AB7" s="34" t="n">
        <v>0</v>
      </c>
      <c r="AC7" s="34" t="n">
        <v>0</v>
      </c>
      <c r="AD7" s="34">
        <f>IF(AB7&gt;AC7*1.05,AB7-AC7*1.05,IF(AB7&lt;AC7*0.95,AC7*0.95-AB7,0))</f>
        <v/>
      </c>
      <c r="AE7" s="34">
        <f>MAX(F7,G7,750)*0.05*AD7</f>
        <v/>
      </c>
      <c r="AF7" s="34" t="n">
        <v>0</v>
      </c>
      <c r="AG7" s="34">
        <f>IF(AB7&gt;AF7*1.05,AB7-AF7*1.05,IF(AB7&lt;AF7*0.95,AF7*0.95-AB7,0))</f>
        <v/>
      </c>
      <c r="AH7" s="34">
        <f>MAX(I7,J7,750)*0.05*AG7</f>
        <v/>
      </c>
      <c r="AI7" t="n">
        <v>8.210000000000001</v>
      </c>
      <c r="AJ7" t="n">
        <v>7</v>
      </c>
      <c r="AK7" s="34">
        <f>IF(AI7&gt;AJ7*1.05,AI7-AJ7*1.05,IF(AI7&lt;AJ7*0.95,AJ7*0.95-AI7,0))</f>
        <v/>
      </c>
      <c r="AL7" s="34">
        <f>MAX(F7,G7,750)*0.05*AK7</f>
        <v/>
      </c>
      <c r="AM7" s="39" t="n">
        <v>8</v>
      </c>
      <c r="AN7" s="34">
        <f>IF(AI7&gt;AM7*1.05,AI7-AM7*1.05,IF(AI7&lt;AM7*0.95,AM7*0.95-AI7,0))</f>
        <v/>
      </c>
      <c r="AO7" s="34">
        <f>MAX(F7,G7,750)*0.05*AN7</f>
        <v/>
      </c>
      <c r="AP7" s="34" t="n">
        <v>11.99</v>
      </c>
      <c r="AQ7" s="34" t="n">
        <v>10</v>
      </c>
      <c r="AR7" s="34">
        <f>IF(AP7&gt;AQ7*1.05,AP7-AQ7*1.05,IF(AP7&lt;AQ7*0.95,AQ7*0.95-AP7,0))</f>
        <v/>
      </c>
      <c r="AS7" s="34">
        <f>MAX(F7:G7,750)*0.05*AR7</f>
        <v/>
      </c>
      <c r="AT7" t="n">
        <v>12</v>
      </c>
      <c r="AU7" s="34">
        <f>IF(AP7&gt;AT7*1.05,AP7-AT7*1.05,IF(AP7&lt;AT7*0.95,AT7*0.95-AP7,0))</f>
        <v/>
      </c>
      <c r="AV7" s="34">
        <f>MAX(F7:G7,750)*0.05*AU7</f>
        <v/>
      </c>
      <c r="AW7" s="34">
        <f>AC7+AJ7+AQ7</f>
        <v/>
      </c>
      <c r="AX7" s="34">
        <f>AF7+AM7+AT7</f>
        <v/>
      </c>
      <c r="AY7" s="34">
        <f>AB7+AI7+AP7</f>
        <v/>
      </c>
      <c r="AZ7" s="34" t="n">
        <v>0</v>
      </c>
      <c r="BA7" s="34">
        <f>AD7+AK7+AR7</f>
        <v/>
      </c>
      <c r="BB7" s="34">
        <f>MAX(F7:G7,750)*0.05*BA7</f>
        <v/>
      </c>
      <c r="BC7" s="34">
        <f>AG7+AN7+AU7</f>
        <v/>
      </c>
      <c r="BD7" s="34">
        <f>MAX(F7:G7,750)*0.05*BC7</f>
        <v/>
      </c>
      <c r="BE7" s="34">
        <f>F7*AY7</f>
        <v/>
      </c>
      <c r="BF7" s="34">
        <f>K7-M7</f>
        <v/>
      </c>
      <c r="BG7" s="34">
        <f>P7-S7</f>
        <v/>
      </c>
      <c r="BH7" s="34">
        <f>W7-AA7</f>
        <v/>
      </c>
      <c r="BI7" s="34">
        <f>BF7+BG7+BL7-BN7</f>
        <v/>
      </c>
      <c r="BJ7" s="34">
        <f>ABS(BK7)</f>
        <v/>
      </c>
      <c r="BK7" s="34">
        <f>AY7-(J7-L7+N7-Q7)</f>
        <v/>
      </c>
      <c r="BL7" s="34">
        <f>IF(AND(BK7&gt;0,MIN($F7:$G7)&lt;150,$E7="Enerji Açığı"),-100*BK7*1.03,IF(AND(BK7&gt;0,MIN($F7:$G7)&lt;150,$E7="Enerji Fazlası"),-100*BK7*1.06,IF(AND(BK7&gt;0,MIN($F7:$G7)&gt;=150,$E7="Enerji Açığı"),BK7*MIN($F7:$G7)*0.97,IF(AND(BK7&gt;0,MIN($F7:$G7)&gt;=150,$E7="Enerji Fazlası"),BK7*MIN($F7:$G7)*0.94,IF(AND(BK7&lt;0,MAX($F7:$G7)=4500,$E7="Enerji Açığı"),4500*1.05*1.06*BK7,IF(AND(BK7&lt;0,MAX($F7:$G7)=4500,$E7="Enerji Fazlası"),4500*1.05*1.03*BK7,IF(AND(BK7&lt;0,$E7="Enerji Açığı"),MAX($F7,$G7,150)*BK7*1.06,IF(AND(BK7&lt;0,$E7="Enerji Fazlası"),MAX($F7,$G7,150)*BK7*1.03,IF(AND(BK7&lt;0,$E7="Dengede"),MAX($F7:$G7,150)*1.03*BK7,MIN($F7:$G7)*0.97*BK7)))))))))</f>
        <v/>
      </c>
      <c r="BM7" s="34">
        <f>BE7-BI7-BN7</f>
        <v/>
      </c>
      <c r="BN7" s="34">
        <f>BB7</f>
        <v/>
      </c>
      <c r="BO7" s="34">
        <f>BE7-BI7</f>
        <v/>
      </c>
      <c r="BP7" s="34">
        <f>IF(AY7=0,0,BO7/AY7)</f>
        <v/>
      </c>
      <c r="BQ7" s="34">
        <f>MAX((AY7+MAX((-J7+L7-N7+Q7),0)),(MAX((J7-L7+N7-Q7),0)))</f>
        <v/>
      </c>
      <c r="BR7" s="82">
        <f>IFERROR(ABS(BK7/BQ7),0)</f>
        <v/>
      </c>
      <c r="BS7" s="34">
        <f>IF(BR7&lt;=0.1,0,BK7/BR7*(BR7-0.1))</f>
        <v/>
      </c>
      <c r="BT7" s="34">
        <f>IF((BS7)&lt;0,MAX(F7:G7)*(BS7)*1.03,MIN(F7:G7)*(BS7)*0.97)</f>
        <v/>
      </c>
      <c r="BU7" s="34">
        <f>IF(BR7&gt;0.1,1,0)</f>
        <v/>
      </c>
      <c r="BV7" s="34">
        <f>BF7+BG7+BH7+BY7-CA7</f>
        <v/>
      </c>
      <c r="BW7" s="34">
        <f>ABS(BX7)</f>
        <v/>
      </c>
      <c r="BX7" s="34">
        <f>AY7-(J7-L7+N7-Q7+T7-X7)</f>
        <v/>
      </c>
      <c r="BY7" s="34">
        <f>IF(AND(BX7&gt;0,MIN($F7:$G7)&lt;150,$E7="Enerji Açığı"),-100*BX7*1.03,IF(AND(BX7&gt;0,MIN($F7:$G7)&lt;150,$E7="Enerji Fazlası"),-100*BX7*1.06,IF(AND(BX7&gt;0,MIN($F7:$G7)&gt;=150,$E7="Enerji Açığı"),BX7*MIN($F7:$G7)*0.97,IF(AND(BX7&gt;0,MIN($F7:$G7)&gt;=150,$E7="Enerji Fazlası"),BX7*MIN($F7:$G7)*0.94,IF(AND(BX7&lt;0,MAX($F7:$G7)=4500,$E7="Enerji Açığı"),4500*1.05*1.06*BX7,IF(AND(BX7&lt;0,MAX($F7:$G7)=4500,$E7="Enerji Fazlası"),4500*1.05*1.03*BX7,IF(AND(BX7&lt;0,$E7="Enerji Açığı"),MAX($F7,$G7,150)*BX7*1.06,IF(AND(BX7&lt;0,$E7="Enerji Fazlası"),MAX($F7,$G7,150)*BX7*1.03,IF(AND(BX7&lt;0,$E7="Dengede"),MAX($F7:$G7,150)*1.03*BX7,MIN($F7:$G7)*0.97*BX7)))))))))</f>
        <v/>
      </c>
      <c r="BZ7" s="34">
        <f>BE7-BV7-CA7</f>
        <v/>
      </c>
      <c r="CA7" s="34">
        <f>BD7</f>
        <v/>
      </c>
      <c r="CB7" s="33">
        <f>BE7-BV7</f>
        <v/>
      </c>
      <c r="CC7" s="34">
        <f>IF(AY7=0,0,CB7/AY7)</f>
        <v/>
      </c>
      <c r="CD7" s="34">
        <f>MAX((AY7+MAX((-J7+L7-N7+Q7-T7+X7),0)),(MAX((J7-L7+N7-Q7+T7-X7),0)))</f>
        <v/>
      </c>
      <c r="CE7" s="82">
        <f>IFERROR(ABS(BX7/CD7),0)</f>
        <v/>
      </c>
      <c r="CF7" s="34">
        <f>IF(CE7&lt;=0.1,0,BX7/CE7*(CE7-0.1))</f>
        <v/>
      </c>
      <c r="CG7" s="34">
        <f>IF((CF7)&lt;0,MAX(F7:G7)*(CF7)*1.03,MIN(F7:G7)*(CF7)*0.97)</f>
        <v/>
      </c>
      <c r="CH7" s="34">
        <f>IF(CE7&gt;0.1,1,0)</f>
        <v/>
      </c>
      <c r="CI7" s="34">
        <f>(F7*BX7)-BY7</f>
        <v/>
      </c>
      <c r="CJ7" s="34">
        <f>IF(AY7=0,0,CI7/AY7)</f>
        <v/>
      </c>
    </row>
    <row r="8">
      <c r="A8" s="29" t="n">
        <v>46204.20833333334</v>
      </c>
      <c r="B8" s="29" t="inlineStr">
        <is>
          <t>05:00</t>
        </is>
      </c>
      <c r="C8" s="35">
        <f>INT(A8)</f>
        <v/>
      </c>
      <c r="D8" s="36">
        <f>MONTH(A8)</f>
        <v/>
      </c>
      <c r="E8" s="147" t="inlineStr">
        <is>
          <t>Enerji Açığı</t>
        </is>
      </c>
      <c r="F8" s="30" t="n">
        <v>3000</v>
      </c>
      <c r="G8" s="30" t="n">
        <v>3450</v>
      </c>
      <c r="H8" s="30" t="n">
        <v>64.44</v>
      </c>
      <c r="I8" s="30" t="n">
        <v>2641.52</v>
      </c>
      <c r="J8" s="119" t="n">
        <v>0</v>
      </c>
      <c r="K8" s="34">
        <f>F8*J8</f>
        <v/>
      </c>
      <c r="L8" s="119" t="n">
        <v>0</v>
      </c>
      <c r="M8" s="34">
        <f>L8*F8</f>
        <v/>
      </c>
      <c r="N8" s="119" t="n">
        <v>17</v>
      </c>
      <c r="O8" s="34">
        <f>F8</f>
        <v/>
      </c>
      <c r="P8" s="34">
        <f>N8*O8</f>
        <v/>
      </c>
      <c r="Q8" s="119" t="n">
        <v>0</v>
      </c>
      <c r="R8" s="34">
        <f>F8</f>
        <v/>
      </c>
      <c r="S8" s="34">
        <f>R8*Q8</f>
        <v/>
      </c>
      <c r="T8" s="34" t="n"/>
      <c r="U8" s="34">
        <f>IFERROR(W8/T8,0)</f>
        <v/>
      </c>
      <c r="V8" s="34">
        <f>IF(U8=0,0,U8-F8)</f>
        <v/>
      </c>
      <c r="W8" s="34" t="n"/>
      <c r="X8" s="34" t="n"/>
      <c r="Y8" s="34">
        <f>IFERROR(AA8/X8,0)</f>
        <v/>
      </c>
      <c r="Z8" s="34">
        <f>IF(Y8=0,0,F8-Y8)</f>
        <v/>
      </c>
      <c r="AA8" s="34" t="n"/>
      <c r="AB8" s="34" t="n">
        <v>0</v>
      </c>
      <c r="AC8" s="34" t="n">
        <v>0</v>
      </c>
      <c r="AD8" s="34">
        <f>IF(AB8&gt;AC8*1.05,AB8-AC8*1.05,IF(AB8&lt;AC8*0.95,AC8*0.95-AB8,0))</f>
        <v/>
      </c>
      <c r="AE8" s="34">
        <f>MAX(F8,G8,750)*0.05*AD8</f>
        <v/>
      </c>
      <c r="AF8" s="34" t="n">
        <v>0</v>
      </c>
      <c r="AG8" s="34">
        <f>IF(AB8&gt;AF8*1.05,AB8-AF8*1.05,IF(AB8&lt;AF8*0.95,AF8*0.95-AB8,0))</f>
        <v/>
      </c>
      <c r="AH8" s="34">
        <f>MAX(I8,J8,750)*0.05*AG8</f>
        <v/>
      </c>
      <c r="AI8" t="n">
        <v>8.300000000000001</v>
      </c>
      <c r="AJ8" t="n">
        <v>7</v>
      </c>
      <c r="AK8" s="34">
        <f>IF(AI8&gt;AJ8*1.05,AI8-AJ8*1.05,IF(AI8&lt;AJ8*0.95,AJ8*0.95-AI8,0))</f>
        <v/>
      </c>
      <c r="AL8" s="34">
        <f>MAX(F8,G8,750)*0.05*AK8</f>
        <v/>
      </c>
      <c r="AM8" s="39" t="n">
        <v>8</v>
      </c>
      <c r="AN8" s="34">
        <f>IF(AI8&gt;AM8*1.05,AI8-AM8*1.05,IF(AI8&lt;AM8*0.95,AM8*0.95-AI8,0))</f>
        <v/>
      </c>
      <c r="AO8" s="34">
        <f>MAX(F8,G8,750)*0.05*AN8</f>
        <v/>
      </c>
      <c r="AP8" s="34" t="n">
        <v>12.06</v>
      </c>
      <c r="AQ8" s="34" t="n">
        <v>10</v>
      </c>
      <c r="AR8" s="34">
        <f>IF(AP8&gt;AQ8*1.05,AP8-AQ8*1.05,IF(AP8&lt;AQ8*0.95,AQ8*0.95-AP8,0))</f>
        <v/>
      </c>
      <c r="AS8" s="34">
        <f>MAX(F8:G8,750)*0.05*AR8</f>
        <v/>
      </c>
      <c r="AT8" t="n">
        <v>12</v>
      </c>
      <c r="AU8" s="34">
        <f>IF(AP8&gt;AT8*1.05,AP8-AT8*1.05,IF(AP8&lt;AT8*0.95,AT8*0.95-AP8,0))</f>
        <v/>
      </c>
      <c r="AV8" s="34">
        <f>MAX(F8:G8,750)*0.05*AU8</f>
        <v/>
      </c>
      <c r="AW8" s="34">
        <f>AC8+AJ8+AQ8</f>
        <v/>
      </c>
      <c r="AX8" s="34">
        <f>AF8+AM8+AT8</f>
        <v/>
      </c>
      <c r="AY8" s="34">
        <f>AB8+AI8+AP8</f>
        <v/>
      </c>
      <c r="AZ8" s="34" t="n">
        <v>0</v>
      </c>
      <c r="BA8" s="34">
        <f>AD8+AK8+AR8</f>
        <v/>
      </c>
      <c r="BB8" s="34">
        <f>MAX(F8:G8,750)*0.05*BA8</f>
        <v/>
      </c>
      <c r="BC8" s="34">
        <f>AG8+AN8+AU8</f>
        <v/>
      </c>
      <c r="BD8" s="34">
        <f>MAX(F8:G8,750)*0.05*BC8</f>
        <v/>
      </c>
      <c r="BE8" s="34">
        <f>F8*AY8</f>
        <v/>
      </c>
      <c r="BF8" s="34">
        <f>K8-M8</f>
        <v/>
      </c>
      <c r="BG8" s="34">
        <f>P8-S8</f>
        <v/>
      </c>
      <c r="BH8" s="34">
        <f>W8-AA8</f>
        <v/>
      </c>
      <c r="BI8" s="34">
        <f>BF8+BG8+BL8-BN8</f>
        <v/>
      </c>
      <c r="BJ8" s="34">
        <f>ABS(BK8)</f>
        <v/>
      </c>
      <c r="BK8" s="34">
        <f>AY8-(J8-L8+N8-Q8)</f>
        <v/>
      </c>
      <c r="BL8" s="34">
        <f>IF(AND(BK8&gt;0,MIN($F8:$G8)&lt;150,$E8="Enerji Açığı"),-100*BK8*1.03,IF(AND(BK8&gt;0,MIN($F8:$G8)&lt;150,$E8="Enerji Fazlası"),-100*BK8*1.06,IF(AND(BK8&gt;0,MIN($F8:$G8)&gt;=150,$E8="Enerji Açığı"),BK8*MIN($F8:$G8)*0.97,IF(AND(BK8&gt;0,MIN($F8:$G8)&gt;=150,$E8="Enerji Fazlası"),BK8*MIN($F8:$G8)*0.94,IF(AND(BK8&lt;0,MAX($F8:$G8)=4500,$E8="Enerji Açığı"),4500*1.05*1.06*BK8,IF(AND(BK8&lt;0,MAX($F8:$G8)=4500,$E8="Enerji Fazlası"),4500*1.05*1.03*BK8,IF(AND(BK8&lt;0,$E8="Enerji Açığı"),MAX($F8,$G8,150)*BK8*1.06,IF(AND(BK8&lt;0,$E8="Enerji Fazlası"),MAX($F8,$G8,150)*BK8*1.03,IF(AND(BK8&lt;0,$E8="Dengede"),MAX($F8:$G8,150)*1.03*BK8,MIN($F8:$G8)*0.97*BK8)))))))))</f>
        <v/>
      </c>
      <c r="BM8" s="34">
        <f>BE8-BI8-BN8</f>
        <v/>
      </c>
      <c r="BN8" s="34">
        <f>BB8</f>
        <v/>
      </c>
      <c r="BO8" s="34">
        <f>BE8-BI8</f>
        <v/>
      </c>
      <c r="BP8" s="34">
        <f>IF(AY8=0,0,BO8/AY8)</f>
        <v/>
      </c>
      <c r="BQ8" s="34">
        <f>MAX((AY8+MAX((-J8+L8-N8+Q8),0)),(MAX((J8-L8+N8-Q8),0)))</f>
        <v/>
      </c>
      <c r="BR8" s="82">
        <f>IFERROR(ABS(BK8/BQ8),0)</f>
        <v/>
      </c>
      <c r="BS8" s="34">
        <f>IF(BR8&lt;=0.1,0,BK8/BR8*(BR8-0.1))</f>
        <v/>
      </c>
      <c r="BT8" s="34">
        <f>IF((BS8)&lt;0,MAX(F8:G8)*(BS8)*1.03,MIN(F8:G8)*(BS8)*0.97)</f>
        <v/>
      </c>
      <c r="BU8" s="34">
        <f>IF(BR8&gt;0.1,1,0)</f>
        <v/>
      </c>
      <c r="BV8" s="34">
        <f>BF8+BG8+BH8+BY8-CA8</f>
        <v/>
      </c>
      <c r="BW8" s="34">
        <f>ABS(BX8)</f>
        <v/>
      </c>
      <c r="BX8" s="34">
        <f>AY8-(J8-L8+N8-Q8+T8-X8)</f>
        <v/>
      </c>
      <c r="BY8" s="34">
        <f>IF(AND(BX8&gt;0,MIN($F8:$G8)&lt;150,$E8="Enerji Açığı"),-100*BX8*1.03,IF(AND(BX8&gt;0,MIN($F8:$G8)&lt;150,$E8="Enerji Fazlası"),-100*BX8*1.06,IF(AND(BX8&gt;0,MIN($F8:$G8)&gt;=150,$E8="Enerji Açığı"),BX8*MIN($F8:$G8)*0.97,IF(AND(BX8&gt;0,MIN($F8:$G8)&gt;=150,$E8="Enerji Fazlası"),BX8*MIN($F8:$G8)*0.94,IF(AND(BX8&lt;0,MAX($F8:$G8)=4500,$E8="Enerji Açığı"),4500*1.05*1.06*BX8,IF(AND(BX8&lt;0,MAX($F8:$G8)=4500,$E8="Enerji Fazlası"),4500*1.05*1.03*BX8,IF(AND(BX8&lt;0,$E8="Enerji Açığı"),MAX($F8,$G8,150)*BX8*1.06,IF(AND(BX8&lt;0,$E8="Enerji Fazlası"),MAX($F8,$G8,150)*BX8*1.03,IF(AND(BX8&lt;0,$E8="Dengede"),MAX($F8:$G8,150)*1.03*BX8,MIN($F8:$G8)*0.97*BX8)))))))))</f>
        <v/>
      </c>
      <c r="BZ8" s="34">
        <f>BE8-BV8-CA8</f>
        <v/>
      </c>
      <c r="CA8" s="34">
        <f>BD8</f>
        <v/>
      </c>
      <c r="CB8" s="33">
        <f>BE8-BV8</f>
        <v/>
      </c>
      <c r="CC8" s="34">
        <f>IF(AY8=0,0,CB8/AY8)</f>
        <v/>
      </c>
      <c r="CD8" s="34">
        <f>MAX((AY8+MAX((-J8+L8-N8+Q8-T8+X8),0)),(MAX((J8-L8+N8-Q8+T8-X8),0)))</f>
        <v/>
      </c>
      <c r="CE8" s="82">
        <f>IFERROR(ABS(BX8/CD8),0)</f>
        <v/>
      </c>
      <c r="CF8" s="34">
        <f>IF(CE8&lt;=0.1,0,BX8/CE8*(CE8-0.1))</f>
        <v/>
      </c>
      <c r="CG8" s="34">
        <f>IF((CF8)&lt;0,MAX(F8:G8)*(CF8)*1.03,MIN(F8:G8)*(CF8)*0.97)</f>
        <v/>
      </c>
      <c r="CH8" s="34">
        <f>IF(CE8&gt;0.1,1,0)</f>
        <v/>
      </c>
      <c r="CI8" s="34">
        <f>(F8*BX8)-BY8</f>
        <v/>
      </c>
      <c r="CJ8" s="34">
        <f>IF(AY8=0,0,CI8/AY8)</f>
        <v/>
      </c>
    </row>
    <row r="9">
      <c r="A9" s="29" t="n">
        <v>46204.25</v>
      </c>
      <c r="B9" s="29" t="inlineStr">
        <is>
          <t>06:00</t>
        </is>
      </c>
      <c r="C9" s="35">
        <f>INT(A9)</f>
        <v/>
      </c>
      <c r="D9" s="36">
        <f>MONTH(A9)</f>
        <v/>
      </c>
      <c r="E9" s="147" t="inlineStr">
        <is>
          <t>Enerji Açığı</t>
        </is>
      </c>
      <c r="F9" s="30" t="n">
        <v>1899.99</v>
      </c>
      <c r="G9" s="30" t="n">
        <v>1909.99</v>
      </c>
      <c r="H9" s="30" t="n">
        <v>40.81</v>
      </c>
      <c r="I9" s="30" t="n">
        <v>2675.81</v>
      </c>
      <c r="J9" s="119" t="n">
        <v>0</v>
      </c>
      <c r="K9" s="34">
        <f>F9*J9</f>
        <v/>
      </c>
      <c r="L9" s="119" t="n">
        <v>0</v>
      </c>
      <c r="M9" s="34">
        <f>L9*F9</f>
        <v/>
      </c>
      <c r="N9" s="119" t="n">
        <v>22.2</v>
      </c>
      <c r="O9" s="34">
        <f>F9</f>
        <v/>
      </c>
      <c r="P9" s="34">
        <f>N9*O9</f>
        <v/>
      </c>
      <c r="Q9" s="119" t="n">
        <v>0</v>
      </c>
      <c r="R9" s="34">
        <f>F9</f>
        <v/>
      </c>
      <c r="S9" s="34">
        <f>R9*Q9</f>
        <v/>
      </c>
      <c r="T9" s="34" t="n"/>
      <c r="U9" s="34">
        <f>IFERROR(W9/T9,0)</f>
        <v/>
      </c>
      <c r="V9" s="34">
        <f>IF(U9=0,0,U9-F9)</f>
        <v/>
      </c>
      <c r="W9" s="34" t="n"/>
      <c r="X9" s="34" t="n"/>
      <c r="Y9" s="34">
        <f>IFERROR(AA9/X9,0)</f>
        <v/>
      </c>
      <c r="Z9" s="34">
        <f>IF(Y9=0,0,F9-Y9)</f>
        <v/>
      </c>
      <c r="AA9" s="34" t="n"/>
      <c r="AB9" s="34" t="n">
        <v>0</v>
      </c>
      <c r="AC9" s="34" t="n">
        <v>0</v>
      </c>
      <c r="AD9" s="34">
        <f>IF(AB9&gt;AC9*1.05,AB9-AC9*1.05,IF(AB9&lt;AC9*0.95,AC9*0.95-AB9,0))</f>
        <v/>
      </c>
      <c r="AE9" s="34">
        <f>MAX(F9,G9,750)*0.05*AD9</f>
        <v/>
      </c>
      <c r="AF9" s="34" t="n">
        <v>0</v>
      </c>
      <c r="AG9" s="34">
        <f>IF(AB9&gt;AF9*1.05,AB9-AF9*1.05,IF(AB9&lt;AF9*0.95,AF9*0.95-AB9,0))</f>
        <v/>
      </c>
      <c r="AH9" s="34">
        <f>MAX(I9,J9,750)*0.05*AG9</f>
        <v/>
      </c>
      <c r="AI9" t="n">
        <v>10.96</v>
      </c>
      <c r="AJ9" t="n">
        <v>9</v>
      </c>
      <c r="AK9" s="34">
        <f>IF(AI9&gt;AJ9*1.05,AI9-AJ9*1.05,IF(AI9&lt;AJ9*0.95,AJ9*0.95-AI9,0))</f>
        <v/>
      </c>
      <c r="AL9" s="34">
        <f>MAX(F9,G9,750)*0.05*AK9</f>
        <v/>
      </c>
      <c r="AM9" s="39" t="n">
        <v>10</v>
      </c>
      <c r="AN9" s="34">
        <f>IF(AI9&gt;AM9*1.05,AI9-AM9*1.05,IF(AI9&lt;AM9*0.95,AM9*0.95-AI9,0))</f>
        <v/>
      </c>
      <c r="AO9" s="34">
        <f>MAX(F9,G9,750)*0.05*AN9</f>
        <v/>
      </c>
      <c r="AP9" s="34" t="n">
        <v>12.64</v>
      </c>
      <c r="AQ9" s="34" t="n">
        <v>13.2</v>
      </c>
      <c r="AR9" s="34">
        <f>IF(AP9&gt;AQ9*1.05,AP9-AQ9*1.05,IF(AP9&lt;AQ9*0.95,AQ9*0.95-AP9,0))</f>
        <v/>
      </c>
      <c r="AS9" s="34">
        <f>MAX(F9:G9,750)*0.05*AR9</f>
        <v/>
      </c>
      <c r="AT9" t="n">
        <v>13.2</v>
      </c>
      <c r="AU9" s="34">
        <f>IF(AP9&gt;AT9*1.05,AP9-AT9*1.05,IF(AP9&lt;AT9*0.95,AT9*0.95-AP9,0))</f>
        <v/>
      </c>
      <c r="AV9" s="34">
        <f>MAX(F9:G9,750)*0.05*AU9</f>
        <v/>
      </c>
      <c r="AW9" s="34">
        <f>AC9+AJ9+AQ9</f>
        <v/>
      </c>
      <c r="AX9" s="34">
        <f>AF9+AM9+AT9</f>
        <v/>
      </c>
      <c r="AY9" s="34">
        <f>AB9+AI9+AP9</f>
        <v/>
      </c>
      <c r="AZ9" s="34" t="n">
        <v>0</v>
      </c>
      <c r="BA9" s="34">
        <f>AD9+AK9+AR9</f>
        <v/>
      </c>
      <c r="BB9" s="34">
        <f>MAX(F9:G9,750)*0.05*BA9</f>
        <v/>
      </c>
      <c r="BC9" s="34">
        <f>AG9+AN9+AU9</f>
        <v/>
      </c>
      <c r="BD9" s="34">
        <f>MAX(F9:G9,750)*0.05*BC9</f>
        <v/>
      </c>
      <c r="BE9" s="34">
        <f>F9*AY9</f>
        <v/>
      </c>
      <c r="BF9" s="34">
        <f>K9-M9</f>
        <v/>
      </c>
      <c r="BG9" s="34">
        <f>P9-S9</f>
        <v/>
      </c>
      <c r="BH9" s="34">
        <f>W9-AA9</f>
        <v/>
      </c>
      <c r="BI9" s="34">
        <f>BF9+BG9+BL9-BN9</f>
        <v/>
      </c>
      <c r="BJ9" s="34">
        <f>ABS(BK9)</f>
        <v/>
      </c>
      <c r="BK9" s="34">
        <f>AY9-(J9-L9+N9-Q9)</f>
        <v/>
      </c>
      <c r="BL9" s="34">
        <f>IF(AND(BK9&gt;0,MIN($F9:$G9)&lt;150,$E9="Enerji Açığı"),-100*BK9*1.03,IF(AND(BK9&gt;0,MIN($F9:$G9)&lt;150,$E9="Enerji Fazlası"),-100*BK9*1.06,IF(AND(BK9&gt;0,MIN($F9:$G9)&gt;=150,$E9="Enerji Açığı"),BK9*MIN($F9:$G9)*0.97,IF(AND(BK9&gt;0,MIN($F9:$G9)&gt;=150,$E9="Enerji Fazlası"),BK9*MIN($F9:$G9)*0.94,IF(AND(BK9&lt;0,MAX($F9:$G9)=4500,$E9="Enerji Açığı"),4500*1.05*1.06*BK9,IF(AND(BK9&lt;0,MAX($F9:$G9)=4500,$E9="Enerji Fazlası"),4500*1.05*1.03*BK9,IF(AND(BK9&lt;0,$E9="Enerji Açığı"),MAX($F9,$G9,150)*BK9*1.06,IF(AND(BK9&lt;0,$E9="Enerji Fazlası"),MAX($F9,$G9,150)*BK9*1.03,IF(AND(BK9&lt;0,$E9="Dengede"),MAX($F9:$G9,150)*1.03*BK9,MIN($F9:$G9)*0.97*BK9)))))))))</f>
        <v/>
      </c>
      <c r="BM9" s="34">
        <f>BE9-BI9-BN9</f>
        <v/>
      </c>
      <c r="BN9" s="34">
        <f>BB9</f>
        <v/>
      </c>
      <c r="BO9" s="34">
        <f>BE9-BI9</f>
        <v/>
      </c>
      <c r="BP9" s="34">
        <f>IF(AY9=0,0,BO9/AY9)</f>
        <v/>
      </c>
      <c r="BQ9" s="34">
        <f>MAX((AY9+MAX((-J9+L9-N9+Q9),0)),(MAX((J9-L9+N9-Q9),0)))</f>
        <v/>
      </c>
      <c r="BR9" s="82">
        <f>IFERROR(ABS(BK9/BQ9),0)</f>
        <v/>
      </c>
      <c r="BS9" s="34">
        <f>IF(BR9&lt;=0.1,0,BK9/BR9*(BR9-0.1))</f>
        <v/>
      </c>
      <c r="BT9" s="34">
        <f>IF((BS9)&lt;0,MAX(F9:G9)*(BS9)*1.03,MIN(F9:G9)*(BS9)*0.97)</f>
        <v/>
      </c>
      <c r="BU9" s="34">
        <f>IF(BR9&gt;0.1,1,0)</f>
        <v/>
      </c>
      <c r="BV9" s="34">
        <f>BF9+BG9+BH9+BY9-CA9</f>
        <v/>
      </c>
      <c r="BW9" s="34">
        <f>ABS(BX9)</f>
        <v/>
      </c>
      <c r="BX9" s="34">
        <f>AY9-(J9-L9+N9-Q9+T9-X9)</f>
        <v/>
      </c>
      <c r="BY9" s="34">
        <f>IF(AND(BX9&gt;0,MIN($F9:$G9)&lt;150,$E9="Enerji Açığı"),-100*BX9*1.03,IF(AND(BX9&gt;0,MIN($F9:$G9)&lt;150,$E9="Enerji Fazlası"),-100*BX9*1.06,IF(AND(BX9&gt;0,MIN($F9:$G9)&gt;=150,$E9="Enerji Açığı"),BX9*MIN($F9:$G9)*0.97,IF(AND(BX9&gt;0,MIN($F9:$G9)&gt;=150,$E9="Enerji Fazlası"),BX9*MIN($F9:$G9)*0.94,IF(AND(BX9&lt;0,MAX($F9:$G9)=4500,$E9="Enerji Açığı"),4500*1.05*1.06*BX9,IF(AND(BX9&lt;0,MAX($F9:$G9)=4500,$E9="Enerji Fazlası"),4500*1.05*1.03*BX9,IF(AND(BX9&lt;0,$E9="Enerji Açığı"),MAX($F9,$G9,150)*BX9*1.06,IF(AND(BX9&lt;0,$E9="Enerji Fazlası"),MAX($F9,$G9,150)*BX9*1.03,IF(AND(BX9&lt;0,$E9="Dengede"),MAX($F9:$G9,150)*1.03*BX9,MIN($F9:$G9)*0.97*BX9)))))))))</f>
        <v/>
      </c>
      <c r="BZ9" s="34">
        <f>BE9-BV9-CA9</f>
        <v/>
      </c>
      <c r="CA9" s="34">
        <f>BD9</f>
        <v/>
      </c>
      <c r="CB9" s="33">
        <f>BE9-BV9</f>
        <v/>
      </c>
      <c r="CC9" s="34">
        <f>IF(AY9=0,0,CB9/AY9)</f>
        <v/>
      </c>
      <c r="CD9" s="34">
        <f>MAX((AY9+MAX((-J9+L9-N9+Q9-T9+X9),0)),(MAX((J9-L9+N9-Q9+T9-X9),0)))</f>
        <v/>
      </c>
      <c r="CE9" s="82">
        <f>IFERROR(ABS(BX9/CD9),0)</f>
        <v/>
      </c>
      <c r="CF9" s="34">
        <f>IF(CE9&lt;=0.1,0,BX9/CE9*(CE9-0.1))</f>
        <v/>
      </c>
      <c r="CG9" s="34">
        <f>IF((CF9)&lt;0,MAX(F9:G9)*(CF9)*1.03,MIN(F9:G9)*(CF9)*0.97)</f>
        <v/>
      </c>
      <c r="CH9" s="34">
        <f>IF(CE9&gt;0.1,1,0)</f>
        <v/>
      </c>
      <c r="CI9" s="34">
        <f>(F9*BX9)-BY9</f>
        <v/>
      </c>
      <c r="CJ9" s="34">
        <f>IF(AY9=0,0,CI9/AY9)</f>
        <v/>
      </c>
    </row>
    <row r="10">
      <c r="A10" s="29" t="n">
        <v>46204.29166666666</v>
      </c>
      <c r="B10" s="29" t="inlineStr">
        <is>
          <t>07:00</t>
        </is>
      </c>
      <c r="C10" s="35">
        <f>INT(A10)</f>
        <v/>
      </c>
      <c r="D10" s="36">
        <f>MONTH(A10)</f>
        <v/>
      </c>
      <c r="E10" s="147" t="inlineStr">
        <is>
          <t>Enerji Fazlası</t>
        </is>
      </c>
      <c r="F10" s="30" t="n">
        <v>370.01</v>
      </c>
      <c r="G10" s="30" t="n">
        <v>370</v>
      </c>
      <c r="H10" s="30" t="n">
        <v>7.95</v>
      </c>
      <c r="I10" s="30" t="n">
        <v>417.17</v>
      </c>
      <c r="J10" s="119" t="n">
        <v>0</v>
      </c>
      <c r="K10" s="34">
        <f>F10*J10</f>
        <v/>
      </c>
      <c r="L10" s="119" t="n">
        <v>0</v>
      </c>
      <c r="M10" s="34">
        <f>L10*F10</f>
        <v/>
      </c>
      <c r="N10" s="119" t="n">
        <v>22.5</v>
      </c>
      <c r="O10" s="34">
        <f>F10</f>
        <v/>
      </c>
      <c r="P10" s="34">
        <f>N10*O10</f>
        <v/>
      </c>
      <c r="Q10" s="119" t="n">
        <v>0</v>
      </c>
      <c r="R10" s="34">
        <f>F10</f>
        <v/>
      </c>
      <c r="S10" s="34">
        <f>R10*Q10</f>
        <v/>
      </c>
      <c r="T10" s="34" t="n"/>
      <c r="U10" s="34">
        <f>IFERROR(W10/T10,0)</f>
        <v/>
      </c>
      <c r="V10" s="34">
        <f>IF(U10=0,0,U10-F10)</f>
        <v/>
      </c>
      <c r="W10" s="34" t="n"/>
      <c r="X10" s="34" t="n"/>
      <c r="Y10" s="34">
        <f>IFERROR(AA10/X10,0)</f>
        <v/>
      </c>
      <c r="Z10" s="34">
        <f>IF(Y10=0,0,F10-Y10)</f>
        <v/>
      </c>
      <c r="AA10" s="34" t="n"/>
      <c r="AB10" s="34" t="n">
        <v>0</v>
      </c>
      <c r="AC10" s="34" t="n">
        <v>0</v>
      </c>
      <c r="AD10" s="34">
        <f>IF(AB10&gt;AC10*1.05,AB10-AC10*1.05,IF(AB10&lt;AC10*0.95,AC10*0.95-AB10,0))</f>
        <v/>
      </c>
      <c r="AE10" s="34">
        <f>MAX(F10,G10,750)*0.05*AD10</f>
        <v/>
      </c>
      <c r="AF10" s="34" t="n">
        <v>0</v>
      </c>
      <c r="AG10" s="34">
        <f>IF(AB10&gt;AF10*1.05,AB10-AF10*1.05,IF(AB10&lt;AF10*0.95,AF10*0.95-AB10,0))</f>
        <v/>
      </c>
      <c r="AH10" s="34">
        <f>MAX(I10,J10,750)*0.05*AG10</f>
        <v/>
      </c>
      <c r="AI10" t="n">
        <v>11.38</v>
      </c>
      <c r="AJ10" t="n">
        <v>9</v>
      </c>
      <c r="AK10" s="34">
        <f>IF(AI10&gt;AJ10*1.05,AI10-AJ10*1.05,IF(AI10&lt;AJ10*0.95,AJ10*0.95-AI10,0))</f>
        <v/>
      </c>
      <c r="AL10" s="34">
        <f>MAX(F10,G10,750)*0.05*AK10</f>
        <v/>
      </c>
      <c r="AM10" s="39" t="n">
        <v>9</v>
      </c>
      <c r="AN10" s="34">
        <f>IF(AI10&gt;AM10*1.05,AI10-AM10*1.05,IF(AI10&lt;AM10*0.95,AM10*0.95-AI10,0))</f>
        <v/>
      </c>
      <c r="AO10" s="34">
        <f>MAX(F10,G10,750)*0.05*AN10</f>
        <v/>
      </c>
      <c r="AP10" s="34" t="n">
        <v>11.34</v>
      </c>
      <c r="AQ10" s="34" t="n">
        <v>13.5</v>
      </c>
      <c r="AR10" s="34">
        <f>IF(AP10&gt;AQ10*1.05,AP10-AQ10*1.05,IF(AP10&lt;AQ10*0.95,AQ10*0.95-AP10,0))</f>
        <v/>
      </c>
      <c r="AS10" s="34">
        <f>MAX(F10:G10,750)*0.05*AR10</f>
        <v/>
      </c>
      <c r="AT10" t="n">
        <v>13.5</v>
      </c>
      <c r="AU10" s="34">
        <f>IF(AP10&gt;AT10*1.05,AP10-AT10*1.05,IF(AP10&lt;AT10*0.95,AT10*0.95-AP10,0))</f>
        <v/>
      </c>
      <c r="AV10" s="34">
        <f>MAX(F10:G10,750)*0.05*AU10</f>
        <v/>
      </c>
      <c r="AW10" s="34">
        <f>AC10+AJ10+AQ10</f>
        <v/>
      </c>
      <c r="AX10" s="34">
        <f>AF10+AM10+AT10</f>
        <v/>
      </c>
      <c r="AY10" s="34">
        <f>AB10+AI10+AP10</f>
        <v/>
      </c>
      <c r="AZ10" s="34" t="n">
        <v>0</v>
      </c>
      <c r="BA10" s="34">
        <f>AD10+AK10+AR10</f>
        <v/>
      </c>
      <c r="BB10" s="34">
        <f>MAX(F10:G10,750)*0.05*BA10</f>
        <v/>
      </c>
      <c r="BC10" s="34">
        <f>AG10+AN10+AU10</f>
        <v/>
      </c>
      <c r="BD10" s="34">
        <f>MAX(F10:G10,750)*0.05*BC10</f>
        <v/>
      </c>
      <c r="BE10" s="34">
        <f>F10*AY10</f>
        <v/>
      </c>
      <c r="BF10" s="34">
        <f>K10-M10</f>
        <v/>
      </c>
      <c r="BG10" s="34">
        <f>P10-S10</f>
        <v/>
      </c>
      <c r="BH10" s="34">
        <f>W10-AA10</f>
        <v/>
      </c>
      <c r="BI10" s="34">
        <f>BF10+BG10+BL10-BN10</f>
        <v/>
      </c>
      <c r="BJ10" s="34">
        <f>ABS(BK10)</f>
        <v/>
      </c>
      <c r="BK10" s="34">
        <f>AY10-(J10-L10+N10-Q10)</f>
        <v/>
      </c>
      <c r="BL10" s="34">
        <f>IF(AND(BK10&gt;0,MIN($F10:$G10)&lt;150,$E10="Enerji Açığı"),-100*BK10*1.03,IF(AND(BK10&gt;0,MIN($F10:$G10)&lt;150,$E10="Enerji Fazlası"),-100*BK10*1.06,IF(AND(BK10&gt;0,MIN($F10:$G10)&gt;=150,$E10="Enerji Açığı"),BK10*MIN($F10:$G10)*0.97,IF(AND(BK10&gt;0,MIN($F10:$G10)&gt;=150,$E10="Enerji Fazlası"),BK10*MIN($F10:$G10)*0.94,IF(AND(BK10&lt;0,MAX($F10:$G10)=4500,$E10="Enerji Açığı"),4500*1.05*1.06*BK10,IF(AND(BK10&lt;0,MAX($F10:$G10)=4500,$E10="Enerji Fazlası"),4500*1.05*1.03*BK10,IF(AND(BK10&lt;0,$E10="Enerji Açığı"),MAX($F10,$G10,150)*BK10*1.06,IF(AND(BK10&lt;0,$E10="Enerji Fazlası"),MAX($F10,$G10,150)*BK10*1.03,IF(AND(BK10&lt;0,$E10="Dengede"),MAX($F10:$G10,150)*1.03*BK10,MIN($F10:$G10)*0.97*BK10)))))))))</f>
        <v/>
      </c>
      <c r="BM10" s="34">
        <f>BE10-BI10-BN10</f>
        <v/>
      </c>
      <c r="BN10" s="34">
        <f>BB10</f>
        <v/>
      </c>
      <c r="BO10" s="34">
        <f>BE10-BI10</f>
        <v/>
      </c>
      <c r="BP10" s="34">
        <f>IF(AY10=0,0,BO10/AY10)</f>
        <v/>
      </c>
      <c r="BQ10" s="34">
        <f>MAX((AY10+MAX((-J10+L10-N10+Q10),0)),(MAX((J10-L10+N10-Q10),0)))</f>
        <v/>
      </c>
      <c r="BR10" s="82">
        <f>IFERROR(ABS(BK10/BQ10),0)</f>
        <v/>
      </c>
      <c r="BS10" s="34">
        <f>IF(BR10&lt;=0.1,0,BK10/BR10*(BR10-0.1))</f>
        <v/>
      </c>
      <c r="BT10" s="34">
        <f>IF((BS10)&lt;0,MAX(F10:G10)*(BS10)*1.03,MIN(F10:G10)*(BS10)*0.97)</f>
        <v/>
      </c>
      <c r="BU10" s="34">
        <f>IF(BR10&gt;0.1,1,0)</f>
        <v/>
      </c>
      <c r="BV10" s="34">
        <f>BF10+BG10+BH10+BY10-CA10</f>
        <v/>
      </c>
      <c r="BW10" s="34">
        <f>ABS(BX10)</f>
        <v/>
      </c>
      <c r="BX10" s="34">
        <f>AY10-(J10-L10+N10-Q10+T10-X10)</f>
        <v/>
      </c>
      <c r="BY10" s="34">
        <f>IF(AND(BX10&gt;0,MIN($F10:$G10)&lt;150,$E10="Enerji Açığı"),-100*BX10*1.03,IF(AND(BX10&gt;0,MIN($F10:$G10)&lt;150,$E10="Enerji Fazlası"),-100*BX10*1.06,IF(AND(BX10&gt;0,MIN($F10:$G10)&gt;=150,$E10="Enerji Açığı"),BX10*MIN($F10:$G10)*0.97,IF(AND(BX10&gt;0,MIN($F10:$G10)&gt;=150,$E10="Enerji Fazlası"),BX10*MIN($F10:$G10)*0.94,IF(AND(BX10&lt;0,MAX($F10:$G10)=4500,$E10="Enerji Açığı"),4500*1.05*1.06*BX10,IF(AND(BX10&lt;0,MAX($F10:$G10)=4500,$E10="Enerji Fazlası"),4500*1.05*1.03*BX10,IF(AND(BX10&lt;0,$E10="Enerji Açığı"),MAX($F10,$G10,150)*BX10*1.06,IF(AND(BX10&lt;0,$E10="Enerji Fazlası"),MAX($F10,$G10,150)*BX10*1.03,IF(AND(BX10&lt;0,$E10="Dengede"),MAX($F10:$G10,150)*1.03*BX10,MIN($F10:$G10)*0.97*BX10)))))))))</f>
        <v/>
      </c>
      <c r="BZ10" s="34">
        <f>BE10-BV10-CA10</f>
        <v/>
      </c>
      <c r="CA10" s="34">
        <f>BD10</f>
        <v/>
      </c>
      <c r="CB10" s="33">
        <f>BE10-BV10</f>
        <v/>
      </c>
      <c r="CC10" s="34">
        <f>IF(AY10=0,0,CB10/AY10)</f>
        <v/>
      </c>
      <c r="CD10" s="34">
        <f>MAX((AY10+MAX((-J10+L10-N10+Q10-T10+X10),0)),(MAX((J10-L10+N10-Q10+T10-X10),0)))</f>
        <v/>
      </c>
      <c r="CE10" s="82">
        <f>IFERROR(ABS(BX10/CD10),0)</f>
        <v/>
      </c>
      <c r="CF10" s="34">
        <f>IF(CE10&lt;=0.1,0,BX10/CE10*(CE10-0.1))</f>
        <v/>
      </c>
      <c r="CG10" s="34">
        <f>IF((CF10)&lt;0,MAX(F10:G10)*(CF10)*1.03,MIN(F10:G10)*(CF10)*0.97)</f>
        <v/>
      </c>
      <c r="CH10" s="34">
        <f>IF(CE10&gt;0.1,1,0)</f>
        <v/>
      </c>
      <c r="CI10" s="34">
        <f>(F10*BX10)-BY10</f>
        <v/>
      </c>
      <c r="CJ10" s="34">
        <f>IF(AY10=0,0,CI10/AY10)</f>
        <v/>
      </c>
    </row>
    <row r="11">
      <c r="A11" s="29" t="n">
        <v>46204.33333333334</v>
      </c>
      <c r="B11" s="29" t="inlineStr">
        <is>
          <t>08:00</t>
        </is>
      </c>
      <c r="C11" s="35">
        <f>INT(A11)</f>
        <v/>
      </c>
      <c r="D11" s="36">
        <f>MONTH(A11)</f>
        <v/>
      </c>
      <c r="E11" s="147" t="inlineStr">
        <is>
          <t>Enerji Fazlası</t>
        </is>
      </c>
      <c r="F11" s="30" t="n">
        <v>2800</v>
      </c>
      <c r="G11" s="30" t="n">
        <v>699.99</v>
      </c>
      <c r="H11" s="30" t="n">
        <v>60.14</v>
      </c>
      <c r="I11" s="30" t="n">
        <v>2955.48</v>
      </c>
      <c r="J11" s="119" t="n">
        <v>0</v>
      </c>
      <c r="K11" s="34">
        <f>F11*J11</f>
        <v/>
      </c>
      <c r="L11" s="119" t="n">
        <v>0</v>
      </c>
      <c r="M11" s="34">
        <f>L11*F11</f>
        <v/>
      </c>
      <c r="N11" s="119" t="n">
        <v>24</v>
      </c>
      <c r="O11" s="34">
        <f>F11</f>
        <v/>
      </c>
      <c r="P11" s="34">
        <f>N11*O11</f>
        <v/>
      </c>
      <c r="Q11" s="119" t="n">
        <v>0</v>
      </c>
      <c r="R11" s="34">
        <f>F11</f>
        <v/>
      </c>
      <c r="S11" s="34">
        <f>R11*Q11</f>
        <v/>
      </c>
      <c r="T11" s="34" t="n"/>
      <c r="U11" s="34">
        <f>IFERROR(W11/T11,0)</f>
        <v/>
      </c>
      <c r="V11" s="34">
        <f>IF(U11=0,0,U11-F11)</f>
        <v/>
      </c>
      <c r="W11" s="34" t="n"/>
      <c r="X11" s="34" t="n"/>
      <c r="Y11" s="34">
        <f>IFERROR(AA11/X11,0)</f>
        <v/>
      </c>
      <c r="Z11" s="34">
        <f>IF(Y11=0,0,F11-Y11)</f>
        <v/>
      </c>
      <c r="AA11" s="34" t="n"/>
      <c r="AB11" s="34" t="n">
        <v>0</v>
      </c>
      <c r="AC11" s="34" t="n">
        <v>0</v>
      </c>
      <c r="AD11" s="34">
        <f>IF(AB11&gt;AC11*1.05,AB11-AC11*1.05,IF(AB11&lt;AC11*0.95,AC11*0.95-AB11,0))</f>
        <v/>
      </c>
      <c r="AE11" s="34">
        <f>MAX(F11,G11,750)*0.05*AD11</f>
        <v/>
      </c>
      <c r="AF11" s="34" t="n">
        <v>0</v>
      </c>
      <c r="AG11" s="34">
        <f>IF(AB11&gt;AF11*1.05,AB11-AF11*1.05,IF(AB11&lt;AF11*0.95,AF11*0.95-AB11,0))</f>
        <v/>
      </c>
      <c r="AH11" s="34">
        <f>MAX(I11,J11,750)*0.05*AG11</f>
        <v/>
      </c>
      <c r="AI11" t="n">
        <v>12.38</v>
      </c>
      <c r="AJ11" t="n">
        <v>9</v>
      </c>
      <c r="AK11" s="34">
        <f>IF(AI11&gt;AJ11*1.05,AI11-AJ11*1.05,IF(AI11&lt;AJ11*0.95,AJ11*0.95-AI11,0))</f>
        <v/>
      </c>
      <c r="AL11" s="34">
        <f>MAX(F11,G11,750)*0.05*AK11</f>
        <v/>
      </c>
      <c r="AM11" s="39" t="n">
        <v>10</v>
      </c>
      <c r="AN11" s="34">
        <f>IF(AI11&gt;AM11*1.05,AI11-AM11*1.05,IF(AI11&lt;AM11*0.95,AM11*0.95-AI11,0))</f>
        <v/>
      </c>
      <c r="AO11" s="34">
        <f>MAX(F11,G11,750)*0.05*AN11</f>
        <v/>
      </c>
      <c r="AP11" s="34" t="n">
        <v>11.76</v>
      </c>
      <c r="AQ11" s="34" t="n">
        <v>15</v>
      </c>
      <c r="AR11" s="34">
        <f>IF(AP11&gt;AQ11*1.05,AP11-AQ11*1.05,IF(AP11&lt;AQ11*0.95,AQ11*0.95-AP11,0))</f>
        <v/>
      </c>
      <c r="AS11" s="34">
        <f>MAX(F11:G11,750)*0.05*AR11</f>
        <v/>
      </c>
      <c r="AT11" t="n">
        <v>15</v>
      </c>
      <c r="AU11" s="34">
        <f>IF(AP11&gt;AT11*1.05,AP11-AT11*1.05,IF(AP11&lt;AT11*0.95,AT11*0.95-AP11,0))</f>
        <v/>
      </c>
      <c r="AV11" s="34">
        <f>MAX(F11:G11,750)*0.05*AU11</f>
        <v/>
      </c>
      <c r="AW11" s="34">
        <f>AC11+AJ11+AQ11</f>
        <v/>
      </c>
      <c r="AX11" s="34">
        <f>AF11+AM11+AT11</f>
        <v/>
      </c>
      <c r="AY11" s="34">
        <f>AB11+AI11+AP11</f>
        <v/>
      </c>
      <c r="AZ11" s="34" t="n">
        <v>0</v>
      </c>
      <c r="BA11" s="34">
        <f>AD11+AK11+AR11</f>
        <v/>
      </c>
      <c r="BB11" s="34">
        <f>MAX(F11:G11,750)*0.05*BA11</f>
        <v/>
      </c>
      <c r="BC11" s="34">
        <f>AG11+AN11+AU11</f>
        <v/>
      </c>
      <c r="BD11" s="34">
        <f>MAX(F11:G11,750)*0.05*BC11</f>
        <v/>
      </c>
      <c r="BE11" s="34">
        <f>F11*AY11</f>
        <v/>
      </c>
      <c r="BF11" s="34">
        <f>K11-M11</f>
        <v/>
      </c>
      <c r="BG11" s="34">
        <f>P11-S11</f>
        <v/>
      </c>
      <c r="BH11" s="34">
        <f>W11-AA11</f>
        <v/>
      </c>
      <c r="BI11" s="34">
        <f>BF11+BG11+BL11-BN11</f>
        <v/>
      </c>
      <c r="BJ11" s="34">
        <f>ABS(BK11)</f>
        <v/>
      </c>
      <c r="BK11" s="34">
        <f>AY11-(J11-L11+N11-Q11)</f>
        <v/>
      </c>
      <c r="BL11" s="34">
        <f>IF(AND(BK11&gt;0,MIN($F11:$G11)&lt;150,$E11="Enerji Açığı"),-100*BK11*1.03,IF(AND(BK11&gt;0,MIN($F11:$G11)&lt;150,$E11="Enerji Fazlası"),-100*BK11*1.06,IF(AND(BK11&gt;0,MIN($F11:$G11)&gt;=150,$E11="Enerji Açığı"),BK11*MIN($F11:$G11)*0.97,IF(AND(BK11&gt;0,MIN($F11:$G11)&gt;=150,$E11="Enerji Fazlası"),BK11*MIN($F11:$G11)*0.94,IF(AND(BK11&lt;0,MAX($F11:$G11)=4500,$E11="Enerji Açığı"),4500*1.05*1.06*BK11,IF(AND(BK11&lt;0,MAX($F11:$G11)=4500,$E11="Enerji Fazlası"),4500*1.05*1.03*BK11,IF(AND(BK11&lt;0,$E11="Enerji Açığı"),MAX($F11,$G11,150)*BK11*1.06,IF(AND(BK11&lt;0,$E11="Enerji Fazlası"),MAX($F11,$G11,150)*BK11*1.03,IF(AND(BK11&lt;0,$E11="Dengede"),MAX($F11:$G11,150)*1.03*BK11,MIN($F11:$G11)*0.97*BK11)))))))))</f>
        <v/>
      </c>
      <c r="BM11" s="34">
        <f>BE11-BI11-BN11</f>
        <v/>
      </c>
      <c r="BN11" s="34">
        <f>BB11</f>
        <v/>
      </c>
      <c r="BO11" s="34">
        <f>BE11-BI11</f>
        <v/>
      </c>
      <c r="BP11" s="34">
        <f>IF(AY11=0,0,BO11/AY11)</f>
        <v/>
      </c>
      <c r="BQ11" s="34">
        <f>MAX((AY11+MAX((-J11+L11-N11+Q11),0)),(MAX((J11-L11+N11-Q11),0)))</f>
        <v/>
      </c>
      <c r="BR11" s="82">
        <f>IFERROR(ABS(BK11/BQ11),0)</f>
        <v/>
      </c>
      <c r="BS11" s="34">
        <f>IF(BR11&lt;=0.1,0,BK11/BR11*(BR11-0.1))</f>
        <v/>
      </c>
      <c r="BT11" s="34">
        <f>IF((BS11)&lt;0,MAX(F11:G11)*(BS11)*1.03,MIN(F11:G11)*(BS11)*0.97)</f>
        <v/>
      </c>
      <c r="BU11" s="34">
        <f>IF(BR11&gt;0.1,1,0)</f>
        <v/>
      </c>
      <c r="BV11" s="34">
        <f>BF11+BG11+BH11+BY11-CA11</f>
        <v/>
      </c>
      <c r="BW11" s="34">
        <f>ABS(BX11)</f>
        <v/>
      </c>
      <c r="BX11" s="34">
        <f>AY11-(J11-L11+N11-Q11+T11-X11)</f>
        <v/>
      </c>
      <c r="BY11" s="34">
        <f>IF(AND(BX11&gt;0,MIN($F11:$G11)&lt;150,$E11="Enerji Açığı"),-100*BX11*1.03,IF(AND(BX11&gt;0,MIN($F11:$G11)&lt;150,$E11="Enerji Fazlası"),-100*BX11*1.06,IF(AND(BX11&gt;0,MIN($F11:$G11)&gt;=150,$E11="Enerji Açığı"),BX11*MIN($F11:$G11)*0.97,IF(AND(BX11&gt;0,MIN($F11:$G11)&gt;=150,$E11="Enerji Fazlası"),BX11*MIN($F11:$G11)*0.94,IF(AND(BX11&lt;0,MAX($F11:$G11)=4500,$E11="Enerji Açığı"),4500*1.05*1.06*BX11,IF(AND(BX11&lt;0,MAX($F11:$G11)=4500,$E11="Enerji Fazlası"),4500*1.05*1.03*BX11,IF(AND(BX11&lt;0,$E11="Enerji Açığı"),MAX($F11,$G11,150)*BX11*1.06,IF(AND(BX11&lt;0,$E11="Enerji Fazlası"),MAX($F11,$G11,150)*BX11*1.03,IF(AND(BX11&lt;0,$E11="Dengede"),MAX($F11:$G11,150)*1.03*BX11,MIN($F11:$G11)*0.97*BX11)))))))))</f>
        <v/>
      </c>
      <c r="BZ11" s="34">
        <f>BE11-BV11-CA11</f>
        <v/>
      </c>
      <c r="CA11" s="34">
        <f>BD11</f>
        <v/>
      </c>
      <c r="CB11" s="33">
        <f>BE11-BV11</f>
        <v/>
      </c>
      <c r="CC11" s="34">
        <f>IF(AY11=0,0,CB11/AY11)</f>
        <v/>
      </c>
      <c r="CD11" s="34">
        <f>MAX((AY11+MAX((-J11+L11-N11+Q11-T11+X11),0)),(MAX((J11-L11+N11-Q11+T11-X11),0)))</f>
        <v/>
      </c>
      <c r="CE11" s="82">
        <f>IFERROR(ABS(BX11/CD11),0)</f>
        <v/>
      </c>
      <c r="CF11" s="34">
        <f>IF(CE11&lt;=0.1,0,BX11/CE11*(CE11-0.1))</f>
        <v/>
      </c>
      <c r="CG11" s="34">
        <f>IF((CF11)&lt;0,MAX(F11:G11)*(CF11)*1.03,MIN(F11:G11)*(CF11)*0.97)</f>
        <v/>
      </c>
      <c r="CH11" s="34">
        <f>IF(CE11&gt;0.1,1,0)</f>
        <v/>
      </c>
      <c r="CI11" s="34">
        <f>(F11*BX11)-BY11</f>
        <v/>
      </c>
      <c r="CJ11" s="34">
        <f>IF(AY11=0,0,CI11/AY11)</f>
        <v/>
      </c>
    </row>
    <row r="12">
      <c r="A12" s="29" t="n">
        <v>46204.375</v>
      </c>
      <c r="B12" s="29" t="inlineStr">
        <is>
          <t>09:00</t>
        </is>
      </c>
      <c r="C12" s="35">
        <f>INT(A12)</f>
        <v/>
      </c>
      <c r="D12" s="36">
        <f>MONTH(A12)</f>
        <v/>
      </c>
      <c r="E12" s="147" t="inlineStr">
        <is>
          <t>Enerji Açığı</t>
        </is>
      </c>
      <c r="F12" s="30" t="n">
        <v>3489.99</v>
      </c>
      <c r="G12" s="30" t="n">
        <v>3489.99</v>
      </c>
      <c r="H12" s="30" t="n">
        <v>74.95999999999999</v>
      </c>
      <c r="I12" s="30" t="n">
        <v>3318.99</v>
      </c>
      <c r="J12" s="119" t="n">
        <v>0</v>
      </c>
      <c r="K12" s="34">
        <f>F12*J12</f>
        <v/>
      </c>
      <c r="L12" s="119" t="n">
        <v>0</v>
      </c>
      <c r="M12" s="34">
        <f>L12*F12</f>
        <v/>
      </c>
      <c r="N12" s="119" t="n">
        <v>25</v>
      </c>
      <c r="O12" s="34">
        <f>F12</f>
        <v/>
      </c>
      <c r="P12" s="34">
        <f>N12*O12</f>
        <v/>
      </c>
      <c r="Q12" s="119" t="n">
        <v>0</v>
      </c>
      <c r="R12" s="34">
        <f>F12</f>
        <v/>
      </c>
      <c r="S12" s="34">
        <f>R12*Q12</f>
        <v/>
      </c>
      <c r="T12" s="34" t="n"/>
      <c r="U12" s="34">
        <f>IFERROR(W12/T12,0)</f>
        <v/>
      </c>
      <c r="V12" s="34">
        <f>IF(U12=0,0,U12-F12)</f>
        <v/>
      </c>
      <c r="W12" s="34" t="n"/>
      <c r="X12" s="34" t="n"/>
      <c r="Y12" s="34">
        <f>IFERROR(AA12/X12,0)</f>
        <v/>
      </c>
      <c r="Z12" s="34">
        <f>IF(Y12=0,0,F12-Y12)</f>
        <v/>
      </c>
      <c r="AA12" s="34" t="n"/>
      <c r="AB12" s="34" t="n">
        <v>0</v>
      </c>
      <c r="AC12" s="34" t="n">
        <v>0</v>
      </c>
      <c r="AD12" s="34">
        <f>IF(AB12&gt;AC12*1.05,AB12-AC12*1.05,IF(AB12&lt;AC12*0.95,AC12*0.95-AB12,0))</f>
        <v/>
      </c>
      <c r="AE12" s="34">
        <f>MAX(F12,G12,750)*0.05*AD12</f>
        <v/>
      </c>
      <c r="AF12" s="34" t="n">
        <v>0</v>
      </c>
      <c r="AG12" s="34">
        <f>IF(AB12&gt;AF12*1.05,AB12-AF12*1.05,IF(AB12&lt;AF12*0.95,AF12*0.95-AB12,0))</f>
        <v/>
      </c>
      <c r="AH12" s="34">
        <f>MAX(I12,J12,750)*0.05*AG12</f>
        <v/>
      </c>
      <c r="AI12" t="n">
        <v>12.4</v>
      </c>
      <c r="AJ12" t="n">
        <v>10</v>
      </c>
      <c r="AK12" s="34">
        <f>IF(AI12&gt;AJ12*1.05,AI12-AJ12*1.05,IF(AI12&lt;AJ12*0.95,AJ12*0.95-AI12,0))</f>
        <v/>
      </c>
      <c r="AL12" s="34">
        <f>MAX(F12,G12,750)*0.05*AK12</f>
        <v/>
      </c>
      <c r="AM12" s="39" t="n">
        <v>10</v>
      </c>
      <c r="AN12" s="34">
        <f>IF(AI12&gt;AM12*1.05,AI12-AM12*1.05,IF(AI12&lt;AM12*0.95,AM12*0.95-AI12,0))</f>
        <v/>
      </c>
      <c r="AO12" s="34">
        <f>MAX(F12,G12,750)*0.05*AN12</f>
        <v/>
      </c>
      <c r="AP12" s="34" t="n">
        <v>13.04</v>
      </c>
      <c r="AQ12" s="34" t="n">
        <v>15</v>
      </c>
      <c r="AR12" s="34">
        <f>IF(AP12&gt;AQ12*1.05,AP12-AQ12*1.05,IF(AP12&lt;AQ12*0.95,AQ12*0.95-AP12,0))</f>
        <v/>
      </c>
      <c r="AS12" s="34">
        <f>MAX(F12:G12,750)*0.05*AR12</f>
        <v/>
      </c>
      <c r="AT12" t="n">
        <v>15</v>
      </c>
      <c r="AU12" s="34">
        <f>IF(AP12&gt;AT12*1.05,AP12-AT12*1.05,IF(AP12&lt;AT12*0.95,AT12*0.95-AP12,0))</f>
        <v/>
      </c>
      <c r="AV12" s="34">
        <f>MAX(F12:G12,750)*0.05*AU12</f>
        <v/>
      </c>
      <c r="AW12" s="34">
        <f>AC12+AJ12+AQ12</f>
        <v/>
      </c>
      <c r="AX12" s="34">
        <f>AF12+AM12+AT12</f>
        <v/>
      </c>
      <c r="AY12" s="34">
        <f>AB12+AI12+AP12</f>
        <v/>
      </c>
      <c r="AZ12" s="34" t="n">
        <v>0</v>
      </c>
      <c r="BA12" s="34">
        <f>AD12+AK12+AR12</f>
        <v/>
      </c>
      <c r="BB12" s="34">
        <f>MAX(F12:G12,750)*0.05*BA12</f>
        <v/>
      </c>
      <c r="BC12" s="34">
        <f>AG12+AN12+AU12</f>
        <v/>
      </c>
      <c r="BD12" s="34">
        <f>MAX(F12:G12,750)*0.05*BC12</f>
        <v/>
      </c>
      <c r="BE12" s="34">
        <f>F12*AY12</f>
        <v/>
      </c>
      <c r="BF12" s="34">
        <f>K12-M12</f>
        <v/>
      </c>
      <c r="BG12" s="34">
        <f>P12-S12</f>
        <v/>
      </c>
      <c r="BH12" s="34">
        <f>W12-AA12</f>
        <v/>
      </c>
      <c r="BI12" s="34">
        <f>BF12+BG12+BL12-BN12</f>
        <v/>
      </c>
      <c r="BJ12" s="34">
        <f>ABS(BK12)</f>
        <v/>
      </c>
      <c r="BK12" s="34">
        <f>AY12-(J12-L12+N12-Q12)</f>
        <v/>
      </c>
      <c r="BL12" s="34">
        <f>IF(AND(BK12&gt;0,MIN($F12:$G12)&lt;150,$E12="Enerji Açığı"),-100*BK12*1.03,IF(AND(BK12&gt;0,MIN($F12:$G12)&lt;150,$E12="Enerji Fazlası"),-100*BK12*1.06,IF(AND(BK12&gt;0,MIN($F12:$G12)&gt;=150,$E12="Enerji Açığı"),BK12*MIN($F12:$G12)*0.97,IF(AND(BK12&gt;0,MIN($F12:$G12)&gt;=150,$E12="Enerji Fazlası"),BK12*MIN($F12:$G12)*0.94,IF(AND(BK12&lt;0,MAX($F12:$G12)=4500,$E12="Enerji Açığı"),4500*1.05*1.06*BK12,IF(AND(BK12&lt;0,MAX($F12:$G12)=4500,$E12="Enerji Fazlası"),4500*1.05*1.03*BK12,IF(AND(BK12&lt;0,$E12="Enerji Açığı"),MAX($F12,$G12,150)*BK12*1.06,IF(AND(BK12&lt;0,$E12="Enerji Fazlası"),MAX($F12,$G12,150)*BK12*1.03,IF(AND(BK12&lt;0,$E12="Dengede"),MAX($F12:$G12,150)*1.03*BK12,MIN($F12:$G12)*0.97*BK12)))))))))</f>
        <v/>
      </c>
      <c r="BM12" s="34">
        <f>BE12-BI12-BN12</f>
        <v/>
      </c>
      <c r="BN12" s="34">
        <f>BB12</f>
        <v/>
      </c>
      <c r="BO12" s="34">
        <f>BE12-BI12</f>
        <v/>
      </c>
      <c r="BP12" s="34">
        <f>IF(AY12=0,0,BO12/AY12)</f>
        <v/>
      </c>
      <c r="BQ12" s="34">
        <f>MAX((AY12+MAX((-J12+L12-N12+Q12),0)),(MAX((J12-L12+N12-Q12),0)))</f>
        <v/>
      </c>
      <c r="BR12" s="82">
        <f>IFERROR(ABS(BK12/BQ12),0)</f>
        <v/>
      </c>
      <c r="BS12" s="34">
        <f>IF(BR12&lt;=0.1,0,BK12/BR12*(BR12-0.1))</f>
        <v/>
      </c>
      <c r="BT12" s="34">
        <f>IF((BS12)&lt;0,MAX(F12:G12)*(BS12)*1.03,MIN(F12:G12)*(BS12)*0.97)</f>
        <v/>
      </c>
      <c r="BU12" s="34">
        <f>IF(BR12&gt;0.1,1,0)</f>
        <v/>
      </c>
      <c r="BV12" s="34">
        <f>BF12+BG12+BH12+BY12-CA12</f>
        <v/>
      </c>
      <c r="BW12" s="34">
        <f>ABS(BX12)</f>
        <v/>
      </c>
      <c r="BX12" s="34">
        <f>AY12-(J12-L12+N12-Q12+T12-X12)</f>
        <v/>
      </c>
      <c r="BY12" s="34">
        <f>IF(AND(BX12&gt;0,MIN($F12:$G12)&lt;150,$E12="Enerji Açığı"),-100*BX12*1.03,IF(AND(BX12&gt;0,MIN($F12:$G12)&lt;150,$E12="Enerji Fazlası"),-100*BX12*1.06,IF(AND(BX12&gt;0,MIN($F12:$G12)&gt;=150,$E12="Enerji Açığı"),BX12*MIN($F12:$G12)*0.97,IF(AND(BX12&gt;0,MIN($F12:$G12)&gt;=150,$E12="Enerji Fazlası"),BX12*MIN($F12:$G12)*0.94,IF(AND(BX12&lt;0,MAX($F12:$G12)=4500,$E12="Enerji Açığı"),4500*1.05*1.06*BX12,IF(AND(BX12&lt;0,MAX($F12:$G12)=4500,$E12="Enerji Fazlası"),4500*1.05*1.03*BX12,IF(AND(BX12&lt;0,$E12="Enerji Açığı"),MAX($F12,$G12,150)*BX12*1.06,IF(AND(BX12&lt;0,$E12="Enerji Fazlası"),MAX($F12,$G12,150)*BX12*1.03,IF(AND(BX12&lt;0,$E12="Dengede"),MAX($F12:$G12,150)*1.03*BX12,MIN($F12:$G12)*0.97*BX12)))))))))</f>
        <v/>
      </c>
      <c r="BZ12" s="34">
        <f>BE12-BV12-CA12</f>
        <v/>
      </c>
      <c r="CA12" s="34">
        <f>BD12</f>
        <v/>
      </c>
      <c r="CB12" s="33">
        <f>BE12-BV12</f>
        <v/>
      </c>
      <c r="CC12" s="34">
        <f>IF(AY12=0,0,CB12/AY12)</f>
        <v/>
      </c>
      <c r="CD12" s="34">
        <f>MAX((AY12+MAX((-J12+L12-N12+Q12-T12+X12),0)),(MAX((J12-L12+N12-Q12+T12-X12),0)))</f>
        <v/>
      </c>
      <c r="CE12" s="82">
        <f>IFERROR(ABS(BX12/CD12),0)</f>
        <v/>
      </c>
      <c r="CF12" s="34">
        <f>IF(CE12&lt;=0.1,0,BX12/CE12*(CE12-0.1))</f>
        <v/>
      </c>
      <c r="CG12" s="34">
        <f>IF((CF12)&lt;0,MAX(F12:G12)*(CF12)*1.03,MIN(F12:G12)*(CF12)*0.97)</f>
        <v/>
      </c>
      <c r="CH12" s="34">
        <f>IF(CE12&gt;0.1,1,0)</f>
        <v/>
      </c>
      <c r="CI12" s="34">
        <f>(F12*BX12)-BY12</f>
        <v/>
      </c>
      <c r="CJ12" s="34">
        <f>IF(AY12=0,0,CI12/AY12)</f>
        <v/>
      </c>
    </row>
    <row r="13">
      <c r="A13" s="29" t="n">
        <v>46204.41666666666</v>
      </c>
      <c r="B13" s="29" t="inlineStr">
        <is>
          <t>10:00</t>
        </is>
      </c>
      <c r="C13" s="35">
        <f>INT(A13)</f>
        <v/>
      </c>
      <c r="D13" s="36">
        <f>MONTH(A13)</f>
        <v/>
      </c>
      <c r="E13" s="147" t="inlineStr">
        <is>
          <t>Enerji Fazlası</t>
        </is>
      </c>
      <c r="F13" s="30" t="n">
        <v>2499.67</v>
      </c>
      <c r="G13" s="30" t="n">
        <v>400</v>
      </c>
      <c r="H13" s="30" t="n">
        <v>53.69</v>
      </c>
      <c r="I13" s="30" t="n">
        <v>2435.48</v>
      </c>
      <c r="J13" s="119" t="n">
        <v>0</v>
      </c>
      <c r="K13" s="34">
        <f>F13*J13</f>
        <v/>
      </c>
      <c r="L13" s="119" t="n">
        <v>0</v>
      </c>
      <c r="M13" s="34">
        <f>L13*F13</f>
        <v/>
      </c>
      <c r="N13" s="119" t="n">
        <v>25.3</v>
      </c>
      <c r="O13" s="34">
        <f>F13</f>
        <v/>
      </c>
      <c r="P13" s="34">
        <f>N13*O13</f>
        <v/>
      </c>
      <c r="Q13" s="119" t="n">
        <v>0</v>
      </c>
      <c r="R13" s="34">
        <f>F13</f>
        <v/>
      </c>
      <c r="S13" s="34">
        <f>R13*Q13</f>
        <v/>
      </c>
      <c r="T13" s="34" t="n"/>
      <c r="U13" s="34">
        <f>IFERROR(W13/T13,0)</f>
        <v/>
      </c>
      <c r="V13" s="34">
        <f>IF(U13=0,0,U13-F13)</f>
        <v/>
      </c>
      <c r="W13" s="34" t="n"/>
      <c r="X13" s="34" t="n"/>
      <c r="Y13" s="34">
        <f>IFERROR(AA13/X13,0)</f>
        <v/>
      </c>
      <c r="Z13" s="34">
        <f>IF(Y13=0,0,F13-Y13)</f>
        <v/>
      </c>
      <c r="AA13" s="34" t="n"/>
      <c r="AB13" s="34" t="n">
        <v>0</v>
      </c>
      <c r="AC13" s="34" t="n">
        <v>0</v>
      </c>
      <c r="AD13" s="34">
        <f>IF(AB13&gt;AC13*1.05,AB13-AC13*1.05,IF(AB13&lt;AC13*0.95,AC13*0.95-AB13,0))</f>
        <v/>
      </c>
      <c r="AE13" s="34">
        <f>MAX(F13,G13,750)*0.05*AD13</f>
        <v/>
      </c>
      <c r="AF13" s="34" t="n">
        <v>0</v>
      </c>
      <c r="AG13" s="34">
        <f>IF(AB13&gt;AF13*1.05,AB13-AF13*1.05,IF(AB13&lt;AF13*0.95,AF13*0.95-AB13,0))</f>
        <v/>
      </c>
      <c r="AH13" s="34">
        <f>MAX(I13,J13,750)*0.05*AG13</f>
        <v/>
      </c>
      <c r="AI13" t="n">
        <v>11.31</v>
      </c>
      <c r="AJ13" t="n">
        <v>10</v>
      </c>
      <c r="AK13" s="34">
        <f>IF(AI13&gt;AJ13*1.05,AI13-AJ13*1.05,IF(AI13&lt;AJ13*0.95,AJ13*0.95-AI13,0))</f>
        <v/>
      </c>
      <c r="AL13" s="34">
        <f>MAX(F13,G13,750)*0.05*AK13</f>
        <v/>
      </c>
      <c r="AM13" s="39" t="n">
        <v>10</v>
      </c>
      <c r="AN13" s="34">
        <f>IF(AI13&gt;AM13*1.05,AI13-AM13*1.05,IF(AI13&lt;AM13*0.95,AM13*0.95-AI13,0))</f>
        <v/>
      </c>
      <c r="AO13" s="34">
        <f>MAX(F13,G13,750)*0.05*AN13</f>
        <v/>
      </c>
      <c r="AP13" s="34" t="n">
        <v>14.79</v>
      </c>
      <c r="AQ13" s="34" t="n">
        <v>15.3</v>
      </c>
      <c r="AR13" s="34">
        <f>IF(AP13&gt;AQ13*1.05,AP13-AQ13*1.05,IF(AP13&lt;AQ13*0.95,AQ13*0.95-AP13,0))</f>
        <v/>
      </c>
      <c r="AS13" s="34">
        <f>MAX(F13:G13,750)*0.05*AR13</f>
        <v/>
      </c>
      <c r="AT13" t="n">
        <v>15.3</v>
      </c>
      <c r="AU13" s="34">
        <f>IF(AP13&gt;AT13*1.05,AP13-AT13*1.05,IF(AP13&lt;AT13*0.95,AT13*0.95-AP13,0))</f>
        <v/>
      </c>
      <c r="AV13" s="34">
        <f>MAX(F13:G13,750)*0.05*AU13</f>
        <v/>
      </c>
      <c r="AW13" s="34">
        <f>AC13+AJ13+AQ13</f>
        <v/>
      </c>
      <c r="AX13" s="34">
        <f>AF13+AM13+AT13</f>
        <v/>
      </c>
      <c r="AY13" s="34">
        <f>AB13+AI13+AP13</f>
        <v/>
      </c>
      <c r="AZ13" s="34" t="n">
        <v>0</v>
      </c>
      <c r="BA13" s="34">
        <f>AD13+AK13+AR13</f>
        <v/>
      </c>
      <c r="BB13" s="34">
        <f>MAX(F13:G13,750)*0.05*BA13</f>
        <v/>
      </c>
      <c r="BC13" s="34">
        <f>AG13+AN13+AU13</f>
        <v/>
      </c>
      <c r="BD13" s="34">
        <f>MAX(F13:G13,750)*0.05*BC13</f>
        <v/>
      </c>
      <c r="BE13" s="34">
        <f>F13*AY13</f>
        <v/>
      </c>
      <c r="BF13" s="34">
        <f>K13-M13</f>
        <v/>
      </c>
      <c r="BG13" s="34">
        <f>P13-S13</f>
        <v/>
      </c>
      <c r="BH13" s="34">
        <f>W13-AA13</f>
        <v/>
      </c>
      <c r="BI13" s="34">
        <f>BF13+BG13+BL13-BN13</f>
        <v/>
      </c>
      <c r="BJ13" s="34">
        <f>ABS(BK13)</f>
        <v/>
      </c>
      <c r="BK13" s="34">
        <f>AY13-(J13-L13+N13-Q13)</f>
        <v/>
      </c>
      <c r="BL13" s="34">
        <f>IF(AND(BK13&gt;0,MIN($F13:$G13)&lt;150,$E13="Enerji Açığı"),-100*BK13*1.03,IF(AND(BK13&gt;0,MIN($F13:$G13)&lt;150,$E13="Enerji Fazlası"),-100*BK13*1.06,IF(AND(BK13&gt;0,MIN($F13:$G13)&gt;=150,$E13="Enerji Açığı"),BK13*MIN($F13:$G13)*0.97,IF(AND(BK13&gt;0,MIN($F13:$G13)&gt;=150,$E13="Enerji Fazlası"),BK13*MIN($F13:$G13)*0.94,IF(AND(BK13&lt;0,MAX($F13:$G13)=4500,$E13="Enerji Açığı"),4500*1.05*1.06*BK13,IF(AND(BK13&lt;0,MAX($F13:$G13)=4500,$E13="Enerji Fazlası"),4500*1.05*1.03*BK13,IF(AND(BK13&lt;0,$E13="Enerji Açığı"),MAX($F13,$G13,150)*BK13*1.06,IF(AND(BK13&lt;0,$E13="Enerji Fazlası"),MAX($F13,$G13,150)*BK13*1.03,IF(AND(BK13&lt;0,$E13="Dengede"),MAX($F13:$G13,150)*1.03*BK13,MIN($F13:$G13)*0.97*BK13)))))))))</f>
        <v/>
      </c>
      <c r="BM13" s="34">
        <f>BE13-BI13-BN13</f>
        <v/>
      </c>
      <c r="BN13" s="34">
        <f>BB13</f>
        <v/>
      </c>
      <c r="BO13" s="34">
        <f>BE13-BI13</f>
        <v/>
      </c>
      <c r="BP13" s="34">
        <f>IF(AY13=0,0,BO13/AY13)</f>
        <v/>
      </c>
      <c r="BQ13" s="34">
        <f>MAX((AY13+MAX((-J13+L13-N13+Q13),0)),(MAX((J13-L13+N13-Q13),0)))</f>
        <v/>
      </c>
      <c r="BR13" s="82">
        <f>IFERROR(ABS(BK13/BQ13),0)</f>
        <v/>
      </c>
      <c r="BS13" s="34">
        <f>IF(BR13&lt;=0.1,0,BK13/BR13*(BR13-0.1))</f>
        <v/>
      </c>
      <c r="BT13" s="34">
        <f>IF((BS13)&lt;0,MAX(F13:G13)*(BS13)*1.03,MIN(F13:G13)*(BS13)*0.97)</f>
        <v/>
      </c>
      <c r="BU13" s="34">
        <f>IF(BR13&gt;0.1,1,0)</f>
        <v/>
      </c>
      <c r="BV13" s="34">
        <f>BF13+BG13+BH13+BY13-CA13</f>
        <v/>
      </c>
      <c r="BW13" s="34">
        <f>ABS(BX13)</f>
        <v/>
      </c>
      <c r="BX13" s="34">
        <f>AY13-(J13-L13+N13-Q13+T13-X13)</f>
        <v/>
      </c>
      <c r="BY13" s="34">
        <f>IF(AND(BX13&gt;0,MIN($F13:$G13)&lt;150,$E13="Enerji Açığı"),-100*BX13*1.03,IF(AND(BX13&gt;0,MIN($F13:$G13)&lt;150,$E13="Enerji Fazlası"),-100*BX13*1.06,IF(AND(BX13&gt;0,MIN($F13:$G13)&gt;=150,$E13="Enerji Açığı"),BX13*MIN($F13:$G13)*0.97,IF(AND(BX13&gt;0,MIN($F13:$G13)&gt;=150,$E13="Enerji Fazlası"),BX13*MIN($F13:$G13)*0.94,IF(AND(BX13&lt;0,MAX($F13:$G13)=4500,$E13="Enerji Açığı"),4500*1.05*1.06*BX13,IF(AND(BX13&lt;0,MAX($F13:$G13)=4500,$E13="Enerji Fazlası"),4500*1.05*1.03*BX13,IF(AND(BX13&lt;0,$E13="Enerji Açığı"),MAX($F13,$G13,150)*BX13*1.06,IF(AND(BX13&lt;0,$E13="Enerji Fazlası"),MAX($F13,$G13,150)*BX13*1.03,IF(AND(BX13&lt;0,$E13="Dengede"),MAX($F13:$G13,150)*1.03*BX13,MIN($F13:$G13)*0.97*BX13)))))))))</f>
        <v/>
      </c>
      <c r="BZ13" s="34">
        <f>BE13-BV13-CA13</f>
        <v/>
      </c>
      <c r="CA13" s="34">
        <f>BD13</f>
        <v/>
      </c>
      <c r="CB13" s="33">
        <f>BE13-BV13</f>
        <v/>
      </c>
      <c r="CC13" s="34">
        <f>IF(AY13=0,0,CB13/AY13)</f>
        <v/>
      </c>
      <c r="CD13" s="34">
        <f>MAX((AY13+MAX((-J13+L13-N13+Q13-T13+X13),0)),(MAX((J13-L13+N13-Q13+T13-X13),0)))</f>
        <v/>
      </c>
      <c r="CE13" s="82">
        <f>IFERROR(ABS(BX13/CD13),0)</f>
        <v/>
      </c>
      <c r="CF13" s="34">
        <f>IF(CE13&lt;=0.1,0,BX13/CE13*(CE13-0.1))</f>
        <v/>
      </c>
      <c r="CG13" s="34">
        <f>IF((CF13)&lt;0,MAX(F13:G13)*(CF13)*1.03,MIN(F13:G13)*(CF13)*0.97)</f>
        <v/>
      </c>
      <c r="CH13" s="34">
        <f>IF(CE13&gt;0.1,1,0)</f>
        <v/>
      </c>
      <c r="CI13" s="34">
        <f>(F13*BX13)-BY13</f>
        <v/>
      </c>
      <c r="CJ13" s="34">
        <f>IF(AY13=0,0,CI13/AY13)</f>
        <v/>
      </c>
    </row>
    <row r="14">
      <c r="A14" s="29" t="n">
        <v>46204.45833333334</v>
      </c>
      <c r="B14" s="29" t="inlineStr">
        <is>
          <t>11:00</t>
        </is>
      </c>
      <c r="C14" s="35">
        <f>INT(A14)</f>
        <v/>
      </c>
      <c r="D14" s="36">
        <f>MONTH(A14)</f>
        <v/>
      </c>
      <c r="E14" s="147" t="inlineStr">
        <is>
          <t>Enerji Fazlası</t>
        </is>
      </c>
      <c r="F14" s="30" t="n">
        <v>2429.01</v>
      </c>
      <c r="G14" s="30" t="n">
        <v>500</v>
      </c>
      <c r="H14" s="30" t="n">
        <v>52.17</v>
      </c>
      <c r="I14" s="30" t="n">
        <v>1772.46</v>
      </c>
      <c r="J14" s="119" t="n">
        <v>0</v>
      </c>
      <c r="K14" s="34">
        <f>F14*J14</f>
        <v/>
      </c>
      <c r="L14" s="119" t="n">
        <v>0</v>
      </c>
      <c r="M14" s="34">
        <f>L14*F14</f>
        <v/>
      </c>
      <c r="N14" s="119" t="n">
        <v>25.3</v>
      </c>
      <c r="O14" s="34">
        <f>F14</f>
        <v/>
      </c>
      <c r="P14" s="34">
        <f>N14*O14</f>
        <v/>
      </c>
      <c r="Q14" s="119" t="n">
        <v>0</v>
      </c>
      <c r="R14" s="34">
        <f>F14</f>
        <v/>
      </c>
      <c r="S14" s="34">
        <f>R14*Q14</f>
        <v/>
      </c>
      <c r="T14" s="34" t="n"/>
      <c r="U14" s="34">
        <f>IFERROR(W14/T14,0)</f>
        <v/>
      </c>
      <c r="V14" s="34">
        <f>IF(U14=0,0,U14-F14)</f>
        <v/>
      </c>
      <c r="W14" s="34" t="n"/>
      <c r="X14" s="34" t="n"/>
      <c r="Y14" s="34">
        <f>IFERROR(AA14/X14,0)</f>
        <v/>
      </c>
      <c r="Z14" s="34">
        <f>IF(Y14=0,0,F14-Y14)</f>
        <v/>
      </c>
      <c r="AA14" s="34" t="n"/>
      <c r="AB14" s="34" t="n">
        <v>0</v>
      </c>
      <c r="AC14" s="34" t="n">
        <v>0</v>
      </c>
      <c r="AD14" s="34">
        <f>IF(AB14&gt;AC14*1.05,AB14-AC14*1.05,IF(AB14&lt;AC14*0.95,AC14*0.95-AB14,0))</f>
        <v/>
      </c>
      <c r="AE14" s="34">
        <f>MAX(F14,G14,750)*0.05*AD14</f>
        <v/>
      </c>
      <c r="AF14" s="34" t="n">
        <v>0</v>
      </c>
      <c r="AG14" s="34">
        <f>IF(AB14&gt;AF14*1.05,AB14-AF14*1.05,IF(AB14&lt;AF14*0.95,AF14*0.95-AB14,0))</f>
        <v/>
      </c>
      <c r="AH14" s="34">
        <f>MAX(I14,J14,750)*0.05*AG14</f>
        <v/>
      </c>
      <c r="AI14" t="n">
        <v>10.35</v>
      </c>
      <c r="AJ14" t="n">
        <v>10</v>
      </c>
      <c r="AK14" s="34">
        <f>IF(AI14&gt;AJ14*1.05,AI14-AJ14*1.05,IF(AI14&lt;AJ14*0.95,AJ14*0.95-AI14,0))</f>
        <v/>
      </c>
      <c r="AL14" s="34">
        <f>MAX(F14,G14,750)*0.05*AK14</f>
        <v/>
      </c>
      <c r="AM14" s="39" t="n">
        <v>10</v>
      </c>
      <c r="AN14" s="34">
        <f>IF(AI14&gt;AM14*1.05,AI14-AM14*1.05,IF(AI14&lt;AM14*0.95,AM14*0.95-AI14,0))</f>
        <v/>
      </c>
      <c r="AO14" s="34">
        <f>MAX(F14,G14,750)*0.05*AN14</f>
        <v/>
      </c>
      <c r="AP14" s="34" t="n">
        <v>15.63</v>
      </c>
      <c r="AQ14" s="34" t="n">
        <v>15.3</v>
      </c>
      <c r="AR14" s="34">
        <f>IF(AP14&gt;AQ14*1.05,AP14-AQ14*1.05,IF(AP14&lt;AQ14*0.95,AQ14*0.95-AP14,0))</f>
        <v/>
      </c>
      <c r="AS14" s="34">
        <f>MAX(F14:G14,750)*0.05*AR14</f>
        <v/>
      </c>
      <c r="AT14" t="n">
        <v>15.3</v>
      </c>
      <c r="AU14" s="34">
        <f>IF(AP14&gt;AT14*1.05,AP14-AT14*1.05,IF(AP14&lt;AT14*0.95,AT14*0.95-AP14,0))</f>
        <v/>
      </c>
      <c r="AV14" s="34">
        <f>MAX(F14:G14,750)*0.05*AU14</f>
        <v/>
      </c>
      <c r="AW14" s="34">
        <f>AC14+AJ14+AQ14</f>
        <v/>
      </c>
      <c r="AX14" s="34">
        <f>AF14+AM14+AT14</f>
        <v/>
      </c>
      <c r="AY14" s="34">
        <f>AB14+AI14+AP14</f>
        <v/>
      </c>
      <c r="AZ14" s="34" t="n">
        <v>0</v>
      </c>
      <c r="BA14" s="34">
        <f>AD14+AK14+AR14</f>
        <v/>
      </c>
      <c r="BB14" s="34">
        <f>MAX(F14:G14,750)*0.05*BA14</f>
        <v/>
      </c>
      <c r="BC14" s="34">
        <f>AG14+AN14+AU14</f>
        <v/>
      </c>
      <c r="BD14" s="34">
        <f>MAX(F14:G14,750)*0.05*BC14</f>
        <v/>
      </c>
      <c r="BE14" s="34">
        <f>F14*AY14</f>
        <v/>
      </c>
      <c r="BF14" s="34">
        <f>K14-M14</f>
        <v/>
      </c>
      <c r="BG14" s="34">
        <f>P14-S14</f>
        <v/>
      </c>
      <c r="BH14" s="34">
        <f>W14-AA14</f>
        <v/>
      </c>
      <c r="BI14" s="34">
        <f>BF14+BG14+BL14-BN14</f>
        <v/>
      </c>
      <c r="BJ14" s="34">
        <f>ABS(BK14)</f>
        <v/>
      </c>
      <c r="BK14" s="34">
        <f>AY14-(J14-L14+N14-Q14)</f>
        <v/>
      </c>
      <c r="BL14" s="34">
        <f>IF(AND(BK14&gt;0,MIN($F14:$G14)&lt;150,$E14="Enerji Açığı"),-100*BK14*1.03,IF(AND(BK14&gt;0,MIN($F14:$G14)&lt;150,$E14="Enerji Fazlası"),-100*BK14*1.06,IF(AND(BK14&gt;0,MIN($F14:$G14)&gt;=150,$E14="Enerji Açığı"),BK14*MIN($F14:$G14)*0.97,IF(AND(BK14&gt;0,MIN($F14:$G14)&gt;=150,$E14="Enerji Fazlası"),BK14*MIN($F14:$G14)*0.94,IF(AND(BK14&lt;0,MAX($F14:$G14)=4500,$E14="Enerji Açığı"),4500*1.05*1.06*BK14,IF(AND(BK14&lt;0,MAX($F14:$G14)=4500,$E14="Enerji Fazlası"),4500*1.05*1.03*BK14,IF(AND(BK14&lt;0,$E14="Enerji Açığı"),MAX($F14,$G14,150)*BK14*1.06,IF(AND(BK14&lt;0,$E14="Enerji Fazlası"),MAX($F14,$G14,150)*BK14*1.03,IF(AND(BK14&lt;0,$E14="Dengede"),MAX($F14:$G14,150)*1.03*BK14,MIN($F14:$G14)*0.97*BK14)))))))))</f>
        <v/>
      </c>
      <c r="BM14" s="34">
        <f>BE14-BI14-BN14</f>
        <v/>
      </c>
      <c r="BN14" s="34">
        <f>BB14</f>
        <v/>
      </c>
      <c r="BO14" s="34">
        <f>BE14-BI14</f>
        <v/>
      </c>
      <c r="BP14" s="34">
        <f>IF(AY14=0,0,BO14/AY14)</f>
        <v/>
      </c>
      <c r="BQ14" s="34">
        <f>MAX((AY14+MAX((-J14+L14-N14+Q14),0)),(MAX((J14-L14+N14-Q14),0)))</f>
        <v/>
      </c>
      <c r="BR14" s="82">
        <f>IFERROR(ABS(BK14/BQ14),0)</f>
        <v/>
      </c>
      <c r="BS14" s="34">
        <f>IF(BR14&lt;=0.1,0,BK14/BR14*(BR14-0.1))</f>
        <v/>
      </c>
      <c r="BT14" s="34">
        <f>IF((BS14)&lt;0,MAX(F14:G14)*(BS14)*1.03,MIN(F14:G14)*(BS14)*0.97)</f>
        <v/>
      </c>
      <c r="BU14" s="34">
        <f>IF(BR14&gt;0.1,1,0)</f>
        <v/>
      </c>
      <c r="BV14" s="34">
        <f>BF14+BG14+BH14+BY14-CA14</f>
        <v/>
      </c>
      <c r="BW14" s="34">
        <f>ABS(BX14)</f>
        <v/>
      </c>
      <c r="BX14" s="34">
        <f>AY14-(J14-L14+N14-Q14+T14-X14)</f>
        <v/>
      </c>
      <c r="BY14" s="34">
        <f>IF(AND(BX14&gt;0,MIN($F14:$G14)&lt;150,$E14="Enerji Açığı"),-100*BX14*1.03,IF(AND(BX14&gt;0,MIN($F14:$G14)&lt;150,$E14="Enerji Fazlası"),-100*BX14*1.06,IF(AND(BX14&gt;0,MIN($F14:$G14)&gt;=150,$E14="Enerji Açığı"),BX14*MIN($F14:$G14)*0.97,IF(AND(BX14&gt;0,MIN($F14:$G14)&gt;=150,$E14="Enerji Fazlası"),BX14*MIN($F14:$G14)*0.94,IF(AND(BX14&lt;0,MAX($F14:$G14)=4500,$E14="Enerji Açığı"),4500*1.05*1.06*BX14,IF(AND(BX14&lt;0,MAX($F14:$G14)=4500,$E14="Enerji Fazlası"),4500*1.05*1.03*BX14,IF(AND(BX14&lt;0,$E14="Enerji Açığı"),MAX($F14,$G14,150)*BX14*1.06,IF(AND(BX14&lt;0,$E14="Enerji Fazlası"),MAX($F14,$G14,150)*BX14*1.03,IF(AND(BX14&lt;0,$E14="Dengede"),MAX($F14:$G14,150)*1.03*BX14,MIN($F14:$G14)*0.97*BX14)))))))))</f>
        <v/>
      </c>
      <c r="BZ14" s="34">
        <f>BE14-BV14-CA14</f>
        <v/>
      </c>
      <c r="CA14" s="34">
        <f>BD14</f>
        <v/>
      </c>
      <c r="CB14" s="33">
        <f>BE14-BV14</f>
        <v/>
      </c>
      <c r="CC14" s="34">
        <f>IF(AY14=0,0,CB14/AY14)</f>
        <v/>
      </c>
      <c r="CD14" s="34">
        <f>MAX((AY14+MAX((-J14+L14-N14+Q14-T14+X14),0)),(MAX((J14-L14+N14-Q14+T14-X14),0)))</f>
        <v/>
      </c>
      <c r="CE14" s="82">
        <f>IFERROR(ABS(BX14/CD14),0)</f>
        <v/>
      </c>
      <c r="CF14" s="34">
        <f>IF(CE14&lt;=0.1,0,BX14/CE14*(CE14-0.1))</f>
        <v/>
      </c>
      <c r="CG14" s="34">
        <f>IF((CF14)&lt;0,MAX(F14:G14)*(CF14)*1.03,MIN(F14:G14)*(CF14)*0.97)</f>
        <v/>
      </c>
      <c r="CH14" s="34">
        <f>IF(CE14&gt;0.1,1,0)</f>
        <v/>
      </c>
      <c r="CI14" s="34">
        <f>(F14*BX14)-BY14</f>
        <v/>
      </c>
      <c r="CJ14" s="34">
        <f>IF(AY14=0,0,CI14/AY14)</f>
        <v/>
      </c>
    </row>
    <row r="15">
      <c r="A15" s="29" t="n">
        <v>46204.5</v>
      </c>
      <c r="B15" s="29" t="inlineStr">
        <is>
          <t>12:00</t>
        </is>
      </c>
      <c r="C15" s="35">
        <f>INT(A15)</f>
        <v/>
      </c>
      <c r="D15" s="36">
        <f>MONTH(A15)</f>
        <v/>
      </c>
      <c r="E15" s="147" t="inlineStr">
        <is>
          <t>Enerji Fazlası</t>
        </is>
      </c>
      <c r="F15" s="30" t="n">
        <v>1499.97</v>
      </c>
      <c r="G15" s="30" t="n">
        <v>450</v>
      </c>
      <c r="H15" s="30" t="n">
        <v>32.22</v>
      </c>
      <c r="I15" s="30" t="n">
        <v>1164.53</v>
      </c>
      <c r="J15" s="119" t="n">
        <v>0</v>
      </c>
      <c r="K15" s="34">
        <f>F15*J15</f>
        <v/>
      </c>
      <c r="L15" s="119" t="n">
        <v>0</v>
      </c>
      <c r="M15" s="34">
        <f>L15*F15</f>
        <v/>
      </c>
      <c r="N15" s="119" t="n">
        <v>25.5</v>
      </c>
      <c r="O15" s="34">
        <f>F15</f>
        <v/>
      </c>
      <c r="P15" s="34">
        <f>N15*O15</f>
        <v/>
      </c>
      <c r="Q15" s="119" t="n">
        <v>0</v>
      </c>
      <c r="R15" s="34">
        <f>F15</f>
        <v/>
      </c>
      <c r="S15" s="34">
        <f>R15*Q15</f>
        <v/>
      </c>
      <c r="T15" s="34" t="n"/>
      <c r="U15" s="34">
        <f>IFERROR(W15/T15,0)</f>
        <v/>
      </c>
      <c r="V15" s="34">
        <f>IF(U15=0,0,U15-F15)</f>
        <v/>
      </c>
      <c r="W15" s="34" t="n"/>
      <c r="X15" s="34" t="n"/>
      <c r="Y15" s="34">
        <f>IFERROR(AA15/X15,0)</f>
        <v/>
      </c>
      <c r="Z15" s="34">
        <f>IF(Y15=0,0,F15-Y15)</f>
        <v/>
      </c>
      <c r="AA15" s="34" t="n"/>
      <c r="AB15" s="34" t="n">
        <v>0</v>
      </c>
      <c r="AC15" s="34" t="n">
        <v>0</v>
      </c>
      <c r="AD15" s="34">
        <f>IF(AB15&gt;AC15*1.05,AB15-AC15*1.05,IF(AB15&lt;AC15*0.95,AC15*0.95-AB15,0))</f>
        <v/>
      </c>
      <c r="AE15" s="34">
        <f>MAX(F15,G15,750)*0.05*AD15</f>
        <v/>
      </c>
      <c r="AF15" s="34" t="n">
        <v>0</v>
      </c>
      <c r="AG15" s="34">
        <f>IF(AB15&gt;AF15*1.05,AB15-AF15*1.05,IF(AB15&lt;AF15*0.95,AF15*0.95-AB15,0))</f>
        <v/>
      </c>
      <c r="AH15" s="34">
        <f>MAX(I15,J15,750)*0.05*AG15</f>
        <v/>
      </c>
      <c r="AI15" t="n">
        <v>10.41</v>
      </c>
      <c r="AJ15" t="n">
        <v>10</v>
      </c>
      <c r="AK15" s="34">
        <f>IF(AI15&gt;AJ15*1.05,AI15-AJ15*1.05,IF(AI15&lt;AJ15*0.95,AJ15*0.95-AI15,0))</f>
        <v/>
      </c>
      <c r="AL15" s="34">
        <f>MAX(F15,G15,750)*0.05*AK15</f>
        <v/>
      </c>
      <c r="AM15" s="39" t="n">
        <v>10</v>
      </c>
      <c r="AN15" s="34">
        <f>IF(AI15&gt;AM15*1.05,AI15-AM15*1.05,IF(AI15&lt;AM15*0.95,AM15*0.95-AI15,0))</f>
        <v/>
      </c>
      <c r="AO15" s="34">
        <f>MAX(F15,G15,750)*0.05*AN15</f>
        <v/>
      </c>
      <c r="AP15" s="34" t="n">
        <v>15.73</v>
      </c>
      <c r="AQ15" s="34" t="n">
        <v>15.5</v>
      </c>
      <c r="AR15" s="34">
        <f>IF(AP15&gt;AQ15*1.05,AP15-AQ15*1.05,IF(AP15&lt;AQ15*0.95,AQ15*0.95-AP15,0))</f>
        <v/>
      </c>
      <c r="AS15" s="34">
        <f>MAX(F15:G15,750)*0.05*AR15</f>
        <v/>
      </c>
      <c r="AT15" t="n">
        <v>15.5</v>
      </c>
      <c r="AU15" s="34">
        <f>IF(AP15&gt;AT15*1.05,AP15-AT15*1.05,IF(AP15&lt;AT15*0.95,AT15*0.95-AP15,0))</f>
        <v/>
      </c>
      <c r="AV15" s="34">
        <f>MAX(F15:G15,750)*0.05*AU15</f>
        <v/>
      </c>
      <c r="AW15" s="34">
        <f>AC15+AJ15+AQ15</f>
        <v/>
      </c>
      <c r="AX15" s="34">
        <f>AF15+AM15+AT15</f>
        <v/>
      </c>
      <c r="AY15" s="34">
        <f>AB15+AI15+AP15</f>
        <v/>
      </c>
      <c r="AZ15" s="34" t="n">
        <v>0</v>
      </c>
      <c r="BA15" s="34">
        <f>AD15+AK15+AR15</f>
        <v/>
      </c>
      <c r="BB15" s="34">
        <f>MAX(F15:G15,750)*0.05*BA15</f>
        <v/>
      </c>
      <c r="BC15" s="34">
        <f>AG15+AN15+AU15</f>
        <v/>
      </c>
      <c r="BD15" s="34">
        <f>MAX(F15:G15,750)*0.05*BC15</f>
        <v/>
      </c>
      <c r="BE15" s="34">
        <f>F15*AY15</f>
        <v/>
      </c>
      <c r="BF15" s="34">
        <f>K15-M15</f>
        <v/>
      </c>
      <c r="BG15" s="34">
        <f>P15-S15</f>
        <v/>
      </c>
      <c r="BH15" s="34">
        <f>W15-AA15</f>
        <v/>
      </c>
      <c r="BI15" s="34">
        <f>BF15+BG15+BL15-BN15</f>
        <v/>
      </c>
      <c r="BJ15" s="34">
        <f>ABS(BK15)</f>
        <v/>
      </c>
      <c r="BK15" s="34">
        <f>AY15-(J15-L15+N15-Q15)</f>
        <v/>
      </c>
      <c r="BL15" s="34">
        <f>IF(AND(BK15&gt;0,MIN($F15:$G15)&lt;150,$E15="Enerji Açığı"),-100*BK15*1.03,IF(AND(BK15&gt;0,MIN($F15:$G15)&lt;150,$E15="Enerji Fazlası"),-100*BK15*1.06,IF(AND(BK15&gt;0,MIN($F15:$G15)&gt;=150,$E15="Enerji Açığı"),BK15*MIN($F15:$G15)*0.97,IF(AND(BK15&gt;0,MIN($F15:$G15)&gt;=150,$E15="Enerji Fazlası"),BK15*MIN($F15:$G15)*0.94,IF(AND(BK15&lt;0,MAX($F15:$G15)=4500,$E15="Enerji Açığı"),4500*1.05*1.06*BK15,IF(AND(BK15&lt;0,MAX($F15:$G15)=4500,$E15="Enerji Fazlası"),4500*1.05*1.03*BK15,IF(AND(BK15&lt;0,$E15="Enerji Açığı"),MAX($F15,$G15,150)*BK15*1.06,IF(AND(BK15&lt;0,$E15="Enerji Fazlası"),MAX($F15,$G15,150)*BK15*1.03,IF(AND(BK15&lt;0,$E15="Dengede"),MAX($F15:$G15,150)*1.03*BK15,MIN($F15:$G15)*0.97*BK15)))))))))</f>
        <v/>
      </c>
      <c r="BM15" s="34">
        <f>BE15-BI15-BN15</f>
        <v/>
      </c>
      <c r="BN15" s="34">
        <f>BB15</f>
        <v/>
      </c>
      <c r="BO15" s="34">
        <f>BE15-BI15</f>
        <v/>
      </c>
      <c r="BP15" s="34">
        <f>IF(AY15=0,0,BO15/AY15)</f>
        <v/>
      </c>
      <c r="BQ15" s="34">
        <f>MAX((AY15+MAX((-J15+L15-N15+Q15),0)),(MAX((J15-L15+N15-Q15),0)))</f>
        <v/>
      </c>
      <c r="BR15" s="82">
        <f>IFERROR(ABS(BK15/BQ15),0)</f>
        <v/>
      </c>
      <c r="BS15" s="34">
        <f>IF(BR15&lt;=0.1,0,BK15/BR15*(BR15-0.1))</f>
        <v/>
      </c>
      <c r="BT15" s="34">
        <f>IF((BS15)&lt;0,MAX(F15:G15)*(BS15)*1.03,MIN(F15:G15)*(BS15)*0.97)</f>
        <v/>
      </c>
      <c r="BU15" s="34">
        <f>IF(BR15&gt;0.1,1,0)</f>
        <v/>
      </c>
      <c r="BV15" s="34">
        <f>BF15+BG15+BH15+BY15-CA15</f>
        <v/>
      </c>
      <c r="BW15" s="34">
        <f>ABS(BX15)</f>
        <v/>
      </c>
      <c r="BX15" s="34">
        <f>AY15-(J15-L15+N15-Q15+T15-X15)</f>
        <v/>
      </c>
      <c r="BY15" s="34">
        <f>IF(AND(BX15&gt;0,MIN($F15:$G15)&lt;150,$E15="Enerji Açığı"),-100*BX15*1.03,IF(AND(BX15&gt;0,MIN($F15:$G15)&lt;150,$E15="Enerji Fazlası"),-100*BX15*1.06,IF(AND(BX15&gt;0,MIN($F15:$G15)&gt;=150,$E15="Enerji Açığı"),BX15*MIN($F15:$G15)*0.97,IF(AND(BX15&gt;0,MIN($F15:$G15)&gt;=150,$E15="Enerji Fazlası"),BX15*MIN($F15:$G15)*0.94,IF(AND(BX15&lt;0,MAX($F15:$G15)=4500,$E15="Enerji Açığı"),4500*1.05*1.06*BX15,IF(AND(BX15&lt;0,MAX($F15:$G15)=4500,$E15="Enerji Fazlası"),4500*1.05*1.03*BX15,IF(AND(BX15&lt;0,$E15="Enerji Açığı"),MAX($F15,$G15,150)*BX15*1.06,IF(AND(BX15&lt;0,$E15="Enerji Fazlası"),MAX($F15,$G15,150)*BX15*1.03,IF(AND(BX15&lt;0,$E15="Dengede"),MAX($F15:$G15,150)*1.03*BX15,MIN($F15:$G15)*0.97*BX15)))))))))</f>
        <v/>
      </c>
      <c r="BZ15" s="34">
        <f>BE15-BV15-CA15</f>
        <v/>
      </c>
      <c r="CA15" s="34">
        <f>BD15</f>
        <v/>
      </c>
      <c r="CB15" s="33">
        <f>BE15-BV15</f>
        <v/>
      </c>
      <c r="CC15" s="34">
        <f>IF(AY15=0,0,CB15/AY15)</f>
        <v/>
      </c>
      <c r="CD15" s="34">
        <f>MAX((AY15+MAX((-J15+L15-N15+Q15-T15+X15),0)),(MAX((J15-L15+N15-Q15+T15-X15),0)))</f>
        <v/>
      </c>
      <c r="CE15" s="82">
        <f>IFERROR(ABS(BX15/CD15),0)</f>
        <v/>
      </c>
      <c r="CF15" s="34">
        <f>IF(CE15&lt;=0.1,0,BX15/CE15*(CE15-0.1))</f>
        <v/>
      </c>
      <c r="CG15" s="34">
        <f>IF((CF15)&lt;0,MAX(F15:G15)*(CF15)*1.03,MIN(F15:G15)*(CF15)*0.97)</f>
        <v/>
      </c>
      <c r="CH15" s="34">
        <f>IF(CE15&gt;0.1,1,0)</f>
        <v/>
      </c>
      <c r="CI15" s="34">
        <f>(F15*BX15)-BY15</f>
        <v/>
      </c>
      <c r="CJ15" s="34">
        <f>IF(AY15=0,0,CI15/AY15)</f>
        <v/>
      </c>
    </row>
    <row r="16">
      <c r="A16" s="29" t="n">
        <v>46204.54166666666</v>
      </c>
      <c r="B16" s="29" t="inlineStr">
        <is>
          <t>13:00</t>
        </is>
      </c>
      <c r="C16" s="35">
        <f>INT(A16)</f>
        <v/>
      </c>
      <c r="D16" s="36">
        <f>MONTH(A16)</f>
        <v/>
      </c>
      <c r="E16" s="147" t="inlineStr">
        <is>
          <t>Enerji Fazlası</t>
        </is>
      </c>
      <c r="F16" s="30" t="n">
        <v>2429.01</v>
      </c>
      <c r="G16" s="30" t="n">
        <v>400</v>
      </c>
      <c r="H16" s="30" t="n">
        <v>52.17</v>
      </c>
      <c r="I16" s="30" t="n">
        <v>2194.48</v>
      </c>
      <c r="J16" s="119" t="n">
        <v>0</v>
      </c>
      <c r="K16" s="34">
        <f>F16*J16</f>
        <v/>
      </c>
      <c r="L16" s="119" t="n">
        <v>0</v>
      </c>
      <c r="M16" s="34">
        <f>L16*F16</f>
        <v/>
      </c>
      <c r="N16" s="119" t="n">
        <v>25.5</v>
      </c>
      <c r="O16" s="34">
        <f>F16</f>
        <v/>
      </c>
      <c r="P16" s="34">
        <f>N16*O16</f>
        <v/>
      </c>
      <c r="Q16" s="119" t="n">
        <v>0</v>
      </c>
      <c r="R16" s="34">
        <f>F16</f>
        <v/>
      </c>
      <c r="S16" s="34">
        <f>R16*Q16</f>
        <v/>
      </c>
      <c r="T16" s="34" t="n"/>
      <c r="U16" s="34">
        <f>IFERROR(W16/T16,0)</f>
        <v/>
      </c>
      <c r="V16" s="34">
        <f>IF(U16=0,0,U16-F16)</f>
        <v/>
      </c>
      <c r="W16" s="34" t="n"/>
      <c r="X16" s="34" t="n"/>
      <c r="Y16" s="34">
        <f>IFERROR(AA16/X16,0)</f>
        <v/>
      </c>
      <c r="Z16" s="34">
        <f>IF(Y16=0,0,F16-Y16)</f>
        <v/>
      </c>
      <c r="AA16" s="34" t="n"/>
      <c r="AB16" s="34" t="n">
        <v>0</v>
      </c>
      <c r="AC16" s="34" t="n">
        <v>0</v>
      </c>
      <c r="AD16" s="34">
        <f>IF(AB16&gt;AC16*1.05,AB16-AC16*1.05,IF(AB16&lt;AC16*0.95,AC16*0.95-AB16,0))</f>
        <v/>
      </c>
      <c r="AE16" s="34">
        <f>MAX(F16,G16,750)*0.05*AD16</f>
        <v/>
      </c>
      <c r="AF16" s="34" t="n">
        <v>0</v>
      </c>
      <c r="AG16" s="34">
        <f>IF(AB16&gt;AF16*1.05,AB16-AF16*1.05,IF(AB16&lt;AF16*0.95,AF16*0.95-AB16,0))</f>
        <v/>
      </c>
      <c r="AH16" s="34">
        <f>MAX(I16,J16,750)*0.05*AG16</f>
        <v/>
      </c>
      <c r="AI16" t="n">
        <v>12.2</v>
      </c>
      <c r="AJ16" t="n">
        <v>10</v>
      </c>
      <c r="AK16" s="34">
        <f>IF(AI16&gt;AJ16*1.05,AI16-AJ16*1.05,IF(AI16&lt;AJ16*0.95,AJ16*0.95-AI16,0))</f>
        <v/>
      </c>
      <c r="AL16" s="34">
        <f>MAX(F16,G16,750)*0.05*AK16</f>
        <v/>
      </c>
      <c r="AM16" s="39" t="n">
        <v>12</v>
      </c>
      <c r="AN16" s="34">
        <f>IF(AI16&gt;AM16*1.05,AI16-AM16*1.05,IF(AI16&lt;AM16*0.95,AM16*0.95-AI16,0))</f>
        <v/>
      </c>
      <c r="AO16" s="34">
        <f>MAX(F16,G16,750)*0.05*AN16</f>
        <v/>
      </c>
      <c r="AP16" s="34" t="n">
        <v>15.76</v>
      </c>
      <c r="AQ16" s="34" t="n">
        <v>15.5</v>
      </c>
      <c r="AR16" s="34">
        <f>IF(AP16&gt;AQ16*1.05,AP16-AQ16*1.05,IF(AP16&lt;AQ16*0.95,AQ16*0.95-AP16,0))</f>
        <v/>
      </c>
      <c r="AS16" s="34">
        <f>MAX(F16:G16,750)*0.05*AR16</f>
        <v/>
      </c>
      <c r="AT16" t="n">
        <v>15.5</v>
      </c>
      <c r="AU16" s="34">
        <f>IF(AP16&gt;AT16*1.05,AP16-AT16*1.05,IF(AP16&lt;AT16*0.95,AT16*0.95-AP16,0))</f>
        <v/>
      </c>
      <c r="AV16" s="34">
        <f>MAX(F16:G16,750)*0.05*AU16</f>
        <v/>
      </c>
      <c r="AW16" s="34">
        <f>AC16+AJ16+AQ16</f>
        <v/>
      </c>
      <c r="AX16" s="34">
        <f>AF16+AM16+AT16</f>
        <v/>
      </c>
      <c r="AY16" s="34">
        <f>AB16+AI16+AP16</f>
        <v/>
      </c>
      <c r="AZ16" s="34" t="n">
        <v>0</v>
      </c>
      <c r="BA16" s="34">
        <f>AD16+AK16+AR16</f>
        <v/>
      </c>
      <c r="BB16" s="34">
        <f>MAX(F16:G16,750)*0.05*BA16</f>
        <v/>
      </c>
      <c r="BC16" s="34">
        <f>AG16+AN16+AU16</f>
        <v/>
      </c>
      <c r="BD16" s="34">
        <f>MAX(F16:G16,750)*0.05*BC16</f>
        <v/>
      </c>
      <c r="BE16" s="34">
        <f>F16*AY16</f>
        <v/>
      </c>
      <c r="BF16" s="34">
        <f>K16-M16</f>
        <v/>
      </c>
      <c r="BG16" s="34">
        <f>P16-S16</f>
        <v/>
      </c>
      <c r="BH16" s="34">
        <f>W16-AA16</f>
        <v/>
      </c>
      <c r="BI16" s="34">
        <f>BF16+BG16+BL16-BN16</f>
        <v/>
      </c>
      <c r="BJ16" s="34">
        <f>ABS(BK16)</f>
        <v/>
      </c>
      <c r="BK16" s="34">
        <f>AY16-(J16-L16+N16-Q16)</f>
        <v/>
      </c>
      <c r="BL16" s="34">
        <f>IF(AND(BK16&gt;0,MIN($F16:$G16)&lt;150,$E16="Enerji Açığı"),-100*BK16*1.03,IF(AND(BK16&gt;0,MIN($F16:$G16)&lt;150,$E16="Enerji Fazlası"),-100*BK16*1.06,IF(AND(BK16&gt;0,MIN($F16:$G16)&gt;=150,$E16="Enerji Açığı"),BK16*MIN($F16:$G16)*0.97,IF(AND(BK16&gt;0,MIN($F16:$G16)&gt;=150,$E16="Enerji Fazlası"),BK16*MIN($F16:$G16)*0.94,IF(AND(BK16&lt;0,MAX($F16:$G16)=4500,$E16="Enerji Açığı"),4500*1.05*1.06*BK16,IF(AND(BK16&lt;0,MAX($F16:$G16)=4500,$E16="Enerji Fazlası"),4500*1.05*1.03*BK16,IF(AND(BK16&lt;0,$E16="Enerji Açığı"),MAX($F16,$G16,150)*BK16*1.06,IF(AND(BK16&lt;0,$E16="Enerji Fazlası"),MAX($F16,$G16,150)*BK16*1.03,IF(AND(BK16&lt;0,$E16="Dengede"),MAX($F16:$G16,150)*1.03*BK16,MIN($F16:$G16)*0.97*BK16)))))))))</f>
        <v/>
      </c>
      <c r="BM16" s="34">
        <f>BE16-BI16-BN16</f>
        <v/>
      </c>
      <c r="BN16" s="34">
        <f>BB16</f>
        <v/>
      </c>
      <c r="BO16" s="34">
        <f>BE16-BI16</f>
        <v/>
      </c>
      <c r="BP16" s="34">
        <f>IF(AY16=0,0,BO16/AY16)</f>
        <v/>
      </c>
      <c r="BQ16" s="34">
        <f>MAX((AY16+MAX((-J16+L16-N16+Q16),0)),(MAX((J16-L16+N16-Q16),0)))</f>
        <v/>
      </c>
      <c r="BR16" s="82">
        <f>IFERROR(ABS(BK16/BQ16),0)</f>
        <v/>
      </c>
      <c r="BS16" s="34">
        <f>IF(BR16&lt;=0.1,0,BK16/BR16*(BR16-0.1))</f>
        <v/>
      </c>
      <c r="BT16" s="34">
        <f>IF((BS16)&lt;0,MAX(F16:G16)*(BS16)*1.03,MIN(F16:G16)*(BS16)*0.97)</f>
        <v/>
      </c>
      <c r="BU16" s="34">
        <f>IF(BR16&gt;0.1,1,0)</f>
        <v/>
      </c>
      <c r="BV16" s="34">
        <f>BF16+BG16+BH16+BY16-CA16</f>
        <v/>
      </c>
      <c r="BW16" s="34">
        <f>ABS(BX16)</f>
        <v/>
      </c>
      <c r="BX16" s="34">
        <f>AY16-(J16-L16+N16-Q16+T16-X16)</f>
        <v/>
      </c>
      <c r="BY16" s="34">
        <f>IF(AND(BX16&gt;0,MIN($F16:$G16)&lt;150,$E16="Enerji Açığı"),-100*BX16*1.03,IF(AND(BX16&gt;0,MIN($F16:$G16)&lt;150,$E16="Enerji Fazlası"),-100*BX16*1.06,IF(AND(BX16&gt;0,MIN($F16:$G16)&gt;=150,$E16="Enerji Açığı"),BX16*MIN($F16:$G16)*0.97,IF(AND(BX16&gt;0,MIN($F16:$G16)&gt;=150,$E16="Enerji Fazlası"),BX16*MIN($F16:$G16)*0.94,IF(AND(BX16&lt;0,MAX($F16:$G16)=4500,$E16="Enerji Açığı"),4500*1.05*1.06*BX16,IF(AND(BX16&lt;0,MAX($F16:$G16)=4500,$E16="Enerji Fazlası"),4500*1.05*1.03*BX16,IF(AND(BX16&lt;0,$E16="Enerji Açığı"),MAX($F16,$G16,150)*BX16*1.06,IF(AND(BX16&lt;0,$E16="Enerji Fazlası"),MAX($F16,$G16,150)*BX16*1.03,IF(AND(BX16&lt;0,$E16="Dengede"),MAX($F16:$G16,150)*1.03*BX16,MIN($F16:$G16)*0.97*BX16)))))))))</f>
        <v/>
      </c>
      <c r="BZ16" s="34">
        <f>BE16-BV16-CA16</f>
        <v/>
      </c>
      <c r="CA16" s="34">
        <f>BD16</f>
        <v/>
      </c>
      <c r="CB16" s="33">
        <f>BE16-BV16</f>
        <v/>
      </c>
      <c r="CC16" s="34">
        <f>IF(AY16=0,0,CB16/AY16)</f>
        <v/>
      </c>
      <c r="CD16" s="34">
        <f>MAX((AY16+MAX((-J16+L16-N16+Q16-T16+X16),0)),(MAX((J16-L16+N16-Q16+T16-X16),0)))</f>
        <v/>
      </c>
      <c r="CE16" s="82">
        <f>IFERROR(ABS(BX16/CD16),0)</f>
        <v/>
      </c>
      <c r="CF16" s="34">
        <f>IF(CE16&lt;=0.1,0,BX16/CE16*(CE16-0.1))</f>
        <v/>
      </c>
      <c r="CG16" s="34">
        <f>IF((CF16)&lt;0,MAX(F16:G16)*(CF16)*1.03,MIN(F16:G16)*(CF16)*0.97)</f>
        <v/>
      </c>
      <c r="CH16" s="34">
        <f>IF(CE16&gt;0.1,1,0)</f>
        <v/>
      </c>
      <c r="CI16" s="34">
        <f>(F16*BX16)-BY16</f>
        <v/>
      </c>
      <c r="CJ16" s="34">
        <f>IF(AY16=0,0,CI16/AY16)</f>
        <v/>
      </c>
    </row>
    <row r="17">
      <c r="A17" s="29" t="n">
        <v>46204.58333333334</v>
      </c>
      <c r="B17" s="29" t="inlineStr">
        <is>
          <t>14:00</t>
        </is>
      </c>
      <c r="C17" s="35">
        <f>INT(A17)</f>
        <v/>
      </c>
      <c r="D17" s="36">
        <f>MONTH(A17)</f>
        <v/>
      </c>
      <c r="E17" s="147" t="inlineStr">
        <is>
          <t>Enerji Fazlası</t>
        </is>
      </c>
      <c r="F17" s="30" t="n">
        <v>3500.89</v>
      </c>
      <c r="G17" s="30" t="n">
        <v>1000</v>
      </c>
      <c r="H17" s="30" t="n">
        <v>75.2</v>
      </c>
      <c r="I17" s="30" t="n">
        <v>3422.99</v>
      </c>
      <c r="J17" s="119" t="n">
        <v>0</v>
      </c>
      <c r="K17" s="34">
        <f>F17*J17</f>
        <v/>
      </c>
      <c r="L17" s="119" t="n">
        <v>0</v>
      </c>
      <c r="M17" s="34">
        <f>L17*F17</f>
        <v/>
      </c>
      <c r="N17" s="119" t="n">
        <v>25.5</v>
      </c>
      <c r="O17" s="34">
        <f>F17</f>
        <v/>
      </c>
      <c r="P17" s="34">
        <f>N17*O17</f>
        <v/>
      </c>
      <c r="Q17" s="119" t="n">
        <v>0</v>
      </c>
      <c r="R17" s="34">
        <f>F17</f>
        <v/>
      </c>
      <c r="S17" s="34">
        <f>R17*Q17</f>
        <v/>
      </c>
      <c r="T17" s="34" t="n"/>
      <c r="U17" s="34">
        <f>IFERROR(W17/T17,0)</f>
        <v/>
      </c>
      <c r="V17" s="34">
        <f>IF(U17=0,0,U17-F17)</f>
        <v/>
      </c>
      <c r="W17" s="34" t="n"/>
      <c r="X17" s="34" t="n"/>
      <c r="Y17" s="34">
        <f>IFERROR(AA17/X17,0)</f>
        <v/>
      </c>
      <c r="Z17" s="34">
        <f>IF(Y17=0,0,F17-Y17)</f>
        <v/>
      </c>
      <c r="AA17" s="34" t="n"/>
      <c r="AB17" s="34" t="n">
        <v>0</v>
      </c>
      <c r="AC17" s="34" t="n">
        <v>0</v>
      </c>
      <c r="AD17" s="34">
        <f>IF(AB17&gt;AC17*1.05,AB17-AC17*1.05,IF(AB17&lt;AC17*0.95,AC17*0.95-AB17,0))</f>
        <v/>
      </c>
      <c r="AE17" s="34">
        <f>MAX(F17,G17,750)*0.05*AD17</f>
        <v/>
      </c>
      <c r="AF17" s="34" t="n">
        <v>0</v>
      </c>
      <c r="AG17" s="34">
        <f>IF(AB17&gt;AF17*1.05,AB17-AF17*1.05,IF(AB17&lt;AF17*0.95,AF17*0.95-AB17,0))</f>
        <v/>
      </c>
      <c r="AH17" s="34">
        <f>MAX(I17,J17,750)*0.05*AG17</f>
        <v/>
      </c>
      <c r="AI17" t="n">
        <v>13.22</v>
      </c>
      <c r="AJ17" t="n">
        <v>10</v>
      </c>
      <c r="AK17" s="34">
        <f>IF(AI17&gt;AJ17*1.05,AI17-AJ17*1.05,IF(AI17&lt;AJ17*0.95,AJ17*0.95-AI17,0))</f>
        <v/>
      </c>
      <c r="AL17" s="34">
        <f>MAX(F17,G17,750)*0.05*AK17</f>
        <v/>
      </c>
      <c r="AM17" s="39" t="n">
        <v>13</v>
      </c>
      <c r="AN17" s="34">
        <f>IF(AI17&gt;AM17*1.05,AI17-AM17*1.05,IF(AI17&lt;AM17*0.95,AM17*0.95-AI17,0))</f>
        <v/>
      </c>
      <c r="AO17" s="34">
        <f>MAX(F17,G17,750)*0.05*AN17</f>
        <v/>
      </c>
      <c r="AP17" s="34" t="n">
        <v>15.94</v>
      </c>
      <c r="AQ17" s="34" t="n">
        <v>15.5</v>
      </c>
      <c r="AR17" s="34">
        <f>IF(AP17&gt;AQ17*1.05,AP17-AQ17*1.05,IF(AP17&lt;AQ17*0.95,AQ17*0.95-AP17,0))</f>
        <v/>
      </c>
      <c r="AS17" s="34">
        <f>MAX(F17:G17,750)*0.05*AR17</f>
        <v/>
      </c>
      <c r="AT17" t="n">
        <v>15.5</v>
      </c>
      <c r="AU17" s="34">
        <f>IF(AP17&gt;AT17*1.05,AP17-AT17*1.05,IF(AP17&lt;AT17*0.95,AT17*0.95-AP17,0))</f>
        <v/>
      </c>
      <c r="AV17" s="34">
        <f>MAX(F17:G17,750)*0.05*AU17</f>
        <v/>
      </c>
      <c r="AW17" s="34">
        <f>AC17+AJ17+AQ17</f>
        <v/>
      </c>
      <c r="AX17" s="34">
        <f>AF17+AM17+AT17</f>
        <v/>
      </c>
      <c r="AY17" s="34">
        <f>AB17+AI17+AP17</f>
        <v/>
      </c>
      <c r="AZ17" s="34" t="n">
        <v>0</v>
      </c>
      <c r="BA17" s="34">
        <f>AD17+AK17+AR17</f>
        <v/>
      </c>
      <c r="BB17" s="34">
        <f>MAX(F17:G17,750)*0.05*BA17</f>
        <v/>
      </c>
      <c r="BC17" s="34">
        <f>AG17+AN17+AU17</f>
        <v/>
      </c>
      <c r="BD17" s="34">
        <f>MAX(F17:G17,750)*0.05*BC17</f>
        <v/>
      </c>
      <c r="BE17" s="34">
        <f>F17*AY17</f>
        <v/>
      </c>
      <c r="BF17" s="34">
        <f>K17-M17</f>
        <v/>
      </c>
      <c r="BG17" s="34">
        <f>P17-S17</f>
        <v/>
      </c>
      <c r="BH17" s="34">
        <f>W17-AA17</f>
        <v/>
      </c>
      <c r="BI17" s="34">
        <f>BF17+BG17+BL17-BN17</f>
        <v/>
      </c>
      <c r="BJ17" s="34">
        <f>ABS(BK17)</f>
        <v/>
      </c>
      <c r="BK17" s="34">
        <f>AY17-(J17-L17+N17-Q17)</f>
        <v/>
      </c>
      <c r="BL17" s="34">
        <f>IF(AND(BK17&gt;0,MIN($F17:$G17)&lt;150,$E17="Enerji Açığı"),-100*BK17*1.03,IF(AND(BK17&gt;0,MIN($F17:$G17)&lt;150,$E17="Enerji Fazlası"),-100*BK17*1.06,IF(AND(BK17&gt;0,MIN($F17:$G17)&gt;=150,$E17="Enerji Açığı"),BK17*MIN($F17:$G17)*0.97,IF(AND(BK17&gt;0,MIN($F17:$G17)&gt;=150,$E17="Enerji Fazlası"),BK17*MIN($F17:$G17)*0.94,IF(AND(BK17&lt;0,MAX($F17:$G17)=4500,$E17="Enerji Açığı"),4500*1.05*1.06*BK17,IF(AND(BK17&lt;0,MAX($F17:$G17)=4500,$E17="Enerji Fazlası"),4500*1.05*1.03*BK17,IF(AND(BK17&lt;0,$E17="Enerji Açığı"),MAX($F17,$G17,150)*BK17*1.06,IF(AND(BK17&lt;0,$E17="Enerji Fazlası"),MAX($F17,$G17,150)*BK17*1.03,IF(AND(BK17&lt;0,$E17="Dengede"),MAX($F17:$G17,150)*1.03*BK17,MIN($F17:$G17)*0.97*BK17)))))))))</f>
        <v/>
      </c>
      <c r="BM17" s="34">
        <f>BE17-BI17-BN17</f>
        <v/>
      </c>
      <c r="BN17" s="34">
        <f>BB17</f>
        <v/>
      </c>
      <c r="BO17" s="34">
        <f>BE17-BI17</f>
        <v/>
      </c>
      <c r="BP17" s="34">
        <f>IF(AY17=0,0,BO17/AY17)</f>
        <v/>
      </c>
      <c r="BQ17" s="34">
        <f>MAX((AY17+MAX((-J17+L17-N17+Q17),0)),(MAX((J17-L17+N17-Q17),0)))</f>
        <v/>
      </c>
      <c r="BR17" s="82">
        <f>IFERROR(ABS(BK17/BQ17),0)</f>
        <v/>
      </c>
      <c r="BS17" s="34">
        <f>IF(BR17&lt;=0.1,0,BK17/BR17*(BR17-0.1))</f>
        <v/>
      </c>
      <c r="BT17" s="34">
        <f>IF((BS17)&lt;0,MAX(F17:G17)*(BS17)*1.03,MIN(F17:G17)*(BS17)*0.97)</f>
        <v/>
      </c>
      <c r="BU17" s="34">
        <f>IF(BR17&gt;0.1,1,0)</f>
        <v/>
      </c>
      <c r="BV17" s="34">
        <f>BF17+BG17+BH17+BY17-CA17</f>
        <v/>
      </c>
      <c r="BW17" s="34">
        <f>ABS(BX17)</f>
        <v/>
      </c>
      <c r="BX17" s="34">
        <f>AY17-(J17-L17+N17-Q17+T17-X17)</f>
        <v/>
      </c>
      <c r="BY17" s="34">
        <f>IF(AND(BX17&gt;0,MIN($F17:$G17)&lt;150,$E17="Enerji Açığı"),-100*BX17*1.03,IF(AND(BX17&gt;0,MIN($F17:$G17)&lt;150,$E17="Enerji Fazlası"),-100*BX17*1.06,IF(AND(BX17&gt;0,MIN($F17:$G17)&gt;=150,$E17="Enerji Açığı"),BX17*MIN($F17:$G17)*0.97,IF(AND(BX17&gt;0,MIN($F17:$G17)&gt;=150,$E17="Enerji Fazlası"),BX17*MIN($F17:$G17)*0.94,IF(AND(BX17&lt;0,MAX($F17:$G17)=4500,$E17="Enerji Açığı"),4500*1.05*1.06*BX17,IF(AND(BX17&lt;0,MAX($F17:$G17)=4500,$E17="Enerji Fazlası"),4500*1.05*1.03*BX17,IF(AND(BX17&lt;0,$E17="Enerji Açığı"),MAX($F17,$G17,150)*BX17*1.06,IF(AND(BX17&lt;0,$E17="Enerji Fazlası"),MAX($F17,$G17,150)*BX17*1.03,IF(AND(BX17&lt;0,$E17="Dengede"),MAX($F17:$G17,150)*1.03*BX17,MIN($F17:$G17)*0.97*BX17)))))))))</f>
        <v/>
      </c>
      <c r="BZ17" s="34">
        <f>BE17-BV17-CA17</f>
        <v/>
      </c>
      <c r="CA17" s="34">
        <f>BD17</f>
        <v/>
      </c>
      <c r="CB17" s="33">
        <f>BE17-BV17</f>
        <v/>
      </c>
      <c r="CC17" s="34">
        <f>IF(AY17=0,0,CB17/AY17)</f>
        <v/>
      </c>
      <c r="CD17" s="34">
        <f>MAX((AY17+MAX((-J17+L17-N17+Q17-T17+X17),0)),(MAX((J17-L17+N17-Q17+T17-X17),0)))</f>
        <v/>
      </c>
      <c r="CE17" s="82">
        <f>IFERROR(ABS(BX17/CD17),0)</f>
        <v/>
      </c>
      <c r="CF17" s="34">
        <f>IF(CE17&lt;=0.1,0,BX17/CE17*(CE17-0.1))</f>
        <v/>
      </c>
      <c r="CG17" s="34">
        <f>IF((CF17)&lt;0,MAX(F17:G17)*(CF17)*1.03,MIN(F17:G17)*(CF17)*0.97)</f>
        <v/>
      </c>
      <c r="CH17" s="34">
        <f>IF(CE17&gt;0.1,1,0)</f>
        <v/>
      </c>
      <c r="CI17" s="34">
        <f>(F17*BX17)-BY17</f>
        <v/>
      </c>
      <c r="CJ17" s="34">
        <f>IF(AY17=0,0,CI17/AY17)</f>
        <v/>
      </c>
    </row>
    <row r="18">
      <c r="A18" s="29" t="n">
        <v>46204.625</v>
      </c>
      <c r="B18" s="29" t="inlineStr">
        <is>
          <t>15:00</t>
        </is>
      </c>
      <c r="C18" s="35">
        <f>INT(A18)</f>
        <v/>
      </c>
      <c r="D18" s="36">
        <f>MONTH(A18)</f>
        <v/>
      </c>
      <c r="E18" s="147" t="inlineStr">
        <is>
          <t>Enerji Fazlası</t>
        </is>
      </c>
      <c r="F18" s="30" t="n">
        <v>3475.57</v>
      </c>
      <c r="G18" s="30" t="n">
        <v>500</v>
      </c>
      <c r="H18" s="30" t="n">
        <v>74.65000000000001</v>
      </c>
      <c r="I18" s="30" t="n">
        <v>3124.79</v>
      </c>
      <c r="J18" s="119" t="n">
        <v>0</v>
      </c>
      <c r="K18" s="34">
        <f>F18*J18</f>
        <v/>
      </c>
      <c r="L18" s="119" t="n">
        <v>0</v>
      </c>
      <c r="M18" s="34">
        <f>L18*F18</f>
        <v/>
      </c>
      <c r="N18" s="119" t="n">
        <v>25.3</v>
      </c>
      <c r="O18" s="34">
        <f>F18</f>
        <v/>
      </c>
      <c r="P18" s="34">
        <f>N18*O18</f>
        <v/>
      </c>
      <c r="Q18" s="119" t="n">
        <v>0</v>
      </c>
      <c r="R18" s="34">
        <f>F18</f>
        <v/>
      </c>
      <c r="S18" s="34">
        <f>R18*Q18</f>
        <v/>
      </c>
      <c r="T18" s="34" t="n"/>
      <c r="U18" s="34">
        <f>IFERROR(W18/T18,0)</f>
        <v/>
      </c>
      <c r="V18" s="34">
        <f>IF(U18=0,0,U18-F18)</f>
        <v/>
      </c>
      <c r="W18" s="34" t="n"/>
      <c r="X18" s="34" t="n"/>
      <c r="Y18" s="34">
        <f>IFERROR(AA18/X18,0)</f>
        <v/>
      </c>
      <c r="Z18" s="34">
        <f>IF(Y18=0,0,F18-Y18)</f>
        <v/>
      </c>
      <c r="AA18" s="34" t="n"/>
      <c r="AB18" s="34" t="n">
        <v>0</v>
      </c>
      <c r="AC18" s="34" t="n">
        <v>0</v>
      </c>
      <c r="AD18" s="34">
        <f>IF(AB18&gt;AC18*1.05,AB18-AC18*1.05,IF(AB18&lt;AC18*0.95,AC18*0.95-AB18,0))</f>
        <v/>
      </c>
      <c r="AE18" s="34">
        <f>MAX(F18,G18,750)*0.05*AD18</f>
        <v/>
      </c>
      <c r="AF18" s="34" t="n">
        <v>0</v>
      </c>
      <c r="AG18" s="34">
        <f>IF(AB18&gt;AF18*1.05,AB18-AF18*1.05,IF(AB18&lt;AF18*0.95,AF18*0.95-AB18,0))</f>
        <v/>
      </c>
      <c r="AH18" s="34">
        <f>MAX(I18,J18,750)*0.05*AG18</f>
        <v/>
      </c>
      <c r="AI18" t="n">
        <v>10.1</v>
      </c>
      <c r="AJ18" t="n">
        <v>10</v>
      </c>
      <c r="AK18" s="34">
        <f>IF(AI18&gt;AJ18*1.05,AI18-AJ18*1.05,IF(AI18&lt;AJ18*0.95,AJ18*0.95-AI18,0))</f>
        <v/>
      </c>
      <c r="AL18" s="34">
        <f>MAX(F18,G18,750)*0.05*AK18</f>
        <v/>
      </c>
      <c r="AM18" s="39" t="n">
        <v>10</v>
      </c>
      <c r="AN18" s="34">
        <f>IF(AI18&gt;AM18*1.05,AI18-AM18*1.05,IF(AI18&lt;AM18*0.95,AM18*0.95-AI18,0))</f>
        <v/>
      </c>
      <c r="AO18" s="34">
        <f>MAX(F18,G18,750)*0.05*AN18</f>
        <v/>
      </c>
      <c r="AP18" s="34" t="n">
        <v>15.72</v>
      </c>
      <c r="AQ18" s="34" t="n">
        <v>15.3</v>
      </c>
      <c r="AR18" s="34">
        <f>IF(AP18&gt;AQ18*1.05,AP18-AQ18*1.05,IF(AP18&lt;AQ18*0.95,AQ18*0.95-AP18,0))</f>
        <v/>
      </c>
      <c r="AS18" s="34">
        <f>MAX(F18:G18,750)*0.05*AR18</f>
        <v/>
      </c>
      <c r="AT18" t="n">
        <v>15.3</v>
      </c>
      <c r="AU18" s="34">
        <f>IF(AP18&gt;AT18*1.05,AP18-AT18*1.05,IF(AP18&lt;AT18*0.95,AT18*0.95-AP18,0))</f>
        <v/>
      </c>
      <c r="AV18" s="34">
        <f>MAX(F18:G18,750)*0.05*AU18</f>
        <v/>
      </c>
      <c r="AW18" s="34">
        <f>AC18+AJ18+AQ18</f>
        <v/>
      </c>
      <c r="AX18" s="34">
        <f>AF18+AM18+AT18</f>
        <v/>
      </c>
      <c r="AY18" s="34">
        <f>AB18+AI18+AP18</f>
        <v/>
      </c>
      <c r="AZ18" s="34" t="n">
        <v>0</v>
      </c>
      <c r="BA18" s="34">
        <f>AD18+AK18+AR18</f>
        <v/>
      </c>
      <c r="BB18" s="34">
        <f>MAX(F18:G18,750)*0.05*BA18</f>
        <v/>
      </c>
      <c r="BC18" s="34">
        <f>AG18+AN18+AU18</f>
        <v/>
      </c>
      <c r="BD18" s="34">
        <f>MAX(F18:G18,750)*0.05*BC18</f>
        <v/>
      </c>
      <c r="BE18" s="34">
        <f>F18*AY18</f>
        <v/>
      </c>
      <c r="BF18" s="34">
        <f>K18-M18</f>
        <v/>
      </c>
      <c r="BG18" s="34">
        <f>P18-S18</f>
        <v/>
      </c>
      <c r="BH18" s="34">
        <f>W18-AA18</f>
        <v/>
      </c>
      <c r="BI18" s="34">
        <f>BF18+BG18+BL18-BN18</f>
        <v/>
      </c>
      <c r="BJ18" s="34">
        <f>ABS(BK18)</f>
        <v/>
      </c>
      <c r="BK18" s="34">
        <f>AY18-(J18-L18+N18-Q18)</f>
        <v/>
      </c>
      <c r="BL18" s="34">
        <f>IF(AND(BK18&gt;0,MIN($F18:$G18)&lt;150,$E18="Enerji Açığı"),-100*BK18*1.03,IF(AND(BK18&gt;0,MIN($F18:$G18)&lt;150,$E18="Enerji Fazlası"),-100*BK18*1.06,IF(AND(BK18&gt;0,MIN($F18:$G18)&gt;=150,$E18="Enerji Açığı"),BK18*MIN($F18:$G18)*0.97,IF(AND(BK18&gt;0,MIN($F18:$G18)&gt;=150,$E18="Enerji Fazlası"),BK18*MIN($F18:$G18)*0.94,IF(AND(BK18&lt;0,MAX($F18:$G18)=4500,$E18="Enerji Açığı"),4500*1.05*1.06*BK18,IF(AND(BK18&lt;0,MAX($F18:$G18)=4500,$E18="Enerji Fazlası"),4500*1.05*1.03*BK18,IF(AND(BK18&lt;0,$E18="Enerji Açığı"),MAX($F18,$G18,150)*BK18*1.06,IF(AND(BK18&lt;0,$E18="Enerji Fazlası"),MAX($F18,$G18,150)*BK18*1.03,IF(AND(BK18&lt;0,$E18="Dengede"),MAX($F18:$G18,150)*1.03*BK18,MIN($F18:$G18)*0.97*BK18)))))))))</f>
        <v/>
      </c>
      <c r="BM18" s="34">
        <f>BE18-BI18-BN18</f>
        <v/>
      </c>
      <c r="BN18" s="34">
        <f>BB18</f>
        <v/>
      </c>
      <c r="BO18" s="34">
        <f>BE18-BI18</f>
        <v/>
      </c>
      <c r="BP18" s="34">
        <f>IF(AY18=0,0,BO18/AY18)</f>
        <v/>
      </c>
      <c r="BQ18" s="34">
        <f>MAX((AY18+MAX((-J18+L18-N18+Q18),0)),(MAX((J18-L18+N18-Q18),0)))</f>
        <v/>
      </c>
      <c r="BR18" s="82">
        <f>IFERROR(ABS(BK18/BQ18),0)</f>
        <v/>
      </c>
      <c r="BS18" s="34">
        <f>IF(BR18&lt;=0.1,0,BK18/BR18*(BR18-0.1))</f>
        <v/>
      </c>
      <c r="BT18" s="34">
        <f>IF((BS18)&lt;0,MAX(F18:G18)*(BS18)*1.03,MIN(F18:G18)*(BS18)*0.97)</f>
        <v/>
      </c>
      <c r="BU18" s="34">
        <f>IF(BR18&gt;0.1,1,0)</f>
        <v/>
      </c>
      <c r="BV18" s="34">
        <f>BF18+BG18+BH18+BY18-CA18</f>
        <v/>
      </c>
      <c r="BW18" s="34">
        <f>ABS(BX18)</f>
        <v/>
      </c>
      <c r="BX18" s="34">
        <f>AY18-(J18-L18+N18-Q18+T18-X18)</f>
        <v/>
      </c>
      <c r="BY18" s="34">
        <f>IF(AND(BX18&gt;0,MIN($F18:$G18)&lt;150,$E18="Enerji Açığı"),-100*BX18*1.03,IF(AND(BX18&gt;0,MIN($F18:$G18)&lt;150,$E18="Enerji Fazlası"),-100*BX18*1.06,IF(AND(BX18&gt;0,MIN($F18:$G18)&gt;=150,$E18="Enerji Açığı"),BX18*MIN($F18:$G18)*0.97,IF(AND(BX18&gt;0,MIN($F18:$G18)&gt;=150,$E18="Enerji Fazlası"),BX18*MIN($F18:$G18)*0.94,IF(AND(BX18&lt;0,MAX($F18:$G18)=4500,$E18="Enerji Açığı"),4500*1.05*1.06*BX18,IF(AND(BX18&lt;0,MAX($F18:$G18)=4500,$E18="Enerji Fazlası"),4500*1.05*1.03*BX18,IF(AND(BX18&lt;0,$E18="Enerji Açığı"),MAX($F18,$G18,150)*BX18*1.06,IF(AND(BX18&lt;0,$E18="Enerji Fazlası"),MAX($F18,$G18,150)*BX18*1.03,IF(AND(BX18&lt;0,$E18="Dengede"),MAX($F18:$G18,150)*1.03*BX18,MIN($F18:$G18)*0.97*BX18)))))))))</f>
        <v/>
      </c>
      <c r="BZ18" s="34">
        <f>BE18-BV18-CA18</f>
        <v/>
      </c>
      <c r="CA18" s="34">
        <f>BD18</f>
        <v/>
      </c>
      <c r="CB18" s="33">
        <f>BE18-BV18</f>
        <v/>
      </c>
      <c r="CC18" s="34">
        <f>IF(AY18=0,0,CB18/AY18)</f>
        <v/>
      </c>
      <c r="CD18" s="34">
        <f>MAX((AY18+MAX((-J18+L18-N18+Q18-T18+X18),0)),(MAX((J18-L18+N18-Q18+T18-X18),0)))</f>
        <v/>
      </c>
      <c r="CE18" s="82">
        <f>IFERROR(ABS(BX18/CD18),0)</f>
        <v/>
      </c>
      <c r="CF18" s="34">
        <f>IF(CE18&lt;=0.1,0,BX18/CE18*(CE18-0.1))</f>
        <v/>
      </c>
      <c r="CG18" s="34">
        <f>IF((CF18)&lt;0,MAX(F18:G18)*(CF18)*1.03,MIN(F18:G18)*(CF18)*0.97)</f>
        <v/>
      </c>
      <c r="CH18" s="34">
        <f>IF(CE18&gt;0.1,1,0)</f>
        <v/>
      </c>
      <c r="CI18" s="34">
        <f>(F18*BX18)-BY18</f>
        <v/>
      </c>
      <c r="CJ18" s="34">
        <f>IF(AY18=0,0,CI18/AY18)</f>
        <v/>
      </c>
    </row>
    <row r="19">
      <c r="A19" s="29" t="n">
        <v>46204.66666666666</v>
      </c>
      <c r="B19" s="29" t="inlineStr">
        <is>
          <t>16:00</t>
        </is>
      </c>
      <c r="C19" s="35">
        <f>INT(A19)</f>
        <v/>
      </c>
      <c r="D19" s="36">
        <f>MONTH(A19)</f>
        <v/>
      </c>
      <c r="E19" s="147" t="inlineStr">
        <is>
          <t>Enerji Açığı</t>
        </is>
      </c>
      <c r="F19" s="30" t="n">
        <v>3995</v>
      </c>
      <c r="G19" s="30" t="n">
        <v>3995</v>
      </c>
      <c r="H19" s="30" t="n">
        <v>85.81</v>
      </c>
      <c r="I19" s="30" t="n">
        <v>3540.8</v>
      </c>
      <c r="J19" s="119" t="n">
        <v>0</v>
      </c>
      <c r="K19" s="34">
        <f>F19*J19</f>
        <v/>
      </c>
      <c r="L19" s="119" t="n">
        <v>0</v>
      </c>
      <c r="M19" s="34">
        <f>L19*F19</f>
        <v/>
      </c>
      <c r="N19" s="119" t="n">
        <v>25</v>
      </c>
      <c r="O19" s="34">
        <f>F19</f>
        <v/>
      </c>
      <c r="P19" s="34">
        <f>N19*O19</f>
        <v/>
      </c>
      <c r="Q19" s="119" t="n">
        <v>0</v>
      </c>
      <c r="R19" s="34">
        <f>F19</f>
        <v/>
      </c>
      <c r="S19" s="34">
        <f>R19*Q19</f>
        <v/>
      </c>
      <c r="T19" s="34" t="n"/>
      <c r="U19" s="34">
        <f>IFERROR(W19/T19,0)</f>
        <v/>
      </c>
      <c r="V19" s="34">
        <f>IF(U19=0,0,U19-F19)</f>
        <v/>
      </c>
      <c r="W19" s="34" t="n"/>
      <c r="X19" s="34" t="n"/>
      <c r="Y19" s="34">
        <f>IFERROR(AA19/X19,0)</f>
        <v/>
      </c>
      <c r="Z19" s="34">
        <f>IF(Y19=0,0,F19-Y19)</f>
        <v/>
      </c>
      <c r="AA19" s="34" t="n"/>
      <c r="AB19" s="34" t="n">
        <v>0</v>
      </c>
      <c r="AC19" s="34" t="n">
        <v>0</v>
      </c>
      <c r="AD19" s="34">
        <f>IF(AB19&gt;AC19*1.05,AB19-AC19*1.05,IF(AB19&lt;AC19*0.95,AC19*0.95-AB19,0))</f>
        <v/>
      </c>
      <c r="AE19" s="34">
        <f>MAX(F19,G19,750)*0.05*AD19</f>
        <v/>
      </c>
      <c r="AF19" s="34" t="n">
        <v>0</v>
      </c>
      <c r="AG19" s="34">
        <f>IF(AB19&gt;AF19*1.05,AB19-AF19*1.05,IF(AB19&lt;AF19*0.95,AF19*0.95-AB19,0))</f>
        <v/>
      </c>
      <c r="AH19" s="34">
        <f>MAX(I19,J19,750)*0.05*AG19</f>
        <v/>
      </c>
      <c r="AI19" t="n">
        <v>10.2</v>
      </c>
      <c r="AJ19" t="n">
        <v>10</v>
      </c>
      <c r="AK19" s="34">
        <f>IF(AI19&gt;AJ19*1.05,AI19-AJ19*1.05,IF(AI19&lt;AJ19*0.95,AJ19*0.95-AI19,0))</f>
        <v/>
      </c>
      <c r="AL19" s="34">
        <f>MAX(F19,G19,750)*0.05*AK19</f>
        <v/>
      </c>
      <c r="AM19" s="39" t="n">
        <v>11</v>
      </c>
      <c r="AN19" s="34">
        <f>IF(AI19&gt;AM19*1.05,AI19-AM19*1.05,IF(AI19&lt;AM19*0.95,AM19*0.95-AI19,0))</f>
        <v/>
      </c>
      <c r="AO19" s="34">
        <f>MAX(F19,G19,750)*0.05*AN19</f>
        <v/>
      </c>
      <c r="AP19" s="34" t="n">
        <v>16.17</v>
      </c>
      <c r="AQ19" s="34" t="n">
        <v>15</v>
      </c>
      <c r="AR19" s="34">
        <f>IF(AP19&gt;AQ19*1.05,AP19-AQ19*1.05,IF(AP19&lt;AQ19*0.95,AQ19*0.95-AP19,0))</f>
        <v/>
      </c>
      <c r="AS19" s="34">
        <f>MAX(F19:G19,750)*0.05*AR19</f>
        <v/>
      </c>
      <c r="AT19" t="n">
        <v>15</v>
      </c>
      <c r="AU19" s="34">
        <f>IF(AP19&gt;AT19*1.05,AP19-AT19*1.05,IF(AP19&lt;AT19*0.95,AT19*0.95-AP19,0))</f>
        <v/>
      </c>
      <c r="AV19" s="34">
        <f>MAX(F19:G19,750)*0.05*AU19</f>
        <v/>
      </c>
      <c r="AW19" s="34">
        <f>AC19+AJ19+AQ19</f>
        <v/>
      </c>
      <c r="AX19" s="34">
        <f>AF19+AM19+AT19</f>
        <v/>
      </c>
      <c r="AY19" s="34">
        <f>AB19+AI19+AP19</f>
        <v/>
      </c>
      <c r="AZ19" s="34" t="n">
        <v>0</v>
      </c>
      <c r="BA19" s="34">
        <f>AD19+AK19+AR19</f>
        <v/>
      </c>
      <c r="BB19" s="34">
        <f>MAX(F19:G19,750)*0.05*BA19</f>
        <v/>
      </c>
      <c r="BC19" s="34">
        <f>AG19+AN19+AU19</f>
        <v/>
      </c>
      <c r="BD19" s="34">
        <f>MAX(F19:G19,750)*0.05*BC19</f>
        <v/>
      </c>
      <c r="BE19" s="34">
        <f>F19*AY19</f>
        <v/>
      </c>
      <c r="BF19" s="34">
        <f>K19-M19</f>
        <v/>
      </c>
      <c r="BG19" s="34">
        <f>P19-S19</f>
        <v/>
      </c>
      <c r="BH19" s="34">
        <f>W19-AA19</f>
        <v/>
      </c>
      <c r="BI19" s="34">
        <f>BF19+BG19+BL19-BN19</f>
        <v/>
      </c>
      <c r="BJ19" s="34">
        <f>ABS(BK19)</f>
        <v/>
      </c>
      <c r="BK19" s="34">
        <f>AY19-(J19-L19+N19-Q19)</f>
        <v/>
      </c>
      <c r="BL19" s="34">
        <f>IF(AND(BK19&gt;0,MIN($F19:$G19)&lt;150,$E19="Enerji Açığı"),-100*BK19*1.03,IF(AND(BK19&gt;0,MIN($F19:$G19)&lt;150,$E19="Enerji Fazlası"),-100*BK19*1.06,IF(AND(BK19&gt;0,MIN($F19:$G19)&gt;=150,$E19="Enerji Açığı"),BK19*MIN($F19:$G19)*0.97,IF(AND(BK19&gt;0,MIN($F19:$G19)&gt;=150,$E19="Enerji Fazlası"),BK19*MIN($F19:$G19)*0.94,IF(AND(BK19&lt;0,MAX($F19:$G19)=4500,$E19="Enerji Açığı"),4500*1.05*1.06*BK19,IF(AND(BK19&lt;0,MAX($F19:$G19)=4500,$E19="Enerji Fazlası"),4500*1.05*1.03*BK19,IF(AND(BK19&lt;0,$E19="Enerji Açığı"),MAX($F19,$G19,150)*BK19*1.06,IF(AND(BK19&lt;0,$E19="Enerji Fazlası"),MAX($F19,$G19,150)*BK19*1.03,IF(AND(BK19&lt;0,$E19="Dengede"),MAX($F19:$G19,150)*1.03*BK19,MIN($F19:$G19)*0.97*BK19)))))))))</f>
        <v/>
      </c>
      <c r="BM19" s="34">
        <f>BE19-BI19-BN19</f>
        <v/>
      </c>
      <c r="BN19" s="34">
        <f>BB19</f>
        <v/>
      </c>
      <c r="BO19" s="34">
        <f>BE19-BI19</f>
        <v/>
      </c>
      <c r="BP19" s="34">
        <f>IF(AY19=0,0,BO19/AY19)</f>
        <v/>
      </c>
      <c r="BQ19" s="34">
        <f>MAX((AY19+MAX((-J19+L19-N19+Q19),0)),(MAX((J19-L19+N19-Q19),0)))</f>
        <v/>
      </c>
      <c r="BR19" s="82">
        <f>IFERROR(ABS(BK19/BQ19),0)</f>
        <v/>
      </c>
      <c r="BS19" s="34">
        <f>IF(BR19&lt;=0.1,0,BK19/BR19*(BR19-0.1))</f>
        <v/>
      </c>
      <c r="BT19" s="34">
        <f>IF((BS19)&lt;0,MAX(F19:G19)*(BS19)*1.03,MIN(F19:G19)*(BS19)*0.97)</f>
        <v/>
      </c>
      <c r="BU19" s="34">
        <f>IF(BR19&gt;0.1,1,0)</f>
        <v/>
      </c>
      <c r="BV19" s="34">
        <f>BF19+BG19+BH19+BY19-CA19</f>
        <v/>
      </c>
      <c r="BW19" s="34">
        <f>ABS(BX19)</f>
        <v/>
      </c>
      <c r="BX19" s="34">
        <f>AY19-(J19-L19+N19-Q19+T19-X19)</f>
        <v/>
      </c>
      <c r="BY19" s="34">
        <f>IF(AND(BX19&gt;0,MIN($F19:$G19)&lt;150,$E19="Enerji Açığı"),-100*BX19*1.03,IF(AND(BX19&gt;0,MIN($F19:$G19)&lt;150,$E19="Enerji Fazlası"),-100*BX19*1.06,IF(AND(BX19&gt;0,MIN($F19:$G19)&gt;=150,$E19="Enerji Açığı"),BX19*MIN($F19:$G19)*0.97,IF(AND(BX19&gt;0,MIN($F19:$G19)&gt;=150,$E19="Enerji Fazlası"),BX19*MIN($F19:$G19)*0.94,IF(AND(BX19&lt;0,MAX($F19:$G19)=4500,$E19="Enerji Açığı"),4500*1.05*1.06*BX19,IF(AND(BX19&lt;0,MAX($F19:$G19)=4500,$E19="Enerji Fazlası"),4500*1.05*1.03*BX19,IF(AND(BX19&lt;0,$E19="Enerji Açığı"),MAX($F19,$G19,150)*BX19*1.06,IF(AND(BX19&lt;0,$E19="Enerji Fazlası"),MAX($F19,$G19,150)*BX19*1.03,IF(AND(BX19&lt;0,$E19="Dengede"),MAX($F19:$G19,150)*1.03*BX19,MIN($F19:$G19)*0.97*BX19)))))))))</f>
        <v/>
      </c>
      <c r="BZ19" s="34">
        <f>BE19-BV19-CA19</f>
        <v/>
      </c>
      <c r="CA19" s="34">
        <f>BD19</f>
        <v/>
      </c>
      <c r="CB19" s="33">
        <f>BE19-BV19</f>
        <v/>
      </c>
      <c r="CC19" s="34">
        <f>IF(AY19=0,0,CB19/AY19)</f>
        <v/>
      </c>
      <c r="CD19" s="34">
        <f>MAX((AY19+MAX((-J19+L19-N19+Q19-T19+X19),0)),(MAX((J19-L19+N19-Q19+T19-X19),0)))</f>
        <v/>
      </c>
      <c r="CE19" s="82">
        <f>IFERROR(ABS(BX19/CD19),0)</f>
        <v/>
      </c>
      <c r="CF19" s="34">
        <f>IF(CE19&lt;=0.1,0,BX19/CE19*(CE19-0.1))</f>
        <v/>
      </c>
      <c r="CG19" s="34">
        <f>IF((CF19)&lt;0,MAX(F19:G19)*(CF19)*1.03,MIN(F19:G19)*(CF19)*0.97)</f>
        <v/>
      </c>
      <c r="CH19" s="34">
        <f>IF(CE19&gt;0.1,1,0)</f>
        <v/>
      </c>
      <c r="CI19" s="34">
        <f>(F19*BX19)-BY19</f>
        <v/>
      </c>
      <c r="CJ19" s="34">
        <f>IF(AY19=0,0,CI19/AY19)</f>
        <v/>
      </c>
    </row>
    <row r="20">
      <c r="A20" s="29" t="n">
        <v>46204.70833333334</v>
      </c>
      <c r="B20" s="29" t="inlineStr">
        <is>
          <t>17:00</t>
        </is>
      </c>
      <c r="C20" s="35">
        <f>INT(A20)</f>
        <v/>
      </c>
      <c r="D20" s="36">
        <f>MONTH(A20)</f>
        <v/>
      </c>
      <c r="E20" s="147" t="inlineStr">
        <is>
          <t>Enerji Açığı</t>
        </is>
      </c>
      <c r="F20" s="30" t="n">
        <v>4400.01</v>
      </c>
      <c r="G20" s="30" t="n">
        <v>4400.01</v>
      </c>
      <c r="H20" s="30" t="n">
        <v>94.51000000000001</v>
      </c>
      <c r="I20" s="30" t="n">
        <v>4019.12</v>
      </c>
      <c r="J20" s="119" t="n">
        <v>0</v>
      </c>
      <c r="K20" s="34">
        <f>F20*J20</f>
        <v/>
      </c>
      <c r="L20" s="119" t="n">
        <v>0</v>
      </c>
      <c r="M20" s="34">
        <f>L20*F20</f>
        <v/>
      </c>
      <c r="N20" s="119" t="n">
        <v>22.5</v>
      </c>
      <c r="O20" s="34">
        <f>F20</f>
        <v/>
      </c>
      <c r="P20" s="34">
        <f>N20*O20</f>
        <v/>
      </c>
      <c r="Q20" s="119" t="n">
        <v>0</v>
      </c>
      <c r="R20" s="34">
        <f>F20</f>
        <v/>
      </c>
      <c r="S20" s="34">
        <f>R20*Q20</f>
        <v/>
      </c>
      <c r="T20" s="34" t="n"/>
      <c r="U20" s="34">
        <f>IFERROR(W20/T20,0)</f>
        <v/>
      </c>
      <c r="V20" s="34">
        <f>IF(U20=0,0,U20-F20)</f>
        <v/>
      </c>
      <c r="W20" s="34" t="n"/>
      <c r="X20" s="34" t="n"/>
      <c r="Y20" s="34">
        <f>IFERROR(AA20/X20,0)</f>
        <v/>
      </c>
      <c r="Z20" s="34">
        <f>IF(Y20=0,0,F20-Y20)</f>
        <v/>
      </c>
      <c r="AA20" s="34" t="n"/>
      <c r="AB20" s="34" t="n">
        <v>0</v>
      </c>
      <c r="AC20" s="34" t="n">
        <v>0</v>
      </c>
      <c r="AD20" s="34">
        <f>IF(AB20&gt;AC20*1.05,AB20-AC20*1.05,IF(AB20&lt;AC20*0.95,AC20*0.95-AB20,0))</f>
        <v/>
      </c>
      <c r="AE20" s="34">
        <f>MAX(F20,G20,750)*0.05*AD20</f>
        <v/>
      </c>
      <c r="AF20" s="34" t="n">
        <v>0</v>
      </c>
      <c r="AG20" s="34">
        <f>IF(AB20&gt;AF20*1.05,AB20-AF20*1.05,IF(AB20&lt;AF20*0.95,AF20*0.95-AB20,0))</f>
        <v/>
      </c>
      <c r="AH20" s="34">
        <f>MAX(I20,J20,750)*0.05*AG20</f>
        <v/>
      </c>
      <c r="AI20" t="n">
        <v>8.43</v>
      </c>
      <c r="AJ20" t="n">
        <v>9</v>
      </c>
      <c r="AK20" s="34">
        <f>IF(AI20&gt;AJ20*1.05,AI20-AJ20*1.05,IF(AI20&lt;AJ20*0.95,AJ20*0.95-AI20,0))</f>
        <v/>
      </c>
      <c r="AL20" s="34">
        <f>MAX(F20,G20,750)*0.05*AK20</f>
        <v/>
      </c>
      <c r="AM20" s="39" t="n">
        <v>9</v>
      </c>
      <c r="AN20" s="34">
        <f>IF(AI20&gt;AM20*1.05,AI20-AM20*1.05,IF(AI20&lt;AM20*0.95,AM20*0.95-AI20,0))</f>
        <v/>
      </c>
      <c r="AO20" s="34">
        <f>MAX(F20,G20,750)*0.05*AN20</f>
        <v/>
      </c>
      <c r="AP20" s="34" t="n">
        <v>15.01</v>
      </c>
      <c r="AQ20" s="34" t="n">
        <v>13.5</v>
      </c>
      <c r="AR20" s="34">
        <f>IF(AP20&gt;AQ20*1.05,AP20-AQ20*1.05,IF(AP20&lt;AQ20*0.95,AQ20*0.95-AP20,0))</f>
        <v/>
      </c>
      <c r="AS20" s="34">
        <f>MAX(F20:G20,750)*0.05*AR20</f>
        <v/>
      </c>
      <c r="AT20" t="n">
        <v>13.5</v>
      </c>
      <c r="AU20" s="34">
        <f>IF(AP20&gt;AT20*1.05,AP20-AT20*1.05,IF(AP20&lt;AT20*0.95,AT20*0.95-AP20,0))</f>
        <v/>
      </c>
      <c r="AV20" s="34">
        <f>MAX(F20:G20,750)*0.05*AU20</f>
        <v/>
      </c>
      <c r="AW20" s="34">
        <f>AC20+AJ20+AQ20</f>
        <v/>
      </c>
      <c r="AX20" s="34">
        <f>AF20+AM20+AT20</f>
        <v/>
      </c>
      <c r="AY20" s="34">
        <f>AB20+AI20+AP20</f>
        <v/>
      </c>
      <c r="AZ20" s="34" t="n">
        <v>0</v>
      </c>
      <c r="BA20" s="34">
        <f>AD20+AK20+AR20</f>
        <v/>
      </c>
      <c r="BB20" s="34">
        <f>MAX(F20:G20,750)*0.05*BA20</f>
        <v/>
      </c>
      <c r="BC20" s="34">
        <f>AG20+AN20+AU20</f>
        <v/>
      </c>
      <c r="BD20" s="34">
        <f>MAX(F20:G20,750)*0.05*BC20</f>
        <v/>
      </c>
      <c r="BE20" s="34">
        <f>F20*AY20</f>
        <v/>
      </c>
      <c r="BF20" s="34">
        <f>K20-M20</f>
        <v/>
      </c>
      <c r="BG20" s="34">
        <f>P20-S20</f>
        <v/>
      </c>
      <c r="BH20" s="34">
        <f>W20-AA20</f>
        <v/>
      </c>
      <c r="BI20" s="34">
        <f>BF20+BG20+BL20-BN20</f>
        <v/>
      </c>
      <c r="BJ20" s="34">
        <f>ABS(BK20)</f>
        <v/>
      </c>
      <c r="BK20" s="34">
        <f>AY20-(J20-L20+N20-Q20)</f>
        <v/>
      </c>
      <c r="BL20" s="34">
        <f>IF(AND(BK20&gt;0,MIN($F20:$G20)&lt;150,$E20="Enerji Açığı"),-100*BK20*1.03,IF(AND(BK20&gt;0,MIN($F20:$G20)&lt;150,$E20="Enerji Fazlası"),-100*BK20*1.06,IF(AND(BK20&gt;0,MIN($F20:$G20)&gt;=150,$E20="Enerji Açığı"),BK20*MIN($F20:$G20)*0.97,IF(AND(BK20&gt;0,MIN($F20:$G20)&gt;=150,$E20="Enerji Fazlası"),BK20*MIN($F20:$G20)*0.94,IF(AND(BK20&lt;0,MAX($F20:$G20)=4500,$E20="Enerji Açığı"),4500*1.05*1.06*BK20,IF(AND(BK20&lt;0,MAX($F20:$G20)=4500,$E20="Enerji Fazlası"),4500*1.05*1.03*BK20,IF(AND(BK20&lt;0,$E20="Enerji Açığı"),MAX($F20,$G20,150)*BK20*1.06,IF(AND(BK20&lt;0,$E20="Enerji Fazlası"),MAX($F20,$G20,150)*BK20*1.03,IF(AND(BK20&lt;0,$E20="Dengede"),MAX($F20:$G20,150)*1.03*BK20,MIN($F20:$G20)*0.97*BK20)))))))))</f>
        <v/>
      </c>
      <c r="BM20" s="34">
        <f>BE20-BI20-BN20</f>
        <v/>
      </c>
      <c r="BN20" s="34">
        <f>BB20</f>
        <v/>
      </c>
      <c r="BO20" s="34">
        <f>BE20-BI20</f>
        <v/>
      </c>
      <c r="BP20" s="34">
        <f>IF(AY20=0,0,BO20/AY20)</f>
        <v/>
      </c>
      <c r="BQ20" s="34">
        <f>MAX((AY20+MAX((-J20+L20-N20+Q20),0)),(MAX((J20-L20+N20-Q20),0)))</f>
        <v/>
      </c>
      <c r="BR20" s="82">
        <f>IFERROR(ABS(BK20/BQ20),0)</f>
        <v/>
      </c>
      <c r="BS20" s="34">
        <f>IF(BR20&lt;=0.1,0,BK20/BR20*(BR20-0.1))</f>
        <v/>
      </c>
      <c r="BT20" s="34">
        <f>IF((BS20)&lt;0,MAX(F20:G20)*(BS20)*1.03,MIN(F20:G20)*(BS20)*0.97)</f>
        <v/>
      </c>
      <c r="BU20" s="34">
        <f>IF(BR20&gt;0.1,1,0)</f>
        <v/>
      </c>
      <c r="BV20" s="34">
        <f>BF20+BG20+BH20+BY20-CA20</f>
        <v/>
      </c>
      <c r="BW20" s="34">
        <f>ABS(BX20)</f>
        <v/>
      </c>
      <c r="BX20" s="34">
        <f>AY20-(J20-L20+N20-Q20+T20-X20)</f>
        <v/>
      </c>
      <c r="BY20" s="34">
        <f>IF(AND(BX20&gt;0,MIN($F20:$G20)&lt;150,$E20="Enerji Açığı"),-100*BX20*1.03,IF(AND(BX20&gt;0,MIN($F20:$G20)&lt;150,$E20="Enerji Fazlası"),-100*BX20*1.06,IF(AND(BX20&gt;0,MIN($F20:$G20)&gt;=150,$E20="Enerji Açığı"),BX20*MIN($F20:$G20)*0.97,IF(AND(BX20&gt;0,MIN($F20:$G20)&gt;=150,$E20="Enerji Fazlası"),BX20*MIN($F20:$G20)*0.94,IF(AND(BX20&lt;0,MAX($F20:$G20)=4500,$E20="Enerji Açığı"),4500*1.05*1.06*BX20,IF(AND(BX20&lt;0,MAX($F20:$G20)=4500,$E20="Enerji Fazlası"),4500*1.05*1.03*BX20,IF(AND(BX20&lt;0,$E20="Enerji Açığı"),MAX($F20,$G20,150)*BX20*1.06,IF(AND(BX20&lt;0,$E20="Enerji Fazlası"),MAX($F20,$G20,150)*BX20*1.03,IF(AND(BX20&lt;0,$E20="Dengede"),MAX($F20:$G20,150)*1.03*BX20,MIN($F20:$G20)*0.97*BX20)))))))))</f>
        <v/>
      </c>
      <c r="BZ20" s="34">
        <f>BE20-BV20-CA20</f>
        <v/>
      </c>
      <c r="CA20" s="34">
        <f>BD20</f>
        <v/>
      </c>
      <c r="CB20" s="33">
        <f>BE20-BV20</f>
        <v/>
      </c>
      <c r="CC20" s="34">
        <f>IF(AY20=0,0,CB20/AY20)</f>
        <v/>
      </c>
      <c r="CD20" s="34">
        <f>MAX((AY20+MAX((-J20+L20-N20+Q20-T20+X20),0)),(MAX((J20-L20+N20-Q20+T20-X20),0)))</f>
        <v/>
      </c>
      <c r="CE20" s="82">
        <f>IFERROR(ABS(BX20/CD20),0)</f>
        <v/>
      </c>
      <c r="CF20" s="34">
        <f>IF(CE20&lt;=0.1,0,BX20/CE20*(CE20-0.1))</f>
        <v/>
      </c>
      <c r="CG20" s="34">
        <f>IF((CF20)&lt;0,MAX(F20:G20)*(CF20)*1.03,MIN(F20:G20)*(CF20)*0.97)</f>
        <v/>
      </c>
      <c r="CH20" s="34">
        <f>IF(CE20&gt;0.1,1,0)</f>
        <v/>
      </c>
      <c r="CI20" s="34">
        <f>(F20*BX20)-BY20</f>
        <v/>
      </c>
      <c r="CJ20" s="34">
        <f>IF(AY20=0,0,CI20/AY20)</f>
        <v/>
      </c>
    </row>
    <row r="21">
      <c r="A21" s="29" t="n">
        <v>46204.75</v>
      </c>
      <c r="B21" s="29" t="inlineStr">
        <is>
          <t>18:00</t>
        </is>
      </c>
      <c r="C21" s="35">
        <f>INT(A21)</f>
        <v/>
      </c>
      <c r="D21" s="36">
        <f>MONTH(A21)</f>
        <v/>
      </c>
      <c r="E21" s="147" t="inlineStr">
        <is>
          <t>Enerji Açığı</t>
        </is>
      </c>
      <c r="F21" s="30" t="n">
        <v>4200</v>
      </c>
      <c r="G21" s="30" t="n">
        <v>4200</v>
      </c>
      <c r="H21" s="30" t="n">
        <v>90.22</v>
      </c>
      <c r="I21" s="30" t="n">
        <v>3865.12</v>
      </c>
      <c r="J21" s="119" t="n">
        <v>0</v>
      </c>
      <c r="K21" s="34">
        <f>F21*J21</f>
        <v/>
      </c>
      <c r="L21" s="119" t="n">
        <v>0</v>
      </c>
      <c r="M21" s="34">
        <f>L21*F21</f>
        <v/>
      </c>
      <c r="N21" s="119" t="n">
        <v>22.3</v>
      </c>
      <c r="O21" s="34">
        <f>F21</f>
        <v/>
      </c>
      <c r="P21" s="34">
        <f>N21*O21</f>
        <v/>
      </c>
      <c r="Q21" s="119" t="n">
        <v>0</v>
      </c>
      <c r="R21" s="34">
        <f>F21</f>
        <v/>
      </c>
      <c r="S21" s="34">
        <f>R21*Q21</f>
        <v/>
      </c>
      <c r="T21" s="34" t="n"/>
      <c r="U21" s="34">
        <f>IFERROR(W21/T21,0)</f>
        <v/>
      </c>
      <c r="V21" s="34">
        <f>IF(U21=0,0,U21-F21)</f>
        <v/>
      </c>
      <c r="W21" s="34" t="n"/>
      <c r="X21" s="34" t="n"/>
      <c r="Y21" s="34">
        <f>IFERROR(AA21/X21,0)</f>
        <v/>
      </c>
      <c r="Z21" s="34">
        <f>IF(Y21=0,0,F21-Y21)</f>
        <v/>
      </c>
      <c r="AA21" s="34" t="n"/>
      <c r="AB21" s="34" t="n">
        <v>0</v>
      </c>
      <c r="AC21" s="34" t="n">
        <v>0</v>
      </c>
      <c r="AD21" s="34">
        <f>IF(AB21&gt;AC21*1.05,AB21-AC21*1.05,IF(AB21&lt;AC21*0.95,AC21*0.95-AB21,0))</f>
        <v/>
      </c>
      <c r="AE21" s="34">
        <f>MAX(F21,G21,750)*0.05*AD21</f>
        <v/>
      </c>
      <c r="AF21" s="34" t="n">
        <v>0</v>
      </c>
      <c r="AG21" s="34">
        <f>IF(AB21&gt;AF21*1.05,AB21-AF21*1.05,IF(AB21&lt;AF21*0.95,AF21*0.95-AB21,0))</f>
        <v/>
      </c>
      <c r="AH21" s="34">
        <f>MAX(I21,J21,750)*0.05*AG21</f>
        <v/>
      </c>
      <c r="AI21" t="n">
        <v>9.19</v>
      </c>
      <c r="AJ21" t="n">
        <v>9</v>
      </c>
      <c r="AK21" s="34">
        <f>IF(AI21&gt;AJ21*1.05,AI21-AJ21*1.05,IF(AI21&lt;AJ21*0.95,AJ21*0.95-AI21,0))</f>
        <v/>
      </c>
      <c r="AL21" s="34">
        <f>MAX(F21,G21,750)*0.05*AK21</f>
        <v/>
      </c>
      <c r="AM21" s="39" t="n">
        <v>9</v>
      </c>
      <c r="AN21" s="34">
        <f>IF(AI21&gt;AM21*1.05,AI21-AM21*1.05,IF(AI21&lt;AM21*0.95,AM21*0.95-AI21,0))</f>
        <v/>
      </c>
      <c r="AO21" s="34">
        <f>MAX(F21,G21,750)*0.05*AN21</f>
        <v/>
      </c>
      <c r="AP21" s="34" t="n">
        <v>14.64</v>
      </c>
      <c r="AQ21" s="34" t="n">
        <v>13.3</v>
      </c>
      <c r="AR21" s="34">
        <f>IF(AP21&gt;AQ21*1.05,AP21-AQ21*1.05,IF(AP21&lt;AQ21*0.95,AQ21*0.95-AP21,0))</f>
        <v/>
      </c>
      <c r="AS21" s="34">
        <f>MAX(F21:G21,750)*0.05*AR21</f>
        <v/>
      </c>
      <c r="AT21" t="n">
        <v>14.5</v>
      </c>
      <c r="AU21" s="34">
        <f>IF(AP21&gt;AT21*1.05,AP21-AT21*1.05,IF(AP21&lt;AT21*0.95,AT21*0.95-AP21,0))</f>
        <v/>
      </c>
      <c r="AV21" s="34">
        <f>MAX(F21:G21,750)*0.05*AU21</f>
        <v/>
      </c>
      <c r="AW21" s="34">
        <f>AC21+AJ21+AQ21</f>
        <v/>
      </c>
      <c r="AX21" s="34">
        <f>AF21+AM21+AT21</f>
        <v/>
      </c>
      <c r="AY21" s="34">
        <f>AB21+AI21+AP21</f>
        <v/>
      </c>
      <c r="AZ21" s="34" t="n">
        <v>0</v>
      </c>
      <c r="BA21" s="34">
        <f>AD21+AK21+AR21</f>
        <v/>
      </c>
      <c r="BB21" s="34">
        <f>MAX(F21:G21,750)*0.05*BA21</f>
        <v/>
      </c>
      <c r="BC21" s="34">
        <f>AG21+AN21+AU21</f>
        <v/>
      </c>
      <c r="BD21" s="34">
        <f>MAX(F21:G21,750)*0.05*BC21</f>
        <v/>
      </c>
      <c r="BE21" s="34">
        <f>F21*AY21</f>
        <v/>
      </c>
      <c r="BF21" s="34">
        <f>K21-M21</f>
        <v/>
      </c>
      <c r="BG21" s="34">
        <f>P21-S21</f>
        <v/>
      </c>
      <c r="BH21" s="34">
        <f>W21-AA21</f>
        <v/>
      </c>
      <c r="BI21" s="34">
        <f>BF21+BG21+BL21-BN21</f>
        <v/>
      </c>
      <c r="BJ21" s="34">
        <f>ABS(BK21)</f>
        <v/>
      </c>
      <c r="BK21" s="34">
        <f>AY21-(J21-L21+N21-Q21)</f>
        <v/>
      </c>
      <c r="BL21" s="34">
        <f>IF(AND(BK21&gt;0,MIN($F21:$G21)&lt;150,$E21="Enerji Açığı"),-100*BK21*1.03,IF(AND(BK21&gt;0,MIN($F21:$G21)&lt;150,$E21="Enerji Fazlası"),-100*BK21*1.06,IF(AND(BK21&gt;0,MIN($F21:$G21)&gt;=150,$E21="Enerji Açığı"),BK21*MIN($F21:$G21)*0.97,IF(AND(BK21&gt;0,MIN($F21:$G21)&gt;=150,$E21="Enerji Fazlası"),BK21*MIN($F21:$G21)*0.94,IF(AND(BK21&lt;0,MAX($F21:$G21)=4500,$E21="Enerji Açığı"),4500*1.05*1.06*BK21,IF(AND(BK21&lt;0,MAX($F21:$G21)=4500,$E21="Enerji Fazlası"),4500*1.05*1.03*BK21,IF(AND(BK21&lt;0,$E21="Enerji Açığı"),MAX($F21,$G21,150)*BK21*1.06,IF(AND(BK21&lt;0,$E21="Enerji Fazlası"),MAX($F21,$G21,150)*BK21*1.03,IF(AND(BK21&lt;0,$E21="Dengede"),MAX($F21:$G21,150)*1.03*BK21,MIN($F21:$G21)*0.97*BK21)))))))))</f>
        <v/>
      </c>
      <c r="BM21" s="34">
        <f>BE21-BI21-BN21</f>
        <v/>
      </c>
      <c r="BN21" s="34">
        <f>BB21</f>
        <v/>
      </c>
      <c r="BO21" s="34">
        <f>BE21-BI21</f>
        <v/>
      </c>
      <c r="BP21" s="34">
        <f>IF(AY21=0,0,BO21/AY21)</f>
        <v/>
      </c>
      <c r="BQ21" s="34">
        <f>MAX((AY21+MAX((-J21+L21-N21+Q21),0)),(MAX((J21-L21+N21-Q21),0)))</f>
        <v/>
      </c>
      <c r="BR21" s="82">
        <f>IFERROR(ABS(BK21/BQ21),0)</f>
        <v/>
      </c>
      <c r="BS21" s="34">
        <f>IF(BR21&lt;=0.1,0,BK21/BR21*(BR21-0.1))</f>
        <v/>
      </c>
      <c r="BT21" s="34">
        <f>IF((BS21)&lt;0,MAX(F21:G21)*(BS21)*1.03,MIN(F21:G21)*(BS21)*0.97)</f>
        <v/>
      </c>
      <c r="BU21" s="34">
        <f>IF(BR21&gt;0.1,1,0)</f>
        <v/>
      </c>
      <c r="BV21" s="34">
        <f>BF21+BG21+BH21+BY21-CA21</f>
        <v/>
      </c>
      <c r="BW21" s="34">
        <f>ABS(BX21)</f>
        <v/>
      </c>
      <c r="BX21" s="34">
        <f>AY21-(J21-L21+N21-Q21+T21-X21)</f>
        <v/>
      </c>
      <c r="BY21" s="34">
        <f>IF(AND(BX21&gt;0,MIN($F21:$G21)&lt;150,$E21="Enerji Açığı"),-100*BX21*1.03,IF(AND(BX21&gt;0,MIN($F21:$G21)&lt;150,$E21="Enerji Fazlası"),-100*BX21*1.06,IF(AND(BX21&gt;0,MIN($F21:$G21)&gt;=150,$E21="Enerji Açığı"),BX21*MIN($F21:$G21)*0.97,IF(AND(BX21&gt;0,MIN($F21:$G21)&gt;=150,$E21="Enerji Fazlası"),BX21*MIN($F21:$G21)*0.94,IF(AND(BX21&lt;0,MAX($F21:$G21)=4500,$E21="Enerji Açığı"),4500*1.05*1.06*BX21,IF(AND(BX21&lt;0,MAX($F21:$G21)=4500,$E21="Enerji Fazlası"),4500*1.05*1.03*BX21,IF(AND(BX21&lt;0,$E21="Enerji Açığı"),MAX($F21,$G21,150)*BX21*1.06,IF(AND(BX21&lt;0,$E21="Enerji Fazlası"),MAX($F21,$G21,150)*BX21*1.03,IF(AND(BX21&lt;0,$E21="Dengede"),MAX($F21:$G21,150)*1.03*BX21,MIN($F21:$G21)*0.97*BX21)))))))))</f>
        <v/>
      </c>
      <c r="BZ21" s="34">
        <f>BE21-BV21-CA21</f>
        <v/>
      </c>
      <c r="CA21" s="34">
        <f>BD21</f>
        <v/>
      </c>
      <c r="CB21" s="33">
        <f>BE21-BV21</f>
        <v/>
      </c>
      <c r="CC21" s="34">
        <f>IF(AY21=0,0,CB21/AY21)</f>
        <v/>
      </c>
      <c r="CD21" s="34">
        <f>MAX((AY21+MAX((-J21+L21-N21+Q21-T21+X21),0)),(MAX((J21-L21+N21-Q21+T21-X21),0)))</f>
        <v/>
      </c>
      <c r="CE21" s="82">
        <f>IFERROR(ABS(BX21/CD21),0)</f>
        <v/>
      </c>
      <c r="CF21" s="34">
        <f>IF(CE21&lt;=0.1,0,BX21/CE21*(CE21-0.1))</f>
        <v/>
      </c>
      <c r="CG21" s="34">
        <f>IF((CF21)&lt;0,MAX(F21:G21)*(CF21)*1.03,MIN(F21:G21)*(CF21)*0.97)</f>
        <v/>
      </c>
      <c r="CH21" s="34">
        <f>IF(CE21&gt;0.1,1,0)</f>
        <v/>
      </c>
      <c r="CI21" s="34">
        <f>(F21*BX21)-BY21</f>
        <v/>
      </c>
      <c r="CJ21" s="34">
        <f>IF(AY21=0,0,CI21/AY21)</f>
        <v/>
      </c>
    </row>
    <row r="22">
      <c r="A22" s="29" t="n">
        <v>46204.79166666666</v>
      </c>
      <c r="B22" s="29" t="inlineStr">
        <is>
          <t>19:00</t>
        </is>
      </c>
      <c r="C22" s="35">
        <f>INT(A22)</f>
        <v/>
      </c>
      <c r="D22" s="36">
        <f>MONTH(A22)</f>
        <v/>
      </c>
      <c r="E22" s="147" t="inlineStr">
        <is>
          <t>Enerji Açığı</t>
        </is>
      </c>
      <c r="F22" s="30" t="n">
        <v>3800</v>
      </c>
      <c r="G22" s="30" t="n">
        <v>4320</v>
      </c>
      <c r="H22" s="30" t="n">
        <v>81.62</v>
      </c>
      <c r="I22" s="30" t="n">
        <v>3933.95</v>
      </c>
      <c r="J22" s="119" t="n">
        <v>0</v>
      </c>
      <c r="K22" s="34">
        <f>F22*J22</f>
        <v/>
      </c>
      <c r="L22" s="119" t="n">
        <v>0</v>
      </c>
      <c r="M22" s="34">
        <f>L22*F22</f>
        <v/>
      </c>
      <c r="N22" s="119" t="n">
        <v>22.2</v>
      </c>
      <c r="O22" s="34">
        <f>F22</f>
        <v/>
      </c>
      <c r="P22" s="34">
        <f>N22*O22</f>
        <v/>
      </c>
      <c r="Q22" s="119" t="n">
        <v>0</v>
      </c>
      <c r="R22" s="34">
        <f>F22</f>
        <v/>
      </c>
      <c r="S22" s="34">
        <f>R22*Q22</f>
        <v/>
      </c>
      <c r="T22" s="34" t="n"/>
      <c r="U22" s="34">
        <f>IFERROR(W22/T22,0)</f>
        <v/>
      </c>
      <c r="V22" s="34">
        <f>IF(U22=0,0,U22-F22)</f>
        <v/>
      </c>
      <c r="W22" s="34" t="n"/>
      <c r="X22" s="34" t="n"/>
      <c r="Y22" s="34">
        <f>IFERROR(AA22/X22,0)</f>
        <v/>
      </c>
      <c r="Z22" s="34">
        <f>IF(Y22=0,0,F22-Y22)</f>
        <v/>
      </c>
      <c r="AA22" s="34" t="n"/>
      <c r="AB22" s="34" t="n">
        <v>0</v>
      </c>
      <c r="AC22" s="34" t="n">
        <v>0</v>
      </c>
      <c r="AD22" s="34">
        <f>IF(AB22&gt;AC22*1.05,AB22-AC22*1.05,IF(AB22&lt;AC22*0.95,AC22*0.95-AB22,0))</f>
        <v/>
      </c>
      <c r="AE22" s="34">
        <f>MAX(F22,G22,750)*0.05*AD22</f>
        <v/>
      </c>
      <c r="AF22" s="34" t="n">
        <v>0</v>
      </c>
      <c r="AG22" s="34">
        <f>IF(AB22&gt;AF22*1.05,AB22-AF22*1.05,IF(AB22&lt;AF22*0.95,AF22*0.95-AB22,0))</f>
        <v/>
      </c>
      <c r="AH22" s="34">
        <f>MAX(I22,J22,750)*0.05*AG22</f>
        <v/>
      </c>
      <c r="AI22" t="n">
        <v>12.1</v>
      </c>
      <c r="AJ22" t="n">
        <v>9</v>
      </c>
      <c r="AK22" s="34">
        <f>IF(AI22&gt;AJ22*1.05,AI22-AJ22*1.05,IF(AI22&lt;AJ22*0.95,AJ22*0.95-AI22,0))</f>
        <v/>
      </c>
      <c r="AL22" s="34">
        <f>MAX(F22,G22,750)*0.05*AK22</f>
        <v/>
      </c>
      <c r="AM22" s="39" t="n">
        <v>11</v>
      </c>
      <c r="AN22" s="34">
        <f>IF(AI22&gt;AM22*1.05,AI22-AM22*1.05,IF(AI22&lt;AM22*0.95,AM22*0.95-AI22,0))</f>
        <v/>
      </c>
      <c r="AO22" s="34">
        <f>MAX(F22,G22,750)*0.05*AN22</f>
        <v/>
      </c>
      <c r="AP22" s="34" t="n">
        <v>14.81</v>
      </c>
      <c r="AQ22" s="34" t="n">
        <v>13.2</v>
      </c>
      <c r="AR22" s="34">
        <f>IF(AP22&gt;AQ22*1.05,AP22-AQ22*1.05,IF(AP22&lt;AQ22*0.95,AQ22*0.95-AP22,0))</f>
        <v/>
      </c>
      <c r="AS22" s="34">
        <f>MAX(F22:G22,750)*0.05*AR22</f>
        <v/>
      </c>
      <c r="AT22" t="n">
        <v>15.5</v>
      </c>
      <c r="AU22" s="34">
        <f>IF(AP22&gt;AT22*1.05,AP22-AT22*1.05,IF(AP22&lt;AT22*0.95,AT22*0.95-AP22,0))</f>
        <v/>
      </c>
      <c r="AV22" s="34">
        <f>MAX(F22:G22,750)*0.05*AU22</f>
        <v/>
      </c>
      <c r="AW22" s="34">
        <f>AC22+AJ22+AQ22</f>
        <v/>
      </c>
      <c r="AX22" s="34">
        <f>AF22+AM22+AT22</f>
        <v/>
      </c>
      <c r="AY22" s="34">
        <f>AB22+AI22+AP22</f>
        <v/>
      </c>
      <c r="AZ22" s="34" t="n">
        <v>0</v>
      </c>
      <c r="BA22" s="34">
        <f>AD22+AK22+AR22</f>
        <v/>
      </c>
      <c r="BB22" s="34">
        <f>MAX(F22:G22,750)*0.05*BA22</f>
        <v/>
      </c>
      <c r="BC22" s="34">
        <f>AG22+AN22+AU22</f>
        <v/>
      </c>
      <c r="BD22" s="34">
        <f>MAX(F22:G22,750)*0.05*BC22</f>
        <v/>
      </c>
      <c r="BE22" s="34">
        <f>F22*AY22</f>
        <v/>
      </c>
      <c r="BF22" s="34">
        <f>K22-M22</f>
        <v/>
      </c>
      <c r="BG22" s="34">
        <f>P22-S22</f>
        <v/>
      </c>
      <c r="BH22" s="34">
        <f>W22-AA22</f>
        <v/>
      </c>
      <c r="BI22" s="34">
        <f>BF22+BG22+BL22-BN22</f>
        <v/>
      </c>
      <c r="BJ22" s="34">
        <f>ABS(BK22)</f>
        <v/>
      </c>
      <c r="BK22" s="34">
        <f>AY22-(J22-L22+N22-Q22)</f>
        <v/>
      </c>
      <c r="BL22" s="34">
        <f>IF(AND(BK22&gt;0,MIN($F22:$G22)&lt;150,$E22="Enerji Açığı"),-100*BK22*1.03,IF(AND(BK22&gt;0,MIN($F22:$G22)&lt;150,$E22="Enerji Fazlası"),-100*BK22*1.06,IF(AND(BK22&gt;0,MIN($F22:$G22)&gt;=150,$E22="Enerji Açığı"),BK22*MIN($F22:$G22)*0.97,IF(AND(BK22&gt;0,MIN($F22:$G22)&gt;=150,$E22="Enerji Fazlası"),BK22*MIN($F22:$G22)*0.94,IF(AND(BK22&lt;0,MAX($F22:$G22)=4500,$E22="Enerji Açığı"),4500*1.05*1.06*BK22,IF(AND(BK22&lt;0,MAX($F22:$G22)=4500,$E22="Enerji Fazlası"),4500*1.05*1.03*BK22,IF(AND(BK22&lt;0,$E22="Enerji Açığı"),MAX($F22,$G22,150)*BK22*1.06,IF(AND(BK22&lt;0,$E22="Enerji Fazlası"),MAX($F22,$G22,150)*BK22*1.03,IF(AND(BK22&lt;0,$E22="Dengede"),MAX($F22:$G22,150)*1.03*BK22,MIN($F22:$G22)*0.97*BK22)))))))))</f>
        <v/>
      </c>
      <c r="BM22" s="34">
        <f>BE22-BI22-BN22</f>
        <v/>
      </c>
      <c r="BN22" s="34">
        <f>BB22</f>
        <v/>
      </c>
      <c r="BO22" s="34">
        <f>BE22-BI22</f>
        <v/>
      </c>
      <c r="BP22" s="34">
        <f>IF(AY22=0,0,BO22/AY22)</f>
        <v/>
      </c>
      <c r="BQ22" s="34">
        <f>MAX((AY22+MAX((-J22+L22-N22+Q22),0)),(MAX((J22-L22+N22-Q22),0)))</f>
        <v/>
      </c>
      <c r="BR22" s="82">
        <f>IFERROR(ABS(BK22/BQ22),0)</f>
        <v/>
      </c>
      <c r="BS22" s="34">
        <f>IF(BR22&lt;=0.1,0,BK22/BR22*(BR22-0.1))</f>
        <v/>
      </c>
      <c r="BT22" s="34">
        <f>IF((BS22)&lt;0,MAX(F22:G22)*(BS22)*1.03,MIN(F22:G22)*(BS22)*0.97)</f>
        <v/>
      </c>
      <c r="BU22" s="34">
        <f>IF(BR22&gt;0.1,1,0)</f>
        <v/>
      </c>
      <c r="BV22" s="34">
        <f>BF22+BG22+BH22+BY22-CA22</f>
        <v/>
      </c>
      <c r="BW22" s="34">
        <f>ABS(BX22)</f>
        <v/>
      </c>
      <c r="BX22" s="34">
        <f>AY22-(J22-L22+N22-Q22+T22-X22)</f>
        <v/>
      </c>
      <c r="BY22" s="34">
        <f>IF(AND(BX22&gt;0,MIN($F22:$G22)&lt;150,$E22="Enerji Açığı"),-100*BX22*1.03,IF(AND(BX22&gt;0,MIN($F22:$G22)&lt;150,$E22="Enerji Fazlası"),-100*BX22*1.06,IF(AND(BX22&gt;0,MIN($F22:$G22)&gt;=150,$E22="Enerji Açığı"),BX22*MIN($F22:$G22)*0.97,IF(AND(BX22&gt;0,MIN($F22:$G22)&gt;=150,$E22="Enerji Fazlası"),BX22*MIN($F22:$G22)*0.94,IF(AND(BX22&lt;0,MAX($F22:$G22)=4500,$E22="Enerji Açığı"),4500*1.05*1.06*BX22,IF(AND(BX22&lt;0,MAX($F22:$G22)=4500,$E22="Enerji Fazlası"),4500*1.05*1.03*BX22,IF(AND(BX22&lt;0,$E22="Enerji Açığı"),MAX($F22,$G22,150)*BX22*1.06,IF(AND(BX22&lt;0,$E22="Enerji Fazlası"),MAX($F22,$G22,150)*BX22*1.03,IF(AND(BX22&lt;0,$E22="Dengede"),MAX($F22:$G22,150)*1.03*BX22,MIN($F22:$G22)*0.97*BX22)))))))))</f>
        <v/>
      </c>
      <c r="BZ22" s="34">
        <f>BE22-BV22-CA22</f>
        <v/>
      </c>
      <c r="CA22" s="34">
        <f>BD22</f>
        <v/>
      </c>
      <c r="CB22" s="33">
        <f>BE22-BV22</f>
        <v/>
      </c>
      <c r="CC22" s="34">
        <f>IF(AY22=0,0,CB22/AY22)</f>
        <v/>
      </c>
      <c r="CD22" s="34">
        <f>MAX((AY22+MAX((-J22+L22-N22+Q22-T22+X22),0)),(MAX((J22-L22+N22-Q22+T22-X22),0)))</f>
        <v/>
      </c>
      <c r="CE22" s="82">
        <f>IFERROR(ABS(BX22/CD22),0)</f>
        <v/>
      </c>
      <c r="CF22" s="34">
        <f>IF(CE22&lt;=0.1,0,BX22/CE22*(CE22-0.1))</f>
        <v/>
      </c>
      <c r="CG22" s="34">
        <f>IF((CF22)&lt;0,MAX(F22:G22)*(CF22)*1.03,MIN(F22:G22)*(CF22)*0.97)</f>
        <v/>
      </c>
      <c r="CH22" s="34">
        <f>IF(CE22&gt;0.1,1,0)</f>
        <v/>
      </c>
      <c r="CI22" s="34">
        <f>(F22*BX22)-BY22</f>
        <v/>
      </c>
      <c r="CJ22" s="34">
        <f>IF(AY22=0,0,CI22/AY22)</f>
        <v/>
      </c>
    </row>
    <row r="23">
      <c r="A23" s="29" t="n">
        <v>46204.83333333334</v>
      </c>
      <c r="B23" s="29" t="inlineStr">
        <is>
          <t>20:00</t>
        </is>
      </c>
      <c r="C23" s="35">
        <f>INT(A23)</f>
        <v/>
      </c>
      <c r="D23" s="36">
        <f>MONTH(A23)</f>
        <v/>
      </c>
      <c r="E23" s="147" t="inlineStr">
        <is>
          <t>Enerji Açığı</t>
        </is>
      </c>
      <c r="F23" s="30" t="n">
        <v>4400</v>
      </c>
      <c r="G23" s="30" t="n">
        <v>4400</v>
      </c>
      <c r="H23" s="30" t="n">
        <v>94.51000000000001</v>
      </c>
      <c r="I23" s="30" t="n">
        <v>4277.88</v>
      </c>
      <c r="J23" s="119" t="n">
        <v>0</v>
      </c>
      <c r="K23" s="34">
        <f>F23*J23</f>
        <v/>
      </c>
      <c r="L23" s="119" t="n">
        <v>0</v>
      </c>
      <c r="M23" s="34">
        <f>L23*F23</f>
        <v/>
      </c>
      <c r="N23" s="119" t="n">
        <v>22</v>
      </c>
      <c r="O23" s="34">
        <f>F23</f>
        <v/>
      </c>
      <c r="P23" s="34">
        <f>N23*O23</f>
        <v/>
      </c>
      <c r="Q23" s="119" t="n">
        <v>0</v>
      </c>
      <c r="R23" s="34">
        <f>F23</f>
        <v/>
      </c>
      <c r="S23" s="34">
        <f>R23*Q23</f>
        <v/>
      </c>
      <c r="T23" s="34" t="n"/>
      <c r="U23" s="34">
        <f>IFERROR(W23/T23,0)</f>
        <v/>
      </c>
      <c r="V23" s="34">
        <f>IF(U23=0,0,U23-F23)</f>
        <v/>
      </c>
      <c r="W23" s="34" t="n"/>
      <c r="X23" s="34" t="n"/>
      <c r="Y23" s="34">
        <f>IFERROR(AA23/X23,0)</f>
        <v/>
      </c>
      <c r="Z23" s="34">
        <f>IF(Y23=0,0,F23-Y23)</f>
        <v/>
      </c>
      <c r="AA23" s="34" t="n"/>
      <c r="AB23" s="34" t="n">
        <v>0</v>
      </c>
      <c r="AC23" s="34" t="n">
        <v>0</v>
      </c>
      <c r="AD23" s="34">
        <f>IF(AB23&gt;AC23*1.05,AB23-AC23*1.05,IF(AB23&lt;AC23*0.95,AC23*0.95-AB23,0))</f>
        <v/>
      </c>
      <c r="AE23" s="34">
        <f>MAX(F23,G23,750)*0.05*AD23</f>
        <v/>
      </c>
      <c r="AF23" s="34" t="n">
        <v>0</v>
      </c>
      <c r="AG23" s="34">
        <f>IF(AB23&gt;AF23*1.05,AB23-AF23*1.05,IF(AB23&lt;AF23*0.95,AF23*0.95-AB23,0))</f>
        <v/>
      </c>
      <c r="AH23" s="34">
        <f>MAX(I23,J23,750)*0.05*AG23</f>
        <v/>
      </c>
      <c r="AI23" t="n">
        <v>12.61</v>
      </c>
      <c r="AJ23" t="n">
        <v>9</v>
      </c>
      <c r="AK23" s="34">
        <f>IF(AI23&gt;AJ23*1.05,AI23-AJ23*1.05,IF(AI23&lt;AJ23*0.95,AJ23*0.95-AI23,0))</f>
        <v/>
      </c>
      <c r="AL23" s="34">
        <f>MAX(F23,G23,750)*0.05*AK23</f>
        <v/>
      </c>
      <c r="AM23" s="39" t="n">
        <v>11</v>
      </c>
      <c r="AN23" s="34">
        <f>IF(AI23&gt;AM23*1.05,AI23-AM23*1.05,IF(AI23&lt;AM23*0.95,AM23*0.95-AI23,0))</f>
        <v/>
      </c>
      <c r="AO23" s="34">
        <f>MAX(F23,G23,750)*0.05*AN23</f>
        <v/>
      </c>
      <c r="AP23" s="34" t="n">
        <v>14.22</v>
      </c>
      <c r="AQ23" s="34" t="n">
        <v>13</v>
      </c>
      <c r="AR23" s="34">
        <f>IF(AP23&gt;AQ23*1.05,AP23-AQ23*1.05,IF(AP23&lt;AQ23*0.95,AQ23*0.95-AP23,0))</f>
        <v/>
      </c>
      <c r="AS23" s="34">
        <f>MAX(F23:G23,750)*0.05*AR23</f>
        <v/>
      </c>
      <c r="AT23" t="n">
        <v>15</v>
      </c>
      <c r="AU23" s="34">
        <f>IF(AP23&gt;AT23*1.05,AP23-AT23*1.05,IF(AP23&lt;AT23*0.95,AT23*0.95-AP23,0))</f>
        <v/>
      </c>
      <c r="AV23" s="34">
        <f>MAX(F23:G23,750)*0.05*AU23</f>
        <v/>
      </c>
      <c r="AW23" s="34">
        <f>AC23+AJ23+AQ23</f>
        <v/>
      </c>
      <c r="AX23" s="34">
        <f>AF23+AM23+AT23</f>
        <v/>
      </c>
      <c r="AY23" s="34">
        <f>AB23+AI23+AP23</f>
        <v/>
      </c>
      <c r="AZ23" s="34" t="n">
        <v>0</v>
      </c>
      <c r="BA23" s="34">
        <f>AD23+AK23+AR23</f>
        <v/>
      </c>
      <c r="BB23" s="34">
        <f>MAX(F23:G23,750)*0.05*BA23</f>
        <v/>
      </c>
      <c r="BC23" s="34">
        <f>AG23+AN23+AU23</f>
        <v/>
      </c>
      <c r="BD23" s="34">
        <f>MAX(F23:G23,750)*0.05*BC23</f>
        <v/>
      </c>
      <c r="BE23" s="34">
        <f>F23*AY23</f>
        <v/>
      </c>
      <c r="BF23" s="34">
        <f>K23-M23</f>
        <v/>
      </c>
      <c r="BG23" s="34">
        <f>P23-S23</f>
        <v/>
      </c>
      <c r="BH23" s="34">
        <f>W23-AA23</f>
        <v/>
      </c>
      <c r="BI23" s="34">
        <f>BF23+BG23+BL23-BN23</f>
        <v/>
      </c>
      <c r="BJ23" s="34">
        <f>ABS(BK23)</f>
        <v/>
      </c>
      <c r="BK23" s="34">
        <f>AY23-(J23-L23+N23-Q23)</f>
        <v/>
      </c>
      <c r="BL23" s="34">
        <f>IF(AND(BK23&gt;0,MIN($F23:$G23)&lt;150,$E23="Enerji Açığı"),-100*BK23*1.03,IF(AND(BK23&gt;0,MIN($F23:$G23)&lt;150,$E23="Enerji Fazlası"),-100*BK23*1.06,IF(AND(BK23&gt;0,MIN($F23:$G23)&gt;=150,$E23="Enerji Açığı"),BK23*MIN($F23:$G23)*0.97,IF(AND(BK23&gt;0,MIN($F23:$G23)&gt;=150,$E23="Enerji Fazlası"),BK23*MIN($F23:$G23)*0.94,IF(AND(BK23&lt;0,MAX($F23:$G23)=4500,$E23="Enerji Açığı"),4500*1.05*1.06*BK23,IF(AND(BK23&lt;0,MAX($F23:$G23)=4500,$E23="Enerji Fazlası"),4500*1.05*1.03*BK23,IF(AND(BK23&lt;0,$E23="Enerji Açığı"),MAX($F23,$G23,150)*BK23*1.06,IF(AND(BK23&lt;0,$E23="Enerji Fazlası"),MAX($F23,$G23,150)*BK23*1.03,IF(AND(BK23&lt;0,$E23="Dengede"),MAX($F23:$G23,150)*1.03*BK23,MIN($F23:$G23)*0.97*BK23)))))))))</f>
        <v/>
      </c>
      <c r="BM23" s="34">
        <f>BE23-BI23-BN23</f>
        <v/>
      </c>
      <c r="BN23" s="34">
        <f>BB23</f>
        <v/>
      </c>
      <c r="BO23" s="34">
        <f>BE23-BI23</f>
        <v/>
      </c>
      <c r="BP23" s="34">
        <f>IF(AY23=0,0,BO23/AY23)</f>
        <v/>
      </c>
      <c r="BQ23" s="34">
        <f>MAX((AY23+MAX((-J23+L23-N23+Q23),0)),(MAX((J23-L23+N23-Q23),0)))</f>
        <v/>
      </c>
      <c r="BR23" s="82">
        <f>IFERROR(ABS(BK23/BQ23),0)</f>
        <v/>
      </c>
      <c r="BS23" s="34">
        <f>IF(BR23&lt;=0.1,0,BK23/BR23*(BR23-0.1))</f>
        <v/>
      </c>
      <c r="BT23" s="34">
        <f>IF((BS23)&lt;0,MAX(F23:G23)*(BS23)*1.03,MIN(F23:G23)*(BS23)*0.97)</f>
        <v/>
      </c>
      <c r="BU23" s="34">
        <f>IF(BR23&gt;0.1,1,0)</f>
        <v/>
      </c>
      <c r="BV23" s="34">
        <f>BF23+BG23+BH23+BY23-CA23</f>
        <v/>
      </c>
      <c r="BW23" s="34">
        <f>ABS(BX23)</f>
        <v/>
      </c>
      <c r="BX23" s="34">
        <f>AY23-(J23-L23+N23-Q23+T23-X23)</f>
        <v/>
      </c>
      <c r="BY23" s="34">
        <f>IF(AND(BX23&gt;0,MIN($F23:$G23)&lt;150,$E23="Enerji Açığı"),-100*BX23*1.03,IF(AND(BX23&gt;0,MIN($F23:$G23)&lt;150,$E23="Enerji Fazlası"),-100*BX23*1.06,IF(AND(BX23&gt;0,MIN($F23:$G23)&gt;=150,$E23="Enerji Açığı"),BX23*MIN($F23:$G23)*0.97,IF(AND(BX23&gt;0,MIN($F23:$G23)&gt;=150,$E23="Enerji Fazlası"),BX23*MIN($F23:$G23)*0.94,IF(AND(BX23&lt;0,MAX($F23:$G23)=4500,$E23="Enerji Açığı"),4500*1.05*1.06*BX23,IF(AND(BX23&lt;0,MAX($F23:$G23)=4500,$E23="Enerji Fazlası"),4500*1.05*1.03*BX23,IF(AND(BX23&lt;0,$E23="Enerji Açığı"),MAX($F23,$G23,150)*BX23*1.06,IF(AND(BX23&lt;0,$E23="Enerji Fazlası"),MAX($F23,$G23,150)*BX23*1.03,IF(AND(BX23&lt;0,$E23="Dengede"),MAX($F23:$G23,150)*1.03*BX23,MIN($F23:$G23)*0.97*BX23)))))))))</f>
        <v/>
      </c>
      <c r="BZ23" s="34">
        <f>BE23-BV23-CA23</f>
        <v/>
      </c>
      <c r="CA23" s="34">
        <f>BD23</f>
        <v/>
      </c>
      <c r="CB23" s="33">
        <f>BE23-BV23</f>
        <v/>
      </c>
      <c r="CC23" s="34">
        <f>IF(AY23=0,0,CB23/AY23)</f>
        <v/>
      </c>
      <c r="CD23" s="34">
        <f>MAX((AY23+MAX((-J23+L23-N23+Q23-T23+X23),0)),(MAX((J23-L23+N23-Q23+T23-X23),0)))</f>
        <v/>
      </c>
      <c r="CE23" s="82">
        <f>IFERROR(ABS(BX23/CD23),0)</f>
        <v/>
      </c>
      <c r="CF23" s="34">
        <f>IF(CE23&lt;=0.1,0,BX23/CE23*(CE23-0.1))</f>
        <v/>
      </c>
      <c r="CG23" s="34">
        <f>IF((CF23)&lt;0,MAX(F23:G23)*(CF23)*1.03,MIN(F23:G23)*(CF23)*0.97)</f>
        <v/>
      </c>
      <c r="CH23" s="34">
        <f>IF(CE23&gt;0.1,1,0)</f>
        <v/>
      </c>
      <c r="CI23" s="34">
        <f>(F23*BX23)-BY23</f>
        <v/>
      </c>
      <c r="CJ23" s="34">
        <f>IF(AY23=0,0,CI23/AY23)</f>
        <v/>
      </c>
    </row>
    <row r="24">
      <c r="A24" s="29" t="n">
        <v>46204.875</v>
      </c>
      <c r="B24" s="29" t="inlineStr">
        <is>
          <t>21:00</t>
        </is>
      </c>
      <c r="C24" s="35">
        <f>INT(A24)</f>
        <v/>
      </c>
      <c r="D24" s="36">
        <f>MONTH(A24)</f>
        <v/>
      </c>
      <c r="E24" s="147" t="inlineStr">
        <is>
          <t>Enerji Açığı</t>
        </is>
      </c>
      <c r="F24" s="30" t="n">
        <v>4300</v>
      </c>
      <c r="G24" s="30" t="n">
        <v>4450</v>
      </c>
      <c r="H24" s="30" t="n">
        <v>92.36</v>
      </c>
      <c r="I24" s="30" t="n">
        <v>4202.66</v>
      </c>
      <c r="J24" s="119" t="n">
        <v>0</v>
      </c>
      <c r="K24" s="34">
        <f>F24*J24</f>
        <v/>
      </c>
      <c r="L24" s="119" t="n">
        <v>0</v>
      </c>
      <c r="M24" s="34">
        <f>L24*F24</f>
        <v/>
      </c>
      <c r="N24" s="119" t="n">
        <v>21</v>
      </c>
      <c r="O24" s="34">
        <f>F24</f>
        <v/>
      </c>
      <c r="P24" s="34">
        <f>N24*O24</f>
        <v/>
      </c>
      <c r="Q24" s="119" t="n">
        <v>0</v>
      </c>
      <c r="R24" s="34">
        <f>F24</f>
        <v/>
      </c>
      <c r="S24" s="34">
        <f>R24*Q24</f>
        <v/>
      </c>
      <c r="T24" s="34" t="n"/>
      <c r="U24" s="34">
        <f>IFERROR(W24/T24,0)</f>
        <v/>
      </c>
      <c r="V24" s="34">
        <f>IF(U24=0,0,U24-F24)</f>
        <v/>
      </c>
      <c r="W24" s="34" t="n"/>
      <c r="X24" s="34" t="n"/>
      <c r="Y24" s="34">
        <f>IFERROR(AA24/X24,0)</f>
        <v/>
      </c>
      <c r="Z24" s="34">
        <f>IF(Y24=0,0,F24-Y24)</f>
        <v/>
      </c>
      <c r="AA24" s="34" t="n"/>
      <c r="AB24" s="34" t="n">
        <v>0</v>
      </c>
      <c r="AC24" s="34" t="n">
        <v>0</v>
      </c>
      <c r="AD24" s="34">
        <f>IF(AB24&gt;AC24*1.05,AB24-AC24*1.05,IF(AB24&lt;AC24*0.95,AC24*0.95-AB24,0))</f>
        <v/>
      </c>
      <c r="AE24" s="34">
        <f>MAX(F24,G24,750)*0.05*AD24</f>
        <v/>
      </c>
      <c r="AF24" s="34" t="n">
        <v>0</v>
      </c>
      <c r="AG24" s="34">
        <f>IF(AB24&gt;AF24*1.05,AB24-AF24*1.05,IF(AB24&lt;AF24*0.95,AF24*0.95-AB24,0))</f>
        <v/>
      </c>
      <c r="AH24" s="34">
        <f>MAX(I24,J24,750)*0.05*AG24</f>
        <v/>
      </c>
      <c r="AI24" t="n">
        <v>13.28</v>
      </c>
      <c r="AJ24" t="n">
        <v>9</v>
      </c>
      <c r="AK24" s="34">
        <f>IF(AI24&gt;AJ24*1.05,AI24-AJ24*1.05,IF(AI24&lt;AJ24*0.95,AJ24*0.95-AI24,0))</f>
        <v/>
      </c>
      <c r="AL24" s="34">
        <f>MAX(F24,G24,750)*0.05*AK24</f>
        <v/>
      </c>
      <c r="AM24" s="39" t="n">
        <v>13</v>
      </c>
      <c r="AN24" s="34">
        <f>IF(AI24&gt;AM24*1.05,AI24-AM24*1.05,IF(AI24&lt;AM24*0.95,AM24*0.95-AI24,0))</f>
        <v/>
      </c>
      <c r="AO24" s="34">
        <f>MAX(F24,G24,750)*0.05*AN24</f>
        <v/>
      </c>
      <c r="AP24" s="34" t="n">
        <v>15.14</v>
      </c>
      <c r="AQ24" s="34" t="n">
        <v>12</v>
      </c>
      <c r="AR24" s="34">
        <f>IF(AP24&gt;AQ24*1.05,AP24-AQ24*1.05,IF(AP24&lt;AQ24*0.95,AQ24*0.95-AP24,0))</f>
        <v/>
      </c>
      <c r="AS24" s="34">
        <f>MAX(F24:G24,750)*0.05*AR24</f>
        <v/>
      </c>
      <c r="AT24" t="n">
        <v>15</v>
      </c>
      <c r="AU24" s="34">
        <f>IF(AP24&gt;AT24*1.05,AP24-AT24*1.05,IF(AP24&lt;AT24*0.95,AT24*0.95-AP24,0))</f>
        <v/>
      </c>
      <c r="AV24" s="34">
        <f>MAX(F24:G24,750)*0.05*AU24</f>
        <v/>
      </c>
      <c r="AW24" s="34">
        <f>AC24+AJ24+AQ24</f>
        <v/>
      </c>
      <c r="AX24" s="34">
        <f>AF24+AM24+AT24</f>
        <v/>
      </c>
      <c r="AY24" s="34">
        <f>AB24+AI24+AP24</f>
        <v/>
      </c>
      <c r="AZ24" s="34" t="n">
        <v>0</v>
      </c>
      <c r="BA24" s="34">
        <f>AD24+AK24+AR24</f>
        <v/>
      </c>
      <c r="BB24" s="34">
        <f>MAX(F24:G24,750)*0.05*BA24</f>
        <v/>
      </c>
      <c r="BC24" s="34">
        <f>AG24+AN24+AU24</f>
        <v/>
      </c>
      <c r="BD24" s="34">
        <f>MAX(F24:G24,750)*0.05*BC24</f>
        <v/>
      </c>
      <c r="BE24" s="34">
        <f>F24*AY24</f>
        <v/>
      </c>
      <c r="BF24" s="34">
        <f>K24-M24</f>
        <v/>
      </c>
      <c r="BG24" s="34">
        <f>P24-S24</f>
        <v/>
      </c>
      <c r="BH24" s="34">
        <f>W24-AA24</f>
        <v/>
      </c>
      <c r="BI24" s="34">
        <f>BF24+BG24+BL24-BN24</f>
        <v/>
      </c>
      <c r="BJ24" s="34">
        <f>ABS(BK24)</f>
        <v/>
      </c>
      <c r="BK24" s="34">
        <f>AY24-(J24-L24+N24-Q24)</f>
        <v/>
      </c>
      <c r="BL24" s="34">
        <f>IF(AND(BK24&gt;0,MIN($F24:$G24)&lt;150,$E24="Enerji Açığı"),-100*BK24*1.03,IF(AND(BK24&gt;0,MIN($F24:$G24)&lt;150,$E24="Enerji Fazlası"),-100*BK24*1.06,IF(AND(BK24&gt;0,MIN($F24:$G24)&gt;=150,$E24="Enerji Açığı"),BK24*MIN($F24:$G24)*0.97,IF(AND(BK24&gt;0,MIN($F24:$G24)&gt;=150,$E24="Enerji Fazlası"),BK24*MIN($F24:$G24)*0.94,IF(AND(BK24&lt;0,MAX($F24:$G24)=4500,$E24="Enerji Açığı"),4500*1.05*1.06*BK24,IF(AND(BK24&lt;0,MAX($F24:$G24)=4500,$E24="Enerji Fazlası"),4500*1.05*1.03*BK24,IF(AND(BK24&lt;0,$E24="Enerji Açığı"),MAX($F24,$G24,150)*BK24*1.06,IF(AND(BK24&lt;0,$E24="Enerji Fazlası"),MAX($F24,$G24,150)*BK24*1.03,IF(AND(BK24&lt;0,$E24="Dengede"),MAX($F24:$G24,150)*1.03*BK24,MIN($F24:$G24)*0.97*BK24)))))))))</f>
        <v/>
      </c>
      <c r="BM24" s="34">
        <f>BE24-BI24-BN24</f>
        <v/>
      </c>
      <c r="BN24" s="34">
        <f>BB24</f>
        <v/>
      </c>
      <c r="BO24" s="34">
        <f>BE24-BI24</f>
        <v/>
      </c>
      <c r="BP24" s="34">
        <f>IF(AY24=0,0,BO24/AY24)</f>
        <v/>
      </c>
      <c r="BQ24" s="34">
        <f>MAX((AY24+MAX((-J24+L24-N24+Q24),0)),(MAX((J24-L24+N24-Q24),0)))</f>
        <v/>
      </c>
      <c r="BR24" s="82">
        <f>IFERROR(ABS(BK24/BQ24),0)</f>
        <v/>
      </c>
      <c r="BS24" s="34">
        <f>IF(BR24&lt;=0.1,0,BK24/BR24*(BR24-0.1))</f>
        <v/>
      </c>
      <c r="BT24" s="34">
        <f>IF((BS24)&lt;0,MAX(F24:G24)*(BS24)*1.03,MIN(F24:G24)*(BS24)*0.97)</f>
        <v/>
      </c>
      <c r="BU24" s="34">
        <f>IF(BR24&gt;0.1,1,0)</f>
        <v/>
      </c>
      <c r="BV24" s="34">
        <f>BF24+BG24+BH24+BY24-CA24</f>
        <v/>
      </c>
      <c r="BW24" s="34">
        <f>ABS(BX24)</f>
        <v/>
      </c>
      <c r="BX24" s="34">
        <f>AY24-(J24-L24+N24-Q24+T24-X24)</f>
        <v/>
      </c>
      <c r="BY24" s="34">
        <f>IF(AND(BX24&gt;0,MIN($F24:$G24)&lt;150,$E24="Enerji Açığı"),-100*BX24*1.03,IF(AND(BX24&gt;0,MIN($F24:$G24)&lt;150,$E24="Enerji Fazlası"),-100*BX24*1.06,IF(AND(BX24&gt;0,MIN($F24:$G24)&gt;=150,$E24="Enerji Açığı"),BX24*MIN($F24:$G24)*0.97,IF(AND(BX24&gt;0,MIN($F24:$G24)&gt;=150,$E24="Enerji Fazlası"),BX24*MIN($F24:$G24)*0.94,IF(AND(BX24&lt;0,MAX($F24:$G24)=4500,$E24="Enerji Açığı"),4500*1.05*1.06*BX24,IF(AND(BX24&lt;0,MAX($F24:$G24)=4500,$E24="Enerji Fazlası"),4500*1.05*1.03*BX24,IF(AND(BX24&lt;0,$E24="Enerji Açığı"),MAX($F24,$G24,150)*BX24*1.06,IF(AND(BX24&lt;0,$E24="Enerji Fazlası"),MAX($F24,$G24,150)*BX24*1.03,IF(AND(BX24&lt;0,$E24="Dengede"),MAX($F24:$G24,150)*1.03*BX24,MIN($F24:$G24)*0.97*BX24)))))))))</f>
        <v/>
      </c>
      <c r="BZ24" s="34">
        <f>BE24-BV24-CA24</f>
        <v/>
      </c>
      <c r="CA24" s="34">
        <f>BD24</f>
        <v/>
      </c>
      <c r="CB24" s="33">
        <f>BE24-BV24</f>
        <v/>
      </c>
      <c r="CC24" s="34">
        <f>IF(AY24=0,0,CB24/AY24)</f>
        <v/>
      </c>
      <c r="CD24" s="34">
        <f>MAX((AY24+MAX((-J24+L24-N24+Q24-T24+X24),0)),(MAX((J24-L24+N24-Q24+T24-X24),0)))</f>
        <v/>
      </c>
      <c r="CE24" s="82">
        <f>IFERROR(ABS(BX24/CD24),0)</f>
        <v/>
      </c>
      <c r="CF24" s="34">
        <f>IF(CE24&lt;=0.1,0,BX24/CE24*(CE24-0.1))</f>
        <v/>
      </c>
      <c r="CG24" s="34">
        <f>IF((CF24)&lt;0,MAX(F24:G24)*(CF24)*1.03,MIN(F24:G24)*(CF24)*0.97)</f>
        <v/>
      </c>
      <c r="CH24" s="34">
        <f>IF(CE24&gt;0.1,1,0)</f>
        <v/>
      </c>
      <c r="CI24" s="34">
        <f>(F24*BX24)-BY24</f>
        <v/>
      </c>
      <c r="CJ24" s="34">
        <f>IF(AY24=0,0,CI24/AY24)</f>
        <v/>
      </c>
    </row>
    <row r="25">
      <c r="A25" s="29" t="n">
        <v>46204.91666666666</v>
      </c>
      <c r="B25" s="29" t="inlineStr">
        <is>
          <t>22:00</t>
        </is>
      </c>
      <c r="C25" s="35">
        <f>INT(A25)</f>
        <v/>
      </c>
      <c r="D25" s="36">
        <f>MONTH(A25)</f>
        <v/>
      </c>
      <c r="E25" s="147" t="inlineStr">
        <is>
          <t>Enerji Açığı</t>
        </is>
      </c>
      <c r="F25" s="30" t="n">
        <v>3700.63</v>
      </c>
      <c r="G25" s="30" t="n">
        <v>4198</v>
      </c>
      <c r="H25" s="30" t="n">
        <v>79.48999999999999</v>
      </c>
      <c r="I25" s="30" t="n">
        <v>3627.23</v>
      </c>
      <c r="J25" s="119" t="n">
        <v>0</v>
      </c>
      <c r="K25" s="34">
        <f>F25*J25</f>
        <v/>
      </c>
      <c r="L25" s="119" t="n">
        <v>0</v>
      </c>
      <c r="M25" s="34">
        <f>L25*F25</f>
        <v/>
      </c>
      <c r="N25" s="119" t="n">
        <v>21</v>
      </c>
      <c r="O25" s="34">
        <f>F25</f>
        <v/>
      </c>
      <c r="P25" s="34">
        <f>N25*O25</f>
        <v/>
      </c>
      <c r="Q25" s="119" t="n">
        <v>0</v>
      </c>
      <c r="R25" s="34">
        <f>F25</f>
        <v/>
      </c>
      <c r="S25" s="34">
        <f>R25*Q25</f>
        <v/>
      </c>
      <c r="T25" s="34" t="n"/>
      <c r="U25" s="34">
        <f>IFERROR(W25/T25,0)</f>
        <v/>
      </c>
      <c r="V25" s="34">
        <f>IF(U25=0,0,U25-F25)</f>
        <v/>
      </c>
      <c r="W25" s="34" t="n"/>
      <c r="X25" s="34" t="n"/>
      <c r="Y25" s="34">
        <f>IFERROR(AA25/X25,0)</f>
        <v/>
      </c>
      <c r="Z25" s="34">
        <f>IF(Y25=0,0,F25-Y25)</f>
        <v/>
      </c>
      <c r="AA25" s="34" t="n"/>
      <c r="AB25" s="34" t="n">
        <v>0</v>
      </c>
      <c r="AC25" s="34" t="n">
        <v>0</v>
      </c>
      <c r="AD25" s="34">
        <f>IF(AB25&gt;AC25*1.05,AB25-AC25*1.05,IF(AB25&lt;AC25*0.95,AC25*0.95-AB25,0))</f>
        <v/>
      </c>
      <c r="AE25" s="34">
        <f>MAX(F25,G25,750)*0.05*AD25</f>
        <v/>
      </c>
      <c r="AF25" s="34" t="n">
        <v>0</v>
      </c>
      <c r="AG25" s="34">
        <f>IF(AB25&gt;AF25*1.05,AB25-AF25*1.05,IF(AB25&lt;AF25*0.95,AF25*0.95-AB25,0))</f>
        <v/>
      </c>
      <c r="AH25" s="34">
        <f>MAX(I25,J25,750)*0.05*AG25</f>
        <v/>
      </c>
      <c r="AI25" t="n">
        <v>13.22</v>
      </c>
      <c r="AJ25" t="n">
        <v>9</v>
      </c>
      <c r="AK25" s="34">
        <f>IF(AI25&gt;AJ25*1.05,AI25-AJ25*1.05,IF(AI25&lt;AJ25*0.95,AJ25*0.95-AI25,0))</f>
        <v/>
      </c>
      <c r="AL25" s="34">
        <f>MAX(F25,G25,750)*0.05*AK25</f>
        <v/>
      </c>
      <c r="AM25" s="39" t="n">
        <v>13</v>
      </c>
      <c r="AN25" s="34">
        <f>IF(AI25&gt;AM25*1.05,AI25-AM25*1.05,IF(AI25&lt;AM25*0.95,AM25*0.95-AI25,0))</f>
        <v/>
      </c>
      <c r="AO25" s="34">
        <f>MAX(F25,G25,750)*0.05*AN25</f>
        <v/>
      </c>
      <c r="AP25" s="34" t="n">
        <v>15.13</v>
      </c>
      <c r="AQ25" s="34" t="n">
        <v>12</v>
      </c>
      <c r="AR25" s="34">
        <f>IF(AP25&gt;AQ25*1.05,AP25-AQ25*1.05,IF(AP25&lt;AQ25*0.95,AQ25*0.95-AP25,0))</f>
        <v/>
      </c>
      <c r="AS25" s="34">
        <f>MAX(F25:G25,750)*0.05*AR25</f>
        <v/>
      </c>
      <c r="AT25" t="n">
        <v>15</v>
      </c>
      <c r="AU25" s="34">
        <f>IF(AP25&gt;AT25*1.05,AP25-AT25*1.05,IF(AP25&lt;AT25*0.95,AT25*0.95-AP25,0))</f>
        <v/>
      </c>
      <c r="AV25" s="34">
        <f>MAX(F25:G25,750)*0.05*AU25</f>
        <v/>
      </c>
      <c r="AW25" s="34">
        <f>AC25+AJ25+AQ25</f>
        <v/>
      </c>
      <c r="AX25" s="34">
        <f>AF25+AM25+AT25</f>
        <v/>
      </c>
      <c r="AY25" s="34">
        <f>AB25+AI25+AP25</f>
        <v/>
      </c>
      <c r="AZ25" s="34" t="n">
        <v>0</v>
      </c>
      <c r="BA25" s="34">
        <f>AD25+AK25+AR25</f>
        <v/>
      </c>
      <c r="BB25" s="34">
        <f>MAX(F25:G25,750)*0.05*BA25</f>
        <v/>
      </c>
      <c r="BC25" s="34">
        <f>AG25+AN25+AU25</f>
        <v/>
      </c>
      <c r="BD25" s="34">
        <f>MAX(F25:G25,750)*0.05*BC25</f>
        <v/>
      </c>
      <c r="BE25" s="34">
        <f>F25*AY25</f>
        <v/>
      </c>
      <c r="BF25" s="34">
        <f>K25-M25</f>
        <v/>
      </c>
      <c r="BG25" s="34">
        <f>P25-S25</f>
        <v/>
      </c>
      <c r="BH25" s="34">
        <f>W25-AA25</f>
        <v/>
      </c>
      <c r="BI25" s="34">
        <f>BF25+BG25+BL25-BN25</f>
        <v/>
      </c>
      <c r="BJ25" s="34">
        <f>ABS(BK25)</f>
        <v/>
      </c>
      <c r="BK25" s="34">
        <f>AY25-(J25-L25+N25-Q25)</f>
        <v/>
      </c>
      <c r="BL25" s="34">
        <f>IF(AND(BK25&gt;0,MIN($F25:$G25)&lt;150,$E25="Enerji Açığı"),-100*BK25*1.03,IF(AND(BK25&gt;0,MIN($F25:$G25)&lt;150,$E25="Enerji Fazlası"),-100*BK25*1.06,IF(AND(BK25&gt;0,MIN($F25:$G25)&gt;=150,$E25="Enerji Açığı"),BK25*MIN($F25:$G25)*0.97,IF(AND(BK25&gt;0,MIN($F25:$G25)&gt;=150,$E25="Enerji Fazlası"),BK25*MIN($F25:$G25)*0.94,IF(AND(BK25&lt;0,MAX($F25:$G25)=4500,$E25="Enerji Açığı"),4500*1.05*1.06*BK25,IF(AND(BK25&lt;0,MAX($F25:$G25)=4500,$E25="Enerji Fazlası"),4500*1.05*1.03*BK25,IF(AND(BK25&lt;0,$E25="Enerji Açığı"),MAX($F25,$G25,150)*BK25*1.06,IF(AND(BK25&lt;0,$E25="Enerji Fazlası"),MAX($F25,$G25,150)*BK25*1.03,IF(AND(BK25&lt;0,$E25="Dengede"),MAX($F25:$G25,150)*1.03*BK25,MIN($F25:$G25)*0.97*BK25)))))))))</f>
        <v/>
      </c>
      <c r="BM25" s="34">
        <f>BE25-BI25-BN25</f>
        <v/>
      </c>
      <c r="BN25" s="34">
        <f>BB25</f>
        <v/>
      </c>
      <c r="BO25" s="34">
        <f>BE25-BI25</f>
        <v/>
      </c>
      <c r="BP25" s="34">
        <f>IF(AY25=0,0,BO25/AY25)</f>
        <v/>
      </c>
      <c r="BQ25" s="34">
        <f>MAX((AY25+MAX((-J25+L25-N25+Q25),0)),(MAX((J25-L25+N25-Q25),0)))</f>
        <v/>
      </c>
      <c r="BR25" s="82">
        <f>IFERROR(ABS(BK25/BQ25),0)</f>
        <v/>
      </c>
      <c r="BS25" s="34">
        <f>IF(BR25&lt;=0.1,0,BK25/BR25*(BR25-0.1))</f>
        <v/>
      </c>
      <c r="BT25" s="34">
        <f>IF((BS25)&lt;0,MAX(F25:G25)*(BS25)*1.03,MIN(F25:G25)*(BS25)*0.97)</f>
        <v/>
      </c>
      <c r="BU25" s="34">
        <f>IF(BR25&gt;0.1,1,0)</f>
        <v/>
      </c>
      <c r="BV25" s="34">
        <f>BF25+BG25+BH25+BY25-CA25</f>
        <v/>
      </c>
      <c r="BW25" s="34">
        <f>ABS(BX25)</f>
        <v/>
      </c>
      <c r="BX25" s="34">
        <f>AY25-(J25-L25+N25-Q25+T25-X25)</f>
        <v/>
      </c>
      <c r="BY25" s="34">
        <f>IF(AND(BX25&gt;0,MIN($F25:$G25)&lt;150,$E25="Enerji Açığı"),-100*BX25*1.03,IF(AND(BX25&gt;0,MIN($F25:$G25)&lt;150,$E25="Enerji Fazlası"),-100*BX25*1.06,IF(AND(BX25&gt;0,MIN($F25:$G25)&gt;=150,$E25="Enerji Açığı"),BX25*MIN($F25:$G25)*0.97,IF(AND(BX25&gt;0,MIN($F25:$G25)&gt;=150,$E25="Enerji Fazlası"),BX25*MIN($F25:$G25)*0.94,IF(AND(BX25&lt;0,MAX($F25:$G25)=4500,$E25="Enerji Açığı"),4500*1.05*1.06*BX25,IF(AND(BX25&lt;0,MAX($F25:$G25)=4500,$E25="Enerji Fazlası"),4500*1.05*1.03*BX25,IF(AND(BX25&lt;0,$E25="Enerji Açığı"),MAX($F25,$G25,150)*BX25*1.06,IF(AND(BX25&lt;0,$E25="Enerji Fazlası"),MAX($F25,$G25,150)*BX25*1.03,IF(AND(BX25&lt;0,$E25="Dengede"),MAX($F25:$G25,150)*1.03*BX25,MIN($F25:$G25)*0.97*BX25)))))))))</f>
        <v/>
      </c>
      <c r="BZ25" s="34">
        <f>BE25-BV25-CA25</f>
        <v/>
      </c>
      <c r="CA25" s="34">
        <f>BD25</f>
        <v/>
      </c>
      <c r="CB25" s="33">
        <f>BE25-BV25</f>
        <v/>
      </c>
      <c r="CC25" s="34">
        <f>IF(AY25=0,0,CB25/AY25)</f>
        <v/>
      </c>
      <c r="CD25" s="34">
        <f>MAX((AY25+MAX((-J25+L25-N25+Q25-T25+X25),0)),(MAX((J25-L25+N25-Q25+T25-X25),0)))</f>
        <v/>
      </c>
      <c r="CE25" s="82">
        <f>IFERROR(ABS(BX25/CD25),0)</f>
        <v/>
      </c>
      <c r="CF25" s="34">
        <f>IF(CE25&lt;=0.1,0,BX25/CE25*(CE25-0.1))</f>
        <v/>
      </c>
      <c r="CG25" s="34">
        <f>IF((CF25)&lt;0,MAX(F25:G25)*(CF25)*1.03,MIN(F25:G25)*(CF25)*0.97)</f>
        <v/>
      </c>
      <c r="CH25" s="34">
        <f>IF(CE25&gt;0.1,1,0)</f>
        <v/>
      </c>
      <c r="CI25" s="34">
        <f>(F25*BX25)-BY25</f>
        <v/>
      </c>
      <c r="CJ25" s="34">
        <f>IF(AY25=0,0,CI25/AY25)</f>
        <v/>
      </c>
      <c r="CK25" s="34" t="inlineStr">
        <is>
          <t>l</t>
        </is>
      </c>
    </row>
    <row r="26">
      <c r="A26" s="29" t="n">
        <v>46204.95833333334</v>
      </c>
      <c r="B26" s="29" t="inlineStr">
        <is>
          <t>23:00</t>
        </is>
      </c>
      <c r="C26" s="35">
        <f>INT(A26)</f>
        <v/>
      </c>
      <c r="D26" s="36">
        <f>MONTH(A26)</f>
        <v/>
      </c>
      <c r="E26" s="147" t="inlineStr">
        <is>
          <t>Enerji Açığı</t>
        </is>
      </c>
      <c r="F26" s="30" t="n">
        <v>4000</v>
      </c>
      <c r="G26" s="30" t="n">
        <v>4180</v>
      </c>
      <c r="H26" s="30" t="n">
        <v>85.92</v>
      </c>
      <c r="I26" s="30" t="n">
        <v>3582.93</v>
      </c>
      <c r="J26" s="119" t="n">
        <v>0</v>
      </c>
      <c r="K26" s="34">
        <f>F26*J26</f>
        <v/>
      </c>
      <c r="L26" s="119" t="n">
        <v>0</v>
      </c>
      <c r="M26" s="34">
        <f>L26*F26</f>
        <v/>
      </c>
      <c r="N26" s="119" t="n">
        <v>21</v>
      </c>
      <c r="O26" s="34">
        <f>F26</f>
        <v/>
      </c>
      <c r="P26" s="34">
        <f>N26*O26</f>
        <v/>
      </c>
      <c r="Q26" s="119" t="n">
        <v>0</v>
      </c>
      <c r="R26" s="34">
        <f>F26</f>
        <v/>
      </c>
      <c r="S26" s="34">
        <f>R26*Q26</f>
        <v/>
      </c>
      <c r="T26" s="34" t="n"/>
      <c r="U26" s="34">
        <f>IFERROR(W26/T26,0)</f>
        <v/>
      </c>
      <c r="V26" s="34">
        <f>IF(U26=0,0,U26-F26)</f>
        <v/>
      </c>
      <c r="W26" s="34" t="n"/>
      <c r="X26" s="34" t="n"/>
      <c r="Y26" s="34">
        <f>IFERROR(AA26/X26,0)</f>
        <v/>
      </c>
      <c r="Z26" s="34">
        <f>IF(Y26=0,0,F26-Y26)</f>
        <v/>
      </c>
      <c r="AA26" s="34" t="n"/>
      <c r="AB26" s="34" t="n">
        <v>0</v>
      </c>
      <c r="AC26" s="34" t="n">
        <v>0</v>
      </c>
      <c r="AD26" s="34">
        <f>IF(AB26&gt;AC26*1.05,AB26-AC26*1.05,IF(AB26&lt;AC26*0.95,AC26*0.95-AB26,0))</f>
        <v/>
      </c>
      <c r="AE26" s="34">
        <f>MAX(F26,G26,750)*0.05*AD26</f>
        <v/>
      </c>
      <c r="AF26" s="34" t="n">
        <v>0</v>
      </c>
      <c r="AG26" s="34">
        <f>IF(AB26&gt;AF26*1.05,AB26-AF26*1.05,IF(AB26&lt;AF26*0.95,AF26*0.95-AB26,0))</f>
        <v/>
      </c>
      <c r="AH26" s="34">
        <f>MAX(I26,J26,750)*0.05*AG26</f>
        <v/>
      </c>
      <c r="AI26" t="n">
        <v>12.22</v>
      </c>
      <c r="AJ26" t="n">
        <v>9</v>
      </c>
      <c r="AK26" s="34">
        <f>IF(AI26&gt;AJ26*1.05,AI26-AJ26*1.05,IF(AI26&lt;AJ26*0.95,AJ26*0.95-AI26,0))</f>
        <v/>
      </c>
      <c r="AL26" s="34">
        <f>MAX(F26,G26,750)*0.05*AK26</f>
        <v/>
      </c>
      <c r="AM26" s="39" t="n">
        <v>12</v>
      </c>
      <c r="AN26" s="34">
        <f>IF(AI26&gt;AM26*1.05,AI26-AM26*1.05,IF(AI26&lt;AM26*0.95,AM26*0.95-AI26,0))</f>
        <v/>
      </c>
      <c r="AO26" s="34">
        <f>MAX(F26,G26,750)*0.05*AN26</f>
        <v/>
      </c>
      <c r="AP26" s="34" t="n">
        <v>15.08</v>
      </c>
      <c r="AQ26" s="34" t="n">
        <v>12</v>
      </c>
      <c r="AR26" s="34">
        <f>IF(AP26&gt;AQ26*1.05,AP26-AQ26*1.05,IF(AP26&lt;AQ26*0.95,AQ26*0.95-AP26,0))</f>
        <v/>
      </c>
      <c r="AS26" s="34">
        <f>MAX(F26:G26,750)*0.05*AR26</f>
        <v/>
      </c>
      <c r="AT26" t="n">
        <v>15</v>
      </c>
      <c r="AU26" s="34">
        <f>IF(AP26&gt;AT26*1.05,AP26-AT26*1.05,IF(AP26&lt;AT26*0.95,AT26*0.95-AP26,0))</f>
        <v/>
      </c>
      <c r="AV26" s="34">
        <f>MAX(F26:G26,750)*0.05*AU26</f>
        <v/>
      </c>
      <c r="AW26" s="34">
        <f>AC26+AJ26+AQ26</f>
        <v/>
      </c>
      <c r="AX26" s="34">
        <f>AF26+AM26+AT26</f>
        <v/>
      </c>
      <c r="AY26" s="34">
        <f>AB26+AI26+AP26</f>
        <v/>
      </c>
      <c r="AZ26" s="34" t="n">
        <v>0</v>
      </c>
      <c r="BA26" s="34">
        <f>AD26+AK26+AR26</f>
        <v/>
      </c>
      <c r="BB26" s="34">
        <f>MAX(F26:G26,750)*0.05*BA26</f>
        <v/>
      </c>
      <c r="BC26" s="34">
        <f>AG26+AN26+AU26</f>
        <v/>
      </c>
      <c r="BD26" s="34">
        <f>MAX(F26:G26,750)*0.05*BC26</f>
        <v/>
      </c>
      <c r="BE26" s="34">
        <f>F26*AY26</f>
        <v/>
      </c>
      <c r="BF26" s="34">
        <f>K26-M26</f>
        <v/>
      </c>
      <c r="BG26" s="34">
        <f>P26-S26</f>
        <v/>
      </c>
      <c r="BH26" s="34">
        <f>W26-AA26</f>
        <v/>
      </c>
      <c r="BI26" s="34">
        <f>BF26+BG26+BL26-BN26</f>
        <v/>
      </c>
      <c r="BJ26" s="34">
        <f>ABS(BK26)</f>
        <v/>
      </c>
      <c r="BK26" s="34">
        <f>AY26-(J26-L26+N26-Q26)</f>
        <v/>
      </c>
      <c r="BL26" s="34">
        <f>IF(AND(BK26&gt;0,MIN($F26:$G26)&lt;150,$E26="Enerji Açığı"),-100*BK26*1.03,IF(AND(BK26&gt;0,MIN($F26:$G26)&lt;150,$E26="Enerji Fazlası"),-100*BK26*1.06,IF(AND(BK26&gt;0,MIN($F26:$G26)&gt;=150,$E26="Enerji Açığı"),BK26*MIN($F26:$G26)*0.97,IF(AND(BK26&gt;0,MIN($F26:$G26)&gt;=150,$E26="Enerji Fazlası"),BK26*MIN($F26:$G26)*0.94,IF(AND(BK26&lt;0,MAX($F26:$G26)=4500,$E26="Enerji Açığı"),4500*1.05*1.06*BK26,IF(AND(BK26&lt;0,MAX($F26:$G26)=4500,$E26="Enerji Fazlası"),4500*1.05*1.03*BK26,IF(AND(BK26&lt;0,$E26="Enerji Açığı"),MAX($F26,$G26,150)*BK26*1.06,IF(AND(BK26&lt;0,$E26="Enerji Fazlası"),MAX($F26,$G26,150)*BK26*1.03,IF(AND(BK26&lt;0,$E26="Dengede"),MAX($F26:$G26,150)*1.03*BK26,MIN($F26:$G26)*0.97*BK26)))))))))</f>
        <v/>
      </c>
      <c r="BM26" s="34">
        <f>BE26-BI26-BN26</f>
        <v/>
      </c>
      <c r="BN26" s="34">
        <f>BB26</f>
        <v/>
      </c>
      <c r="BO26" s="34">
        <f>BE26-BI26</f>
        <v/>
      </c>
      <c r="BP26" s="34">
        <f>IF(AY26=0,0,BO26/AY26)</f>
        <v/>
      </c>
      <c r="BQ26" s="34">
        <f>MAX((AY26+MAX((-J26+L26-N26+Q26),0)),(MAX((J26-L26+N26-Q26),0)))</f>
        <v/>
      </c>
      <c r="BR26" s="82">
        <f>IFERROR(ABS(BK26/BQ26),0)</f>
        <v/>
      </c>
      <c r="BS26" s="34">
        <f>IF(BR26&lt;=0.1,0,BK26/BR26*(BR26-0.1))</f>
        <v/>
      </c>
      <c r="BT26" s="34">
        <f>IF((BS26)&lt;0,MAX(F26:G26)*(BS26)*1.03,MIN(F26:G26)*(BS26)*0.97)</f>
        <v/>
      </c>
      <c r="BU26" s="34">
        <f>IF(BR26&gt;0.1,1,0)</f>
        <v/>
      </c>
      <c r="BV26" s="34">
        <f>BF26+BG26+BH26+BY26-CA26</f>
        <v/>
      </c>
      <c r="BW26" s="34">
        <f>ABS(BX26)</f>
        <v/>
      </c>
      <c r="BX26" s="34">
        <f>AY26-(J26-L26+N26-Q26+T26-X26)</f>
        <v/>
      </c>
      <c r="BY26" s="34">
        <f>IF(AND(BX26&gt;0,MIN($F26:$G26)&lt;150,$E26="Enerji Açığı"),-100*BX26*1.03,IF(AND(BX26&gt;0,MIN($F26:$G26)&lt;150,$E26="Enerji Fazlası"),-100*BX26*1.06,IF(AND(BX26&gt;0,MIN($F26:$G26)&gt;=150,$E26="Enerji Açığı"),BX26*MIN($F26:$G26)*0.97,IF(AND(BX26&gt;0,MIN($F26:$G26)&gt;=150,$E26="Enerji Fazlası"),BX26*MIN($F26:$G26)*0.94,IF(AND(BX26&lt;0,MAX($F26:$G26)=4500,$E26="Enerji Açığı"),4500*1.05*1.06*BX26,IF(AND(BX26&lt;0,MAX($F26:$G26)=4500,$E26="Enerji Fazlası"),4500*1.05*1.03*BX26,IF(AND(BX26&lt;0,$E26="Enerji Açığı"),MAX($F26,$G26,150)*BX26*1.06,IF(AND(BX26&lt;0,$E26="Enerji Fazlası"),MAX($F26,$G26,150)*BX26*1.03,IF(AND(BX26&lt;0,$E26="Dengede"),MAX($F26:$G26,150)*1.03*BX26,MIN($F26:$G26)*0.97*BX26)))))))))</f>
        <v/>
      </c>
      <c r="BZ26" s="34">
        <f>BE26-BV26-CA26</f>
        <v/>
      </c>
      <c r="CA26" s="34">
        <f>BD26</f>
        <v/>
      </c>
      <c r="CB26" s="33">
        <f>BE26-BV26</f>
        <v/>
      </c>
      <c r="CC26" s="34">
        <f>IF(AY26=0,0,CB26/AY26)</f>
        <v/>
      </c>
      <c r="CD26" s="34">
        <f>MAX((AY26+MAX((-J26+L26-N26+Q26-T26+X26),0)),(MAX((J26-L26+N26-Q26+T26-X26),0)))</f>
        <v/>
      </c>
      <c r="CE26" s="82">
        <f>IFERROR(ABS(BX26/CD26),0)</f>
        <v/>
      </c>
      <c r="CF26" s="34">
        <f>IF(CE26&lt;=0.1,0,BX26/CE26*(CE26-0.1))</f>
        <v/>
      </c>
      <c r="CG26" s="34">
        <f>IF((CF26)&lt;0,MAX(F26:G26)*(CF26)*1.03,MIN(F26:G26)*(CF26)*0.97)</f>
        <v/>
      </c>
      <c r="CH26" s="34">
        <f>IF(CE26&gt;0.1,1,0)</f>
        <v/>
      </c>
      <c r="CI26" s="34">
        <f>(F26*BX26)-BY26</f>
        <v/>
      </c>
      <c r="CJ26" s="34">
        <f>IF(AY26=0,0,CI26/AY26)</f>
        <v/>
      </c>
    </row>
    <row r="27" customFormat="1" s="34">
      <c r="A27" s="29" t="n">
        <v>46205</v>
      </c>
      <c r="B27" s="29" t="inlineStr">
        <is>
          <t>00:00</t>
        </is>
      </c>
      <c r="C27" s="35">
        <f>INT(A27)</f>
        <v/>
      </c>
      <c r="D27" s="36">
        <f>MONTH(A27)</f>
        <v/>
      </c>
      <c r="E27" s="147" t="inlineStr">
        <is>
          <t>Enerji Açığı</t>
        </is>
      </c>
      <c r="F27" s="30" t="n">
        <v>3743</v>
      </c>
      <c r="G27" s="30" t="n">
        <v>3800</v>
      </c>
      <c r="H27" s="30" t="n">
        <v>80.37</v>
      </c>
      <c r="I27" s="30" t="n">
        <v>3866.2</v>
      </c>
      <c r="J27" s="119" t="n">
        <v>0</v>
      </c>
      <c r="K27" s="34">
        <f>F27*J27</f>
        <v/>
      </c>
      <c r="L27" s="119" t="n">
        <v>0</v>
      </c>
      <c r="M27" s="34">
        <f>L27*F27</f>
        <v/>
      </c>
      <c r="N27" s="119" t="n">
        <v>16</v>
      </c>
      <c r="O27" s="34">
        <f>F27</f>
        <v/>
      </c>
      <c r="P27" s="34">
        <f>N27*O27</f>
        <v/>
      </c>
      <c r="Q27" s="119" t="n">
        <v>0</v>
      </c>
      <c r="R27" s="34">
        <f>F27</f>
        <v/>
      </c>
      <c r="S27" s="34">
        <f>R27*Q27</f>
        <v/>
      </c>
      <c r="T27" s="34" t="n"/>
      <c r="U27" s="34">
        <f>IFERROR(W27/T27,0)</f>
        <v/>
      </c>
      <c r="V27" s="34">
        <f>IF(U27=0,0,U27-F27)</f>
        <v/>
      </c>
      <c r="W27" s="34" t="n"/>
      <c r="X27" s="34" t="n"/>
      <c r="Y27" s="34">
        <f>IFERROR(AA27/X27,0)</f>
        <v/>
      </c>
      <c r="Z27" s="34">
        <f>IF(Y27=0,0,F27-Y27)</f>
        <v/>
      </c>
      <c r="AA27" s="34" t="n"/>
      <c r="AB27" s="34" t="n">
        <v>0</v>
      </c>
      <c r="AC27" s="34" t="n">
        <v>0</v>
      </c>
      <c r="AD27" s="34">
        <f>IF(AB27&gt;AC27*1.05,AB27-AC27*1.05,IF(AB27&lt;AC27*0.95,AC27*0.95-AB27,0))</f>
        <v/>
      </c>
      <c r="AE27" s="34">
        <f>MAX(F27,G27,750)*0.05*AD27</f>
        <v/>
      </c>
      <c r="AF27" s="34" t="n">
        <v>0</v>
      </c>
      <c r="AG27" s="34">
        <f>IF(AB27&gt;AF27*1.05,AB27-AF27*1.05,IF(AB27&lt;AF27*0.95,AF27*0.95-AB27,0))</f>
        <v/>
      </c>
      <c r="AH27" s="34">
        <f>MAX(I27,J27,750)*0.05*AG27</f>
        <v/>
      </c>
      <c r="AI27" t="n">
        <v>9.43</v>
      </c>
      <c r="AJ27" t="n">
        <v>7</v>
      </c>
      <c r="AK27" s="34">
        <f>IF(AI27&gt;AJ27*1.05,AI27-AJ27*1.05,IF(AI27&lt;AJ27*0.95,AJ27*0.95-AI27,0))</f>
        <v/>
      </c>
      <c r="AL27" s="34">
        <f>MAX(F27,G27,750)*0.05*AK27</f>
        <v/>
      </c>
      <c r="AM27" s="39" t="n">
        <v>9</v>
      </c>
      <c r="AN27" s="34">
        <f>IF(AI27&gt;AM27*1.05,AI27-AM27*1.05,IF(AI27&lt;AM27*0.95,AM27*0.95-AI27,0))</f>
        <v/>
      </c>
      <c r="AO27" s="34">
        <f>MAX(F27,G27,750)*0.05*AN27</f>
        <v/>
      </c>
      <c r="AP27" s="34" t="n">
        <v>13.31</v>
      </c>
      <c r="AQ27" s="34" t="n">
        <v>9</v>
      </c>
      <c r="AR27" s="34">
        <f>IF(AP27&gt;AQ27*1.05,AP27-AQ27*1.05,IF(AP27&lt;AQ27*0.95,AQ27*0.95-AP27,0))</f>
        <v/>
      </c>
      <c r="AS27" s="34">
        <f>MAX(F27:G27,750)*0.05*AR27</f>
        <v/>
      </c>
      <c r="AT27" t="n">
        <v>13</v>
      </c>
      <c r="AU27" s="34">
        <f>IF(AP27&gt;AT27*1.05,AP27-AT27*1.05,IF(AP27&lt;AT27*0.95,AT27*0.95-AP27,0))</f>
        <v/>
      </c>
      <c r="AV27" s="34">
        <f>MAX(F27:G27,750)*0.05*AU27</f>
        <v/>
      </c>
      <c r="AW27" s="34">
        <f>AC27+AJ27+AQ27</f>
        <v/>
      </c>
      <c r="AX27" s="34">
        <f>AF27+AM27+AT27</f>
        <v/>
      </c>
      <c r="AY27" s="34">
        <f>AB27+AI27+AP27</f>
        <v/>
      </c>
      <c r="AZ27" s="34" t="n">
        <v>0</v>
      </c>
      <c r="BA27" s="34">
        <f>AD27+AK27+AR27</f>
        <v/>
      </c>
      <c r="BB27" s="34">
        <f>MAX(F27:G27,750)*0.05*BA27</f>
        <v/>
      </c>
      <c r="BC27" s="34">
        <f>AG27+AN27+AU27</f>
        <v/>
      </c>
      <c r="BD27" s="34">
        <f>MAX(F27:G27,750)*0.05*BC27</f>
        <v/>
      </c>
      <c r="BE27" s="34">
        <f>F27*AY27</f>
        <v/>
      </c>
      <c r="BF27" s="34">
        <f>K27-M27</f>
        <v/>
      </c>
      <c r="BG27" s="34">
        <f>P27-S27</f>
        <v/>
      </c>
      <c r="BH27" s="34">
        <f>W27-AA27</f>
        <v/>
      </c>
      <c r="BI27" s="34">
        <f>BF27+BG27+BL27-BN27</f>
        <v/>
      </c>
      <c r="BJ27" s="34">
        <f>ABS(BK27)</f>
        <v/>
      </c>
      <c r="BK27" s="34">
        <f>AY27-(J27-L27+N27-Q27)</f>
        <v/>
      </c>
      <c r="BL27" s="34">
        <f>IF(AND(BK27&gt;0,MIN($F27:$G27)&lt;150,$E27="Enerji Açığı"),-100*BK27*1.03,IF(AND(BK27&gt;0,MIN($F27:$G27)&lt;150,$E27="Enerji Fazlası"),-100*BK27*1.06,IF(AND(BK27&gt;0,MIN($F27:$G27)&gt;=150,$E27="Enerji Açığı"),BK27*MIN($F27:$G27)*0.97,IF(AND(BK27&gt;0,MIN($F27:$G27)&gt;=150,$E27="Enerji Fazlası"),BK27*MIN($F27:$G27)*0.94,IF(AND(BK27&lt;0,MAX($F27:$G27)=4500,$E27="Enerji Açığı"),4500*1.05*1.06*BK27,IF(AND(BK27&lt;0,MAX($F27:$G27)=4500,$E27="Enerji Fazlası"),4500*1.05*1.03*BK27,IF(AND(BK27&lt;0,$E27="Enerji Açığı"),MAX($F27,$G27,150)*BK27*1.06,IF(AND(BK27&lt;0,$E27="Enerji Fazlası"),MAX($F27,$G27,150)*BK27*1.03,IF(AND(BK27&lt;0,$E27="Dengede"),MAX($F27:$G27,150)*1.03*BK27,MIN($F27:$G27)*0.97*BK27)))))))))</f>
        <v/>
      </c>
      <c r="BM27" s="34">
        <f>BE27-BI27-BN27</f>
        <v/>
      </c>
      <c r="BN27" s="34">
        <f>BB27</f>
        <v/>
      </c>
      <c r="BO27" s="34">
        <f>BE27-BI27</f>
        <v/>
      </c>
      <c r="BP27" s="34">
        <f>IF(AY27=0,0,BO27/AY27)</f>
        <v/>
      </c>
      <c r="BQ27" s="34">
        <f>MAX((AY27+MAX((-J27+L27-N27+Q27),0)),(MAX((J27-L27+N27-Q27),0)))</f>
        <v/>
      </c>
      <c r="BR27" s="82">
        <f>IFERROR(ABS(BK27/BQ27),0)</f>
        <v/>
      </c>
      <c r="BS27" s="34">
        <f>IF(BR27&lt;=0.1,0,BK27/BR27*(BR27-0.1))</f>
        <v/>
      </c>
      <c r="BT27" s="34">
        <f>IF((BS27)&lt;0,MAX(F27:G27)*(BS27)*1.03,MIN(F27:G27)*(BS27)*0.97)</f>
        <v/>
      </c>
      <c r="BU27" s="34">
        <f>IF(BR27&gt;0.1,1,0)</f>
        <v/>
      </c>
      <c r="BV27" s="34">
        <f>BF27+BG27+BH27+BY27-CA27</f>
        <v/>
      </c>
      <c r="BW27" s="34">
        <f>ABS(BX27)</f>
        <v/>
      </c>
      <c r="BX27" s="34">
        <f>AY27-(J27-L27+N27-Q27+T27-X27)</f>
        <v/>
      </c>
      <c r="BY27" s="34">
        <f>IF(AND(BX27&gt;0,MIN($F27:$G27)&lt;150,$E27="Enerji Açığı"),-100*BX27*1.03,IF(AND(BX27&gt;0,MIN($F27:$G27)&lt;150,$E27="Enerji Fazlası"),-100*BX27*1.06,IF(AND(BX27&gt;0,MIN($F27:$G27)&gt;=150,$E27="Enerji Açığı"),BX27*MIN($F27:$G27)*0.97,IF(AND(BX27&gt;0,MIN($F27:$G27)&gt;=150,$E27="Enerji Fazlası"),BX27*MIN($F27:$G27)*0.94,IF(AND(BX27&lt;0,MAX($F27:$G27)=4500,$E27="Enerji Açığı"),4500*1.05*1.06*BX27,IF(AND(BX27&lt;0,MAX($F27:$G27)=4500,$E27="Enerji Fazlası"),4500*1.05*1.03*BX27,IF(AND(BX27&lt;0,$E27="Enerji Açığı"),MAX($F27,$G27,150)*BX27*1.06,IF(AND(BX27&lt;0,$E27="Enerji Fazlası"),MAX($F27,$G27,150)*BX27*1.03,IF(AND(BX27&lt;0,$E27="Dengede"),MAX($F27:$G27,150)*1.03*BX27,MIN($F27:$G27)*0.97*BX27)))))))))</f>
        <v/>
      </c>
      <c r="BZ27" s="34">
        <f>BE27-BV27-CA27</f>
        <v/>
      </c>
      <c r="CA27" s="34">
        <f>BD27</f>
        <v/>
      </c>
      <c r="CB27" s="33">
        <f>BE27-BV27</f>
        <v/>
      </c>
      <c r="CC27" s="34">
        <f>IF(AY27=0,0,CB27/AY27)</f>
        <v/>
      </c>
      <c r="CD27" s="34">
        <f>MAX((AY27+MAX((-J27+L27-N27+Q27-T27+X27),0)),(MAX((J27-L27+N27-Q27+T27-X27),0)))</f>
        <v/>
      </c>
      <c r="CE27" s="82">
        <f>IFERROR(ABS(BX27/CD27),0)</f>
        <v/>
      </c>
      <c r="CF27" s="34">
        <f>IF(CE27&lt;=0.1,0,BX27/CE27*(CE27-0.1))</f>
        <v/>
      </c>
      <c r="CG27" s="34">
        <f>IF((CF27)&lt;0,MAX(F27:G27)*(CF27)*1.03,MIN(F27:G27)*(CF27)*0.97)</f>
        <v/>
      </c>
      <c r="CH27" s="34">
        <f>IF(CE27&gt;0.1,1,0)</f>
        <v/>
      </c>
      <c r="CI27" s="34">
        <f>(F27*BX27)-BY27</f>
        <v/>
      </c>
      <c r="CJ27" s="34">
        <f>IF(AY27=0,0,CI27/AY27)</f>
        <v/>
      </c>
    </row>
    <row r="28">
      <c r="A28" s="29" t="n">
        <v>46205.04166666666</v>
      </c>
      <c r="B28" s="29" t="inlineStr">
        <is>
          <t>01:00</t>
        </is>
      </c>
      <c r="C28" s="35">
        <f>INT(A28)</f>
        <v/>
      </c>
      <c r="D28" s="36">
        <f>MONTH(A28)</f>
        <v/>
      </c>
      <c r="E28" s="147" t="inlineStr">
        <is>
          <t>Enerji Açığı</t>
        </is>
      </c>
      <c r="F28" s="30" t="n">
        <v>3200</v>
      </c>
      <c r="G28" s="30" t="n">
        <v>3450</v>
      </c>
      <c r="H28" s="30" t="n">
        <v>68.70999999999999</v>
      </c>
      <c r="I28" s="30" t="n">
        <v>3389.41</v>
      </c>
      <c r="J28" s="119" t="n">
        <v>0</v>
      </c>
      <c r="K28" s="34">
        <f>F28*J28</f>
        <v/>
      </c>
      <c r="L28" s="119" t="n">
        <v>0</v>
      </c>
      <c r="M28" s="34">
        <f>L28*F28</f>
        <v/>
      </c>
      <c r="N28" s="119" t="n">
        <v>16</v>
      </c>
      <c r="O28" s="34">
        <f>F28</f>
        <v/>
      </c>
      <c r="P28" s="34">
        <f>N28*O28</f>
        <v/>
      </c>
      <c r="Q28" s="119" t="n">
        <v>0</v>
      </c>
      <c r="R28" s="34">
        <f>F28</f>
        <v/>
      </c>
      <c r="S28" s="34">
        <f>R28*Q28</f>
        <v/>
      </c>
      <c r="T28" s="34" t="n"/>
      <c r="U28" s="34">
        <f>IFERROR(W28/T28,0)</f>
        <v/>
      </c>
      <c r="V28" s="34">
        <f>IF(U28=0,0,U28-F28)</f>
        <v/>
      </c>
      <c r="W28" s="34" t="n"/>
      <c r="X28" s="34" t="n"/>
      <c r="Y28" s="34">
        <f>IFERROR(AA28/X28,0)</f>
        <v/>
      </c>
      <c r="Z28" s="34">
        <f>IF(Y28=0,0,F28-Y28)</f>
        <v/>
      </c>
      <c r="AA28" s="34" t="n"/>
      <c r="AB28" s="34" t="n">
        <v>0</v>
      </c>
      <c r="AC28" s="34" t="n">
        <v>0</v>
      </c>
      <c r="AD28" s="34">
        <f>IF(AB28&gt;AC28*1.05,AB28-AC28*1.05,IF(AB28&lt;AC28*0.95,AC28*0.95-AB28,0))</f>
        <v/>
      </c>
      <c r="AE28" s="34">
        <f>MAX(F28,G28,750)*0.05*AD28</f>
        <v/>
      </c>
      <c r="AF28" s="34" t="n">
        <v>0</v>
      </c>
      <c r="AG28" s="34">
        <f>IF(AB28&gt;AF28*1.05,AB28-AF28*1.05,IF(AB28&lt;AF28*0.95,AF28*0.95-AB28,0))</f>
        <v/>
      </c>
      <c r="AH28" s="34">
        <f>MAX(I28,J28,750)*0.05*AG28</f>
        <v/>
      </c>
      <c r="AI28" t="n">
        <v>9.300000000000001</v>
      </c>
      <c r="AJ28" t="n">
        <v>7</v>
      </c>
      <c r="AK28" s="34">
        <f>IF(AI28&gt;AJ28*1.05,AI28-AJ28*1.05,IF(AI28&lt;AJ28*0.95,AJ28*0.95-AI28,0))</f>
        <v/>
      </c>
      <c r="AL28" s="34">
        <f>MAX(F28,G28,750)*0.05*AK28</f>
        <v/>
      </c>
      <c r="AM28" s="39" t="n">
        <v>9</v>
      </c>
      <c r="AN28" s="34">
        <f>IF(AI28&gt;AM28*1.05,AI28-AM28*1.05,IF(AI28&lt;AM28*0.95,AM28*0.95-AI28,0))</f>
        <v/>
      </c>
      <c r="AO28" s="34">
        <f>MAX(F28,G28,750)*0.05*AN28</f>
        <v/>
      </c>
      <c r="AP28" s="34" t="n">
        <v>13.02</v>
      </c>
      <c r="AQ28" s="34" t="n">
        <v>9</v>
      </c>
      <c r="AR28" s="34">
        <f>IF(AP28&gt;AQ28*1.05,AP28-AQ28*1.05,IF(AP28&lt;AQ28*0.95,AQ28*0.95-AP28,0))</f>
        <v/>
      </c>
      <c r="AS28" s="34">
        <f>MAX(F28:G28,750)*0.05*AR28</f>
        <v/>
      </c>
      <c r="AT28" t="n">
        <v>13</v>
      </c>
      <c r="AU28" s="34">
        <f>IF(AP28&gt;AT28*1.05,AP28-AT28*1.05,IF(AP28&lt;AT28*0.95,AT28*0.95-AP28,0))</f>
        <v/>
      </c>
      <c r="AV28" s="34">
        <f>MAX(F28:G28,750)*0.05*AU28</f>
        <v/>
      </c>
      <c r="AW28" s="34">
        <f>AC28+AJ28+AQ28</f>
        <v/>
      </c>
      <c r="AX28" s="34">
        <f>AF28+AM28+AT28</f>
        <v/>
      </c>
      <c r="AY28" s="34">
        <f>AB28+AI28+AP28</f>
        <v/>
      </c>
      <c r="AZ28" s="34" t="n">
        <v>0</v>
      </c>
      <c r="BA28" s="34">
        <f>AD28+AK28+AR28</f>
        <v/>
      </c>
      <c r="BB28" s="34">
        <f>MAX(F28:G28,750)*0.05*BA28</f>
        <v/>
      </c>
      <c r="BC28" s="34">
        <f>AG28+AN28+AU28</f>
        <v/>
      </c>
      <c r="BD28" s="34">
        <f>MAX(F28:G28,750)*0.05*BC28</f>
        <v/>
      </c>
      <c r="BE28" s="34">
        <f>F28*AY28</f>
        <v/>
      </c>
      <c r="BF28" s="34">
        <f>K28-M28</f>
        <v/>
      </c>
      <c r="BG28" s="34">
        <f>P28-S28</f>
        <v/>
      </c>
      <c r="BH28" s="34">
        <f>W28-AA28</f>
        <v/>
      </c>
      <c r="BI28" s="34">
        <f>BF28+BG28+BL28-BN28</f>
        <v/>
      </c>
      <c r="BJ28" s="34">
        <f>ABS(BK28)</f>
        <v/>
      </c>
      <c r="BK28" s="34">
        <f>AY28-(J28-L28+N28-Q28)</f>
        <v/>
      </c>
      <c r="BL28" s="34">
        <f>IF(AND(BK28&gt;0,MIN($F28:$G28)&lt;150,$E28="Enerji Açığı"),-100*BK28*1.03,IF(AND(BK28&gt;0,MIN($F28:$G28)&lt;150,$E28="Enerji Fazlası"),-100*BK28*1.06,IF(AND(BK28&gt;0,MIN($F28:$G28)&gt;=150,$E28="Enerji Açığı"),BK28*MIN($F28:$G28)*0.97,IF(AND(BK28&gt;0,MIN($F28:$G28)&gt;=150,$E28="Enerji Fazlası"),BK28*MIN($F28:$G28)*0.94,IF(AND(BK28&lt;0,MAX($F28:$G28)=4500,$E28="Enerji Açığı"),4500*1.05*1.06*BK28,IF(AND(BK28&lt;0,MAX($F28:$G28)=4500,$E28="Enerji Fazlası"),4500*1.05*1.03*BK28,IF(AND(BK28&lt;0,$E28="Enerji Açığı"),MAX($F28,$G28,150)*BK28*1.06,IF(AND(BK28&lt;0,$E28="Enerji Fazlası"),MAX($F28,$G28,150)*BK28*1.03,IF(AND(BK28&lt;0,$E28="Dengede"),MAX($F28:$G28,150)*1.03*BK28,MIN($F28:$G28)*0.97*BK28)))))))))</f>
        <v/>
      </c>
      <c r="BM28" s="34">
        <f>BE28-BI28-BN28</f>
        <v/>
      </c>
      <c r="BN28" s="34">
        <f>BB28</f>
        <v/>
      </c>
      <c r="BO28" s="34">
        <f>BE28-BI28</f>
        <v/>
      </c>
      <c r="BP28" s="34">
        <f>IF(AY28=0,0,BO28/AY28)</f>
        <v/>
      </c>
      <c r="BQ28" s="34">
        <f>MAX((AY28+MAX((-J28+L28-N28+Q28),0)),(MAX((J28-L28+N28-Q28),0)))</f>
        <v/>
      </c>
      <c r="BR28" s="82">
        <f>IFERROR(ABS(BK28/BQ28),0)</f>
        <v/>
      </c>
      <c r="BS28" s="34">
        <f>IF(BR28&lt;=0.1,0,BK28/BR28*(BR28-0.1))</f>
        <v/>
      </c>
      <c r="BT28" s="34">
        <f>IF((BS28)&lt;0,MAX(F28:G28)*(BS28)*1.03,MIN(F28:G28)*(BS28)*0.97)</f>
        <v/>
      </c>
      <c r="BU28" s="34">
        <f>IF(BR28&gt;0.1,1,0)</f>
        <v/>
      </c>
      <c r="BV28" s="34">
        <f>BF28+BG28+BH28+BY28-CA28</f>
        <v/>
      </c>
      <c r="BW28" s="34">
        <f>ABS(BX28)</f>
        <v/>
      </c>
      <c r="BX28" s="34">
        <f>AY28-(J28-L28+N28-Q28+T28-X28)</f>
        <v/>
      </c>
      <c r="BY28" s="34">
        <f>IF(AND(BX28&gt;0,MIN($F28:$G28)&lt;150,$E28="Enerji Açığı"),-100*BX28*1.03,IF(AND(BX28&gt;0,MIN($F28:$G28)&lt;150,$E28="Enerji Fazlası"),-100*BX28*1.06,IF(AND(BX28&gt;0,MIN($F28:$G28)&gt;=150,$E28="Enerji Açığı"),BX28*MIN($F28:$G28)*0.97,IF(AND(BX28&gt;0,MIN($F28:$G28)&gt;=150,$E28="Enerji Fazlası"),BX28*MIN($F28:$G28)*0.94,IF(AND(BX28&lt;0,MAX($F28:$G28)=4500,$E28="Enerji Açığı"),4500*1.05*1.06*BX28,IF(AND(BX28&lt;0,MAX($F28:$G28)=4500,$E28="Enerji Fazlası"),4500*1.05*1.03*BX28,IF(AND(BX28&lt;0,$E28="Enerji Açığı"),MAX($F28,$G28,150)*BX28*1.06,IF(AND(BX28&lt;0,$E28="Enerji Fazlası"),MAX($F28,$G28,150)*BX28*1.03,IF(AND(BX28&lt;0,$E28="Dengede"),MAX($F28:$G28,150)*1.03*BX28,MIN($F28:$G28)*0.97*BX28)))))))))</f>
        <v/>
      </c>
      <c r="BZ28" s="34">
        <f>BE28-BV28-CA28</f>
        <v/>
      </c>
      <c r="CA28" s="34">
        <f>BD28</f>
        <v/>
      </c>
      <c r="CB28" s="33">
        <f>BE28-BV28</f>
        <v/>
      </c>
      <c r="CC28" s="34">
        <f>IF(AY28=0,0,CB28/AY28)</f>
        <v/>
      </c>
      <c r="CD28" s="34">
        <f>MAX((AY28+MAX((-J28+L28-N28+Q28-T28+X28),0)),(MAX((J28-L28+N28-Q28+T28-X28),0)))</f>
        <v/>
      </c>
      <c r="CE28" s="82">
        <f>IFERROR(ABS(BX28/CD28),0)</f>
        <v/>
      </c>
      <c r="CF28" s="34">
        <f>IF(CE28&lt;=0.1,0,BX28/CE28*(CE28-0.1))</f>
        <v/>
      </c>
      <c r="CG28" s="34">
        <f>IF((CF28)&lt;0,MAX(F28:G28)*(CF28)*1.03,MIN(F28:G28)*(CF28)*0.97)</f>
        <v/>
      </c>
      <c r="CH28" s="34">
        <f>IF(CE28&gt;0.1,1,0)</f>
        <v/>
      </c>
      <c r="CI28" s="34">
        <f>(F28*BX28)-BY28</f>
        <v/>
      </c>
      <c r="CJ28" s="34">
        <f>IF(AY28=0,0,CI28/AY28)</f>
        <v/>
      </c>
    </row>
    <row r="29">
      <c r="A29" s="29" t="n">
        <v>46205.08333333334</v>
      </c>
      <c r="B29" s="29" t="inlineStr">
        <is>
          <t>02:00</t>
        </is>
      </c>
      <c r="C29" s="35">
        <f>INT(A29)</f>
        <v/>
      </c>
      <c r="D29" s="36">
        <f>MONTH(A29)</f>
        <v/>
      </c>
      <c r="E29" s="147" t="inlineStr">
        <is>
          <t>Enerji Açığı</t>
        </is>
      </c>
      <c r="F29" s="30" t="n">
        <v>3300</v>
      </c>
      <c r="G29" s="30" t="n">
        <v>3500</v>
      </c>
      <c r="H29" s="30" t="n">
        <v>70.84999999999999</v>
      </c>
      <c r="I29" s="30" t="n">
        <v>3423.13</v>
      </c>
      <c r="J29" s="119" t="n">
        <v>0</v>
      </c>
      <c r="K29" s="34">
        <f>F29*J29</f>
        <v/>
      </c>
      <c r="L29" s="119" t="n">
        <v>0</v>
      </c>
      <c r="M29" s="34">
        <f>L29*F29</f>
        <v/>
      </c>
      <c r="N29" s="119" t="n">
        <v>16</v>
      </c>
      <c r="O29" s="34">
        <f>F29</f>
        <v/>
      </c>
      <c r="P29" s="34">
        <f>N29*O29</f>
        <v/>
      </c>
      <c r="Q29" s="119" t="n">
        <v>0</v>
      </c>
      <c r="R29" s="34">
        <f>F29</f>
        <v/>
      </c>
      <c r="S29" s="34">
        <f>R29*Q29</f>
        <v/>
      </c>
      <c r="T29" s="34" t="n"/>
      <c r="U29" s="34">
        <f>IFERROR(W29/T29,0)</f>
        <v/>
      </c>
      <c r="V29" s="34">
        <f>IF(U29=0,0,U29-F29)</f>
        <v/>
      </c>
      <c r="W29" s="34" t="n"/>
      <c r="X29" s="34" t="n"/>
      <c r="Y29" s="34">
        <f>IFERROR(AA29/X29,0)</f>
        <v/>
      </c>
      <c r="Z29" s="34">
        <f>IF(Y29=0,0,F29-Y29)</f>
        <v/>
      </c>
      <c r="AA29" s="34" t="n"/>
      <c r="AB29" s="34" t="n">
        <v>0</v>
      </c>
      <c r="AC29" s="34" t="n">
        <v>0</v>
      </c>
      <c r="AD29" s="34">
        <f>IF(AB29&gt;AC29*1.05,AB29-AC29*1.05,IF(AB29&lt;AC29*0.95,AC29*0.95-AB29,0))</f>
        <v/>
      </c>
      <c r="AE29" s="34">
        <f>MAX(F29,G29,750)*0.05*AD29</f>
        <v/>
      </c>
      <c r="AF29" s="34" t="n">
        <v>0</v>
      </c>
      <c r="AG29" s="34">
        <f>IF(AB29&gt;AF29*1.05,AB29-AF29*1.05,IF(AB29&lt;AF29*0.95,AF29*0.95-AB29,0))</f>
        <v/>
      </c>
      <c r="AH29" s="34">
        <f>MAX(I29,J29,750)*0.05*AG29</f>
        <v/>
      </c>
      <c r="AI29" t="n">
        <v>9.19</v>
      </c>
      <c r="AJ29" t="n">
        <v>7</v>
      </c>
      <c r="AK29" s="34">
        <f>IF(AI29&gt;AJ29*1.05,AI29-AJ29*1.05,IF(AI29&lt;AJ29*0.95,AJ29*0.95-AI29,0))</f>
        <v/>
      </c>
      <c r="AL29" s="34">
        <f>MAX(F29,G29,750)*0.05*AK29</f>
        <v/>
      </c>
      <c r="AM29" s="39" t="n">
        <v>9</v>
      </c>
      <c r="AN29" s="34">
        <f>IF(AI29&gt;AM29*1.05,AI29-AM29*1.05,IF(AI29&lt;AM29*0.95,AM29*0.95-AI29,0))</f>
        <v/>
      </c>
      <c r="AO29" s="34">
        <f>MAX(F29,G29,750)*0.05*AN29</f>
        <v/>
      </c>
      <c r="AP29" s="34" t="n">
        <v>13.06</v>
      </c>
      <c r="AQ29" s="34" t="n">
        <v>9</v>
      </c>
      <c r="AR29" s="34">
        <f>IF(AP29&gt;AQ29*1.05,AP29-AQ29*1.05,IF(AP29&lt;AQ29*0.95,AQ29*0.95-AP29,0))</f>
        <v/>
      </c>
      <c r="AS29" s="34">
        <f>MAX(F29:G29,750)*0.05*AR29</f>
        <v/>
      </c>
      <c r="AT29" t="n">
        <v>13</v>
      </c>
      <c r="AU29" s="34">
        <f>IF(AP29&gt;AT29*1.05,AP29-AT29*1.05,IF(AP29&lt;AT29*0.95,AT29*0.95-AP29,0))</f>
        <v/>
      </c>
      <c r="AV29" s="34">
        <f>MAX(F29:G29,750)*0.05*AU29</f>
        <v/>
      </c>
      <c r="AW29" s="34">
        <f>AC29+AJ29+AQ29</f>
        <v/>
      </c>
      <c r="AX29" s="34">
        <f>AF29+AM29+AT29</f>
        <v/>
      </c>
      <c r="AY29" s="34">
        <f>AB29+AI29+AP29</f>
        <v/>
      </c>
      <c r="AZ29" s="34" t="n">
        <v>0</v>
      </c>
      <c r="BA29" s="34">
        <f>AD29+AK29+AR29</f>
        <v/>
      </c>
      <c r="BB29" s="34">
        <f>MAX(F29:G29,750)*0.05*BA29</f>
        <v/>
      </c>
      <c r="BC29" s="34">
        <f>AG29+AN29+AU29</f>
        <v/>
      </c>
      <c r="BD29" s="34">
        <f>MAX(F29:G29,750)*0.05*BC29</f>
        <v/>
      </c>
      <c r="BE29" s="34">
        <f>F29*AY29</f>
        <v/>
      </c>
      <c r="BF29" s="34">
        <f>K29-M29</f>
        <v/>
      </c>
      <c r="BG29" s="34">
        <f>P29-S29</f>
        <v/>
      </c>
      <c r="BH29" s="34">
        <f>W29-AA29</f>
        <v/>
      </c>
      <c r="BI29" s="34">
        <f>BF29+BG29+BL29-BN29</f>
        <v/>
      </c>
      <c r="BJ29" s="34">
        <f>ABS(BK29)</f>
        <v/>
      </c>
      <c r="BK29" s="34">
        <f>AY29-(J29-L29+N29-Q29)</f>
        <v/>
      </c>
      <c r="BL29" s="34">
        <f>IF(AND(BK29&gt;0,MIN($F29:$G29)&lt;150,$E29="Enerji Açığı"),-100*BK29*1.03,IF(AND(BK29&gt;0,MIN($F29:$G29)&lt;150,$E29="Enerji Fazlası"),-100*BK29*1.06,IF(AND(BK29&gt;0,MIN($F29:$G29)&gt;=150,$E29="Enerji Açığı"),BK29*MIN($F29:$G29)*0.97,IF(AND(BK29&gt;0,MIN($F29:$G29)&gt;=150,$E29="Enerji Fazlası"),BK29*MIN($F29:$G29)*0.94,IF(AND(BK29&lt;0,MAX($F29:$G29)=4500,$E29="Enerji Açığı"),4500*1.05*1.06*BK29,IF(AND(BK29&lt;0,MAX($F29:$G29)=4500,$E29="Enerji Fazlası"),4500*1.05*1.03*BK29,IF(AND(BK29&lt;0,$E29="Enerji Açığı"),MAX($F29,$G29,150)*BK29*1.06,IF(AND(BK29&lt;0,$E29="Enerji Fazlası"),MAX($F29,$G29,150)*BK29*1.03,IF(AND(BK29&lt;0,$E29="Dengede"),MAX($F29:$G29,150)*1.03*BK29,MIN($F29:$G29)*0.97*BK29)))))))))</f>
        <v/>
      </c>
      <c r="BM29" s="34">
        <f>BE29-BI29-BN29</f>
        <v/>
      </c>
      <c r="BN29" s="34">
        <f>BB29</f>
        <v/>
      </c>
      <c r="BO29" s="34">
        <f>BE29-BI29</f>
        <v/>
      </c>
      <c r="BP29" s="34">
        <f>IF(AY29=0,0,BO29/AY29)</f>
        <v/>
      </c>
      <c r="BQ29" s="34">
        <f>MAX((AY29+MAX((-J29+L29-N29+Q29),0)),(MAX((J29-L29+N29-Q29),0)))</f>
        <v/>
      </c>
      <c r="BR29" s="82">
        <f>IFERROR(ABS(BK29/BQ29),0)</f>
        <v/>
      </c>
      <c r="BS29" s="34">
        <f>IF(BR29&lt;=0.1,0,BK29/BR29*(BR29-0.1))</f>
        <v/>
      </c>
      <c r="BT29" s="34">
        <f>IF((BS29)&lt;0,MAX(F29:G29)*(BS29)*1.03,MIN(F29:G29)*(BS29)*0.97)</f>
        <v/>
      </c>
      <c r="BU29" s="34">
        <f>IF(BR29&gt;0.1,1,0)</f>
        <v/>
      </c>
      <c r="BV29" s="34">
        <f>BF29+BG29+BH29+BY29-CA29</f>
        <v/>
      </c>
      <c r="BW29" s="34">
        <f>ABS(BX29)</f>
        <v/>
      </c>
      <c r="BX29" s="34">
        <f>AY29-(J29-L29+N29-Q29+T29-X29)</f>
        <v/>
      </c>
      <c r="BY29" s="34">
        <f>IF(AND(BX29&gt;0,MIN($F29:$G29)&lt;150,$E29="Enerji Açığı"),-100*BX29*1.03,IF(AND(BX29&gt;0,MIN($F29:$G29)&lt;150,$E29="Enerji Fazlası"),-100*BX29*1.06,IF(AND(BX29&gt;0,MIN($F29:$G29)&gt;=150,$E29="Enerji Açığı"),BX29*MIN($F29:$G29)*0.97,IF(AND(BX29&gt;0,MIN($F29:$G29)&gt;=150,$E29="Enerji Fazlası"),BX29*MIN($F29:$G29)*0.94,IF(AND(BX29&lt;0,MAX($F29:$G29)=4500,$E29="Enerji Açığı"),4500*1.05*1.06*BX29,IF(AND(BX29&lt;0,MAX($F29:$G29)=4500,$E29="Enerji Fazlası"),4500*1.05*1.03*BX29,IF(AND(BX29&lt;0,$E29="Enerji Açığı"),MAX($F29,$G29,150)*BX29*1.06,IF(AND(BX29&lt;0,$E29="Enerji Fazlası"),MAX($F29,$G29,150)*BX29*1.03,IF(AND(BX29&lt;0,$E29="Dengede"),MAX($F29:$G29,150)*1.03*BX29,MIN($F29:$G29)*0.97*BX29)))))))))</f>
        <v/>
      </c>
      <c r="BZ29" s="34">
        <f>BE29-BV29-CA29</f>
        <v/>
      </c>
      <c r="CA29" s="34">
        <f>BD29</f>
        <v/>
      </c>
      <c r="CB29" s="33">
        <f>BE29-BV29</f>
        <v/>
      </c>
      <c r="CC29" s="34">
        <f>IF(AY29=0,0,CB29/AY29)</f>
        <v/>
      </c>
      <c r="CD29" s="34">
        <f>MAX((AY29+MAX((-J29+L29-N29+Q29-T29+X29),0)),(MAX((J29-L29+N29-Q29+T29-X29),0)))</f>
        <v/>
      </c>
      <c r="CE29" s="82">
        <f>IFERROR(ABS(BX29/CD29),0)</f>
        <v/>
      </c>
      <c r="CF29" s="34">
        <f>IF(CE29&lt;=0.1,0,BX29/CE29*(CE29-0.1))</f>
        <v/>
      </c>
      <c r="CG29" s="34">
        <f>IF((CF29)&lt;0,MAX(F29:G29)*(CF29)*1.03,MIN(F29:G29)*(CF29)*0.97)</f>
        <v/>
      </c>
      <c r="CH29" s="34">
        <f>IF(CE29&gt;0.1,1,0)</f>
        <v/>
      </c>
      <c r="CI29" s="34">
        <f>(F29*BX29)-BY29</f>
        <v/>
      </c>
      <c r="CJ29" s="34">
        <f>IF(AY29=0,0,CI29/AY29)</f>
        <v/>
      </c>
    </row>
    <row r="30">
      <c r="A30" s="29" t="n">
        <v>46205.125</v>
      </c>
      <c r="B30" s="29" t="inlineStr">
        <is>
          <t>03:00</t>
        </is>
      </c>
      <c r="C30" s="35">
        <f>INT(A30)</f>
        <v/>
      </c>
      <c r="D30" s="36">
        <f>MONTH(A30)</f>
        <v/>
      </c>
      <c r="E30" s="147" t="inlineStr">
        <is>
          <t>Enerji Açığı</t>
        </is>
      </c>
      <c r="F30" s="30" t="n">
        <v>3269.01</v>
      </c>
      <c r="G30" s="30" t="n">
        <v>3450</v>
      </c>
      <c r="H30" s="30" t="n">
        <v>70.19</v>
      </c>
      <c r="I30" s="30" t="n">
        <v>3443.48</v>
      </c>
      <c r="J30" s="119" t="n">
        <v>0</v>
      </c>
      <c r="K30" s="34">
        <f>F30*J30</f>
        <v/>
      </c>
      <c r="L30" s="119" t="n">
        <v>0</v>
      </c>
      <c r="M30" s="34">
        <f>L30*F30</f>
        <v/>
      </c>
      <c r="N30" s="119" t="n">
        <v>16</v>
      </c>
      <c r="O30" s="34">
        <f>F30</f>
        <v/>
      </c>
      <c r="P30" s="34">
        <f>N30*O30</f>
        <v/>
      </c>
      <c r="Q30" s="119" t="n">
        <v>0</v>
      </c>
      <c r="R30" s="34">
        <f>F30</f>
        <v/>
      </c>
      <c r="S30" s="34">
        <f>R30*Q30</f>
        <v/>
      </c>
      <c r="T30" s="34" t="n"/>
      <c r="U30" s="34">
        <f>IFERROR(W30/T30,0)</f>
        <v/>
      </c>
      <c r="V30" s="34">
        <f>IF(U30=0,0,U30-F30)</f>
        <v/>
      </c>
      <c r="W30" s="34" t="n"/>
      <c r="X30" s="34" t="n"/>
      <c r="Y30" s="34">
        <f>IFERROR(AA30/X30,0)</f>
        <v/>
      </c>
      <c r="Z30" s="34">
        <f>IF(Y30=0,0,F30-Y30)</f>
        <v/>
      </c>
      <c r="AA30" s="34" t="n"/>
      <c r="AB30" s="34" t="n">
        <v>0</v>
      </c>
      <c r="AC30" s="34" t="n">
        <v>0</v>
      </c>
      <c r="AD30" s="34">
        <f>IF(AB30&gt;AC30*1.05,AB30-AC30*1.05,IF(AB30&lt;AC30*0.95,AC30*0.95-AB30,0))</f>
        <v/>
      </c>
      <c r="AE30" s="34">
        <f>MAX(F30,G30,750)*0.05*AD30</f>
        <v/>
      </c>
      <c r="AF30" s="34" t="n">
        <v>0</v>
      </c>
      <c r="AG30" s="34">
        <f>IF(AB30&gt;AF30*1.05,AB30-AF30*1.05,IF(AB30&lt;AF30*0.95,AF30*0.95-AB30,0))</f>
        <v/>
      </c>
      <c r="AH30" s="34">
        <f>MAX(I30,J30,750)*0.05*AG30</f>
        <v/>
      </c>
      <c r="AI30" t="n">
        <v>10.45</v>
      </c>
      <c r="AJ30" t="n">
        <v>7</v>
      </c>
      <c r="AK30" s="34">
        <f>IF(AI30&gt;AJ30*1.05,AI30-AJ30*1.05,IF(AI30&lt;AJ30*0.95,AJ30*0.95-AI30,0))</f>
        <v/>
      </c>
      <c r="AL30" s="34">
        <f>MAX(F30,G30,750)*0.05*AK30</f>
        <v/>
      </c>
      <c r="AM30" s="39" t="n">
        <v>10</v>
      </c>
      <c r="AN30" s="34">
        <f>IF(AI30&gt;AM30*1.05,AI30-AM30*1.05,IF(AI30&lt;AM30*0.95,AM30*0.95-AI30,0))</f>
        <v/>
      </c>
      <c r="AO30" s="34">
        <f>MAX(F30,G30,750)*0.05*AN30</f>
        <v/>
      </c>
      <c r="AP30" s="34" t="n">
        <v>13.16</v>
      </c>
      <c r="AQ30" s="34" t="n">
        <v>9</v>
      </c>
      <c r="AR30" s="34">
        <f>IF(AP30&gt;AQ30*1.05,AP30-AQ30*1.05,IF(AP30&lt;AQ30*0.95,AQ30*0.95-AP30,0))</f>
        <v/>
      </c>
      <c r="AS30" s="34">
        <f>MAX(F30:G30,750)*0.05*AR30</f>
        <v/>
      </c>
      <c r="AT30" t="n">
        <v>13</v>
      </c>
      <c r="AU30" s="34">
        <f>IF(AP30&gt;AT30*1.05,AP30-AT30*1.05,IF(AP30&lt;AT30*0.95,AT30*0.95-AP30,0))</f>
        <v/>
      </c>
      <c r="AV30" s="34">
        <f>MAX(F30:G30,750)*0.05*AU30</f>
        <v/>
      </c>
      <c r="AW30" s="34">
        <f>AC30+AJ30+AQ30</f>
        <v/>
      </c>
      <c r="AX30" s="34">
        <f>AF30+AM30+AT30</f>
        <v/>
      </c>
      <c r="AY30" s="34">
        <f>AB30+AI30+AP30</f>
        <v/>
      </c>
      <c r="AZ30" s="34" t="n">
        <v>0</v>
      </c>
      <c r="BA30" s="34">
        <f>AD30+AK30+AR30</f>
        <v/>
      </c>
      <c r="BB30" s="34">
        <f>MAX(F30:G30,750)*0.05*BA30</f>
        <v/>
      </c>
      <c r="BC30" s="34">
        <f>AG30+AN30+AU30</f>
        <v/>
      </c>
      <c r="BD30" s="34">
        <f>MAX(F30:G30,750)*0.05*BC30</f>
        <v/>
      </c>
      <c r="BE30" s="34">
        <f>F30*AY30</f>
        <v/>
      </c>
      <c r="BF30" s="34">
        <f>K30-M30</f>
        <v/>
      </c>
      <c r="BG30" s="34">
        <f>P30-S30</f>
        <v/>
      </c>
      <c r="BH30" s="34">
        <f>W30-AA30</f>
        <v/>
      </c>
      <c r="BI30" s="34">
        <f>BF30+BG30+BL30-BN30</f>
        <v/>
      </c>
      <c r="BJ30" s="34">
        <f>ABS(BK30)</f>
        <v/>
      </c>
      <c r="BK30" s="34">
        <f>AY30-(J30-L30+N30-Q30)</f>
        <v/>
      </c>
      <c r="BL30" s="34">
        <f>IF(AND(BK30&gt;0,MIN($F30:$G30)&lt;150,$E30="Enerji Açığı"),-100*BK30*1.03,IF(AND(BK30&gt;0,MIN($F30:$G30)&lt;150,$E30="Enerji Fazlası"),-100*BK30*1.06,IF(AND(BK30&gt;0,MIN($F30:$G30)&gt;=150,$E30="Enerji Açığı"),BK30*MIN($F30:$G30)*0.97,IF(AND(BK30&gt;0,MIN($F30:$G30)&gt;=150,$E30="Enerji Fazlası"),BK30*MIN($F30:$G30)*0.94,IF(AND(BK30&lt;0,MAX($F30:$G30)=4500,$E30="Enerji Açığı"),4500*1.05*1.06*BK30,IF(AND(BK30&lt;0,MAX($F30:$G30)=4500,$E30="Enerji Fazlası"),4500*1.05*1.03*BK30,IF(AND(BK30&lt;0,$E30="Enerji Açığı"),MAX($F30,$G30,150)*BK30*1.06,IF(AND(BK30&lt;0,$E30="Enerji Fazlası"),MAX($F30,$G30,150)*BK30*1.03,IF(AND(BK30&lt;0,$E30="Dengede"),MAX($F30:$G30,150)*1.03*BK30,MIN($F30:$G30)*0.97*BK30)))))))))</f>
        <v/>
      </c>
      <c r="BM30" s="34">
        <f>BE30-BI30-BN30</f>
        <v/>
      </c>
      <c r="BN30" s="34">
        <f>BB30</f>
        <v/>
      </c>
      <c r="BO30" s="34">
        <f>BE30-BI30</f>
        <v/>
      </c>
      <c r="BP30" s="34">
        <f>IF(AY30=0,0,BO30/AY30)</f>
        <v/>
      </c>
      <c r="BQ30" s="34">
        <f>MAX((AY30+MAX((-J30+L30-N30+Q30),0)),(MAX((J30-L30+N30-Q30),0)))</f>
        <v/>
      </c>
      <c r="BR30" s="82">
        <f>IFERROR(ABS(BK30/BQ30),0)</f>
        <v/>
      </c>
      <c r="BS30" s="34">
        <f>IF(BR30&lt;=0.1,0,BK30/BR30*(BR30-0.1))</f>
        <v/>
      </c>
      <c r="BT30" s="34">
        <f>IF((BS30)&lt;0,MAX(F30:G30)*(BS30)*1.03,MIN(F30:G30)*(BS30)*0.97)</f>
        <v/>
      </c>
      <c r="BU30" s="34">
        <f>IF(BR30&gt;0.1,1,0)</f>
        <v/>
      </c>
      <c r="BV30" s="34">
        <f>BF30+BG30+BH30+BY30-CA30</f>
        <v/>
      </c>
      <c r="BW30" s="34">
        <f>ABS(BX30)</f>
        <v/>
      </c>
      <c r="BX30" s="34">
        <f>AY30-(J30-L30+N30-Q30+T30-X30)</f>
        <v/>
      </c>
      <c r="BY30" s="34">
        <f>IF(AND(BX30&gt;0,MIN($F30:$G30)&lt;150,$E30="Enerji Açığı"),-100*BX30*1.03,IF(AND(BX30&gt;0,MIN($F30:$G30)&lt;150,$E30="Enerji Fazlası"),-100*BX30*1.06,IF(AND(BX30&gt;0,MIN($F30:$G30)&gt;=150,$E30="Enerji Açığı"),BX30*MIN($F30:$G30)*0.97,IF(AND(BX30&gt;0,MIN($F30:$G30)&gt;=150,$E30="Enerji Fazlası"),BX30*MIN($F30:$G30)*0.94,IF(AND(BX30&lt;0,MAX($F30:$G30)=4500,$E30="Enerji Açığı"),4500*1.05*1.06*BX30,IF(AND(BX30&lt;0,MAX($F30:$G30)=4500,$E30="Enerji Fazlası"),4500*1.05*1.03*BX30,IF(AND(BX30&lt;0,$E30="Enerji Açığı"),MAX($F30,$G30,150)*BX30*1.06,IF(AND(BX30&lt;0,$E30="Enerji Fazlası"),MAX($F30,$G30,150)*BX30*1.03,IF(AND(BX30&lt;0,$E30="Dengede"),MAX($F30:$G30,150)*1.03*BX30,MIN($F30:$G30)*0.97*BX30)))))))))</f>
        <v/>
      </c>
      <c r="BZ30" s="34">
        <f>BE30-BV30-CA30</f>
        <v/>
      </c>
      <c r="CA30" s="34">
        <f>BD30</f>
        <v/>
      </c>
      <c r="CB30" s="33">
        <f>BE30-BV30</f>
        <v/>
      </c>
      <c r="CC30" s="34">
        <f>IF(AY30=0,0,CB30/AY30)</f>
        <v/>
      </c>
      <c r="CD30" s="34">
        <f>MAX((AY30+MAX((-J30+L30-N30+Q30-T30+X30),0)),(MAX((J30-L30+N30-Q30+T30-X30),0)))</f>
        <v/>
      </c>
      <c r="CE30" s="82">
        <f>IFERROR(ABS(BX30/CD30),0)</f>
        <v/>
      </c>
      <c r="CF30" s="34">
        <f>IF(CE30&lt;=0.1,0,BX30/CE30*(CE30-0.1))</f>
        <v/>
      </c>
      <c r="CG30" s="34">
        <f>IF((CF30)&lt;0,MAX(F30:G30)*(CF30)*1.03,MIN(F30:G30)*(CF30)*0.97)</f>
        <v/>
      </c>
      <c r="CH30" s="34">
        <f>IF(CE30&gt;0.1,1,0)</f>
        <v/>
      </c>
      <c r="CI30" s="34">
        <f>(F30*BX30)-BY30</f>
        <v/>
      </c>
      <c r="CJ30" s="34">
        <f>IF(AY30=0,0,CI30/AY30)</f>
        <v/>
      </c>
    </row>
    <row r="31">
      <c r="A31" s="29" t="n">
        <v>46205.16666666666</v>
      </c>
      <c r="B31" s="29" t="inlineStr">
        <is>
          <t>04:00</t>
        </is>
      </c>
      <c r="C31" s="35">
        <f>INT(A31)</f>
        <v/>
      </c>
      <c r="D31" s="36">
        <f>MONTH(A31)</f>
        <v/>
      </c>
      <c r="E31" s="147" t="inlineStr">
        <is>
          <t>Enerji Açığı</t>
        </is>
      </c>
      <c r="F31" s="30" t="n">
        <v>3999.99</v>
      </c>
      <c r="G31" s="30" t="n">
        <v>3999.99</v>
      </c>
      <c r="H31" s="30" t="n">
        <v>85.88</v>
      </c>
      <c r="I31" s="30" t="n">
        <v>4231.77</v>
      </c>
      <c r="J31" s="119" t="n">
        <v>0</v>
      </c>
      <c r="K31" s="34">
        <f>F31*J31</f>
        <v/>
      </c>
      <c r="L31" s="119" t="n">
        <v>0</v>
      </c>
      <c r="M31" s="34">
        <f>L31*F31</f>
        <v/>
      </c>
      <c r="N31" s="119" t="n">
        <v>18</v>
      </c>
      <c r="O31" s="34">
        <f>F31</f>
        <v/>
      </c>
      <c r="P31" s="34">
        <f>N31*O31</f>
        <v/>
      </c>
      <c r="Q31" s="119" t="n">
        <v>0</v>
      </c>
      <c r="R31" s="34">
        <f>F31</f>
        <v/>
      </c>
      <c r="S31" s="34">
        <f>R31*Q31</f>
        <v/>
      </c>
      <c r="T31" s="34" t="n"/>
      <c r="U31" s="34">
        <f>IFERROR(W31/T31,0)</f>
        <v/>
      </c>
      <c r="V31" s="34">
        <f>IF(U31=0,0,U31-F31)</f>
        <v/>
      </c>
      <c r="W31" s="34" t="n"/>
      <c r="X31" s="34" t="n"/>
      <c r="Y31" s="34">
        <f>IFERROR(AA31/X31,0)</f>
        <v/>
      </c>
      <c r="Z31" s="34">
        <f>IF(Y31=0,0,F31-Y31)</f>
        <v/>
      </c>
      <c r="AA31" s="34" t="n"/>
      <c r="AB31" s="34" t="n">
        <v>0</v>
      </c>
      <c r="AC31" s="34" t="n">
        <v>0</v>
      </c>
      <c r="AD31" s="34">
        <f>IF(AB31&gt;AC31*1.05,AB31-AC31*1.05,IF(AB31&lt;AC31*0.95,AC31*0.95-AB31,0))</f>
        <v/>
      </c>
      <c r="AE31" s="34">
        <f>MAX(F31,G31,750)*0.05*AD31</f>
        <v/>
      </c>
      <c r="AF31" s="34" t="n">
        <v>0</v>
      </c>
      <c r="AG31" s="34">
        <f>IF(AB31&gt;AF31*1.05,AB31-AF31*1.05,IF(AB31&lt;AF31*0.95,AF31*0.95-AB31,0))</f>
        <v/>
      </c>
      <c r="AH31" s="34">
        <f>MAX(I31,J31,750)*0.05*AG31</f>
        <v/>
      </c>
      <c r="AI31" t="n">
        <v>10.17</v>
      </c>
      <c r="AJ31" t="n">
        <v>8</v>
      </c>
      <c r="AK31" s="34">
        <f>IF(AI31&gt;AJ31*1.05,AI31-AJ31*1.05,IF(AI31&lt;AJ31*0.95,AJ31*0.95-AI31,0))</f>
        <v/>
      </c>
      <c r="AL31" s="34">
        <f>MAX(F31,G31,750)*0.05*AK31</f>
        <v/>
      </c>
      <c r="AM31" s="39" t="n">
        <v>10</v>
      </c>
      <c r="AN31" s="34">
        <f>IF(AI31&gt;AM31*1.05,AI31-AM31*1.05,IF(AI31&lt;AM31*0.95,AM31*0.95-AI31,0))</f>
        <v/>
      </c>
      <c r="AO31" s="34">
        <f>MAX(F31,G31,750)*0.05*AN31</f>
        <v/>
      </c>
      <c r="AP31" s="34" t="n">
        <v>13.13</v>
      </c>
      <c r="AQ31" s="34" t="n">
        <v>10</v>
      </c>
      <c r="AR31" s="34">
        <f>IF(AP31&gt;AQ31*1.05,AP31-AQ31*1.05,IF(AP31&lt;AQ31*0.95,AQ31*0.95-AP31,0))</f>
        <v/>
      </c>
      <c r="AS31" s="34">
        <f>MAX(F31:G31,750)*0.05*AR31</f>
        <v/>
      </c>
      <c r="AT31" t="n">
        <v>13</v>
      </c>
      <c r="AU31" s="34">
        <f>IF(AP31&gt;AT31*1.05,AP31-AT31*1.05,IF(AP31&lt;AT31*0.95,AT31*0.95-AP31,0))</f>
        <v/>
      </c>
      <c r="AV31" s="34">
        <f>MAX(F31:G31,750)*0.05*AU31</f>
        <v/>
      </c>
      <c r="AW31" s="34">
        <f>AC31+AJ31+AQ31</f>
        <v/>
      </c>
      <c r="AX31" s="34">
        <f>AF31+AM31+AT31</f>
        <v/>
      </c>
      <c r="AY31" s="34">
        <f>AB31+AI31+AP31</f>
        <v/>
      </c>
      <c r="AZ31" s="34" t="n">
        <v>0</v>
      </c>
      <c r="BA31" s="34">
        <f>AD31+AK31+AR31</f>
        <v/>
      </c>
      <c r="BB31" s="34">
        <f>MAX(F31:G31,750)*0.05*BA31</f>
        <v/>
      </c>
      <c r="BC31" s="34">
        <f>AG31+AN31+AU31</f>
        <v/>
      </c>
      <c r="BD31" s="34">
        <f>MAX(F31:G31,750)*0.05*BC31</f>
        <v/>
      </c>
      <c r="BE31" s="34">
        <f>F31*AY31</f>
        <v/>
      </c>
      <c r="BF31" s="34">
        <f>K31-M31</f>
        <v/>
      </c>
      <c r="BG31" s="34">
        <f>P31-S31</f>
        <v/>
      </c>
      <c r="BH31" s="34">
        <f>W31-AA31</f>
        <v/>
      </c>
      <c r="BI31" s="34">
        <f>BF31+BG31+BL31-BN31</f>
        <v/>
      </c>
      <c r="BJ31" s="34">
        <f>ABS(BK31)</f>
        <v/>
      </c>
      <c r="BK31" s="34">
        <f>AY31-(J31-L31+N31-Q31)</f>
        <v/>
      </c>
      <c r="BL31" s="34">
        <f>IF(AND(BK31&gt;0,MIN($F31:$G31)&lt;150,$E31="Enerji Açığı"),-100*BK31*1.03,IF(AND(BK31&gt;0,MIN($F31:$G31)&lt;150,$E31="Enerji Fazlası"),-100*BK31*1.06,IF(AND(BK31&gt;0,MIN($F31:$G31)&gt;=150,$E31="Enerji Açığı"),BK31*MIN($F31:$G31)*0.97,IF(AND(BK31&gt;0,MIN($F31:$G31)&gt;=150,$E31="Enerji Fazlası"),BK31*MIN($F31:$G31)*0.94,IF(AND(BK31&lt;0,MAX($F31:$G31)=4500,$E31="Enerji Açığı"),4500*1.05*1.06*BK31,IF(AND(BK31&lt;0,MAX($F31:$G31)=4500,$E31="Enerji Fazlası"),4500*1.05*1.03*BK31,IF(AND(BK31&lt;0,$E31="Enerji Açığı"),MAX($F31,$G31,150)*BK31*1.06,IF(AND(BK31&lt;0,$E31="Enerji Fazlası"),MAX($F31,$G31,150)*BK31*1.03,IF(AND(BK31&lt;0,$E31="Dengede"),MAX($F31:$G31,150)*1.03*BK31,MIN($F31:$G31)*0.97*BK31)))))))))</f>
        <v/>
      </c>
      <c r="BM31" s="34">
        <f>BE31-BI31-BN31</f>
        <v/>
      </c>
      <c r="BN31" s="34">
        <f>BB31</f>
        <v/>
      </c>
      <c r="BO31" s="34">
        <f>BE31-BI31</f>
        <v/>
      </c>
      <c r="BP31" s="34">
        <f>IF(AY31=0,0,BO31/AY31)</f>
        <v/>
      </c>
      <c r="BQ31" s="34">
        <f>MAX((AY31+MAX((-J31+L31-N31+Q31),0)),(MAX((J31-L31+N31-Q31),0)))</f>
        <v/>
      </c>
      <c r="BR31" s="82">
        <f>IFERROR(ABS(BK31/BQ31),0)</f>
        <v/>
      </c>
      <c r="BS31" s="34">
        <f>IF(BR31&lt;=0.1,0,BK31/BR31*(BR31-0.1))</f>
        <v/>
      </c>
      <c r="BT31" s="34">
        <f>IF((BS31)&lt;0,MAX(F31:G31)*(BS31)*1.03,MIN(F31:G31)*(BS31)*0.97)</f>
        <v/>
      </c>
      <c r="BU31" s="34">
        <f>IF(BR31&gt;0.1,1,0)</f>
        <v/>
      </c>
      <c r="BV31" s="34">
        <f>BF31+BG31+BH31+BY31-CA31</f>
        <v/>
      </c>
      <c r="BW31" s="34">
        <f>ABS(BX31)</f>
        <v/>
      </c>
      <c r="BX31" s="34">
        <f>AY31-(J31-L31+N31-Q31+T31-X31)</f>
        <v/>
      </c>
      <c r="BY31" s="34">
        <f>IF(AND(BX31&gt;0,MIN($F31:$G31)&lt;150,$E31="Enerji Açığı"),-100*BX31*1.03,IF(AND(BX31&gt;0,MIN($F31:$G31)&lt;150,$E31="Enerji Fazlası"),-100*BX31*1.06,IF(AND(BX31&gt;0,MIN($F31:$G31)&gt;=150,$E31="Enerji Açığı"),BX31*MIN($F31:$G31)*0.97,IF(AND(BX31&gt;0,MIN($F31:$G31)&gt;=150,$E31="Enerji Fazlası"),BX31*MIN($F31:$G31)*0.94,IF(AND(BX31&lt;0,MAX($F31:$G31)=4500,$E31="Enerji Açığı"),4500*1.05*1.06*BX31,IF(AND(BX31&lt;0,MAX($F31:$G31)=4500,$E31="Enerji Fazlası"),4500*1.05*1.03*BX31,IF(AND(BX31&lt;0,$E31="Enerji Açığı"),MAX($F31,$G31,150)*BX31*1.06,IF(AND(BX31&lt;0,$E31="Enerji Fazlası"),MAX($F31,$G31,150)*BX31*1.03,IF(AND(BX31&lt;0,$E31="Dengede"),MAX($F31:$G31,150)*1.03*BX31,MIN($F31:$G31)*0.97*BX31)))))))))</f>
        <v/>
      </c>
      <c r="BZ31" s="34">
        <f>BE31-BV31-CA31</f>
        <v/>
      </c>
      <c r="CA31" s="34">
        <f>BD31</f>
        <v/>
      </c>
      <c r="CB31" s="33">
        <f>BE31-BV31</f>
        <v/>
      </c>
      <c r="CC31" s="34">
        <f>IF(AY31=0,0,CB31/AY31)</f>
        <v/>
      </c>
      <c r="CD31" s="34">
        <f>MAX((AY31+MAX((-J31+L31-N31+Q31-T31+X31),0)),(MAX((J31-L31+N31-Q31+T31-X31),0)))</f>
        <v/>
      </c>
      <c r="CE31" s="82">
        <f>IFERROR(ABS(BX31/CD31),0)</f>
        <v/>
      </c>
      <c r="CF31" s="34">
        <f>IF(CE31&lt;=0.1,0,BX31/CE31*(CE31-0.1))</f>
        <v/>
      </c>
      <c r="CG31" s="34">
        <f>IF((CF31)&lt;0,MAX(F31:G31)*(CF31)*1.03,MIN(F31:G31)*(CF31)*0.97)</f>
        <v/>
      </c>
      <c r="CH31" s="34">
        <f>IF(CE31&gt;0.1,1,0)</f>
        <v/>
      </c>
      <c r="CI31" s="34">
        <f>(F31*BX31)-BY31</f>
        <v/>
      </c>
      <c r="CJ31" s="34">
        <f>IF(AY31=0,0,CI31/AY31)</f>
        <v/>
      </c>
    </row>
    <row r="32">
      <c r="A32" s="29" t="n">
        <v>46205.20833333334</v>
      </c>
      <c r="B32" s="29" t="inlineStr">
        <is>
          <t>05:00</t>
        </is>
      </c>
      <c r="C32" s="35">
        <f>INT(A32)</f>
        <v/>
      </c>
      <c r="D32" s="36">
        <f>MONTH(A32)</f>
        <v/>
      </c>
      <c r="E32" s="147" t="inlineStr">
        <is>
          <t>Enerji Fazlası</t>
        </is>
      </c>
      <c r="F32" s="30" t="n">
        <v>3999.99</v>
      </c>
      <c r="G32" s="30" t="n">
        <v>3999.99</v>
      </c>
      <c r="H32" s="30" t="n">
        <v>85.88</v>
      </c>
      <c r="I32" s="30" t="n">
        <v>4224.94</v>
      </c>
      <c r="J32" s="119" t="n">
        <v>0</v>
      </c>
      <c r="K32" s="34">
        <f>F32*J32</f>
        <v/>
      </c>
      <c r="L32" s="119" t="n">
        <v>0</v>
      </c>
      <c r="M32" s="34">
        <f>L32*F32</f>
        <v/>
      </c>
      <c r="N32" s="119" t="n">
        <v>18</v>
      </c>
      <c r="O32" s="34">
        <f>F32</f>
        <v/>
      </c>
      <c r="P32" s="34">
        <f>N32*O32</f>
        <v/>
      </c>
      <c r="Q32" s="119" t="n">
        <v>0</v>
      </c>
      <c r="R32" s="34">
        <f>F32</f>
        <v/>
      </c>
      <c r="S32" s="34">
        <f>R32*Q32</f>
        <v/>
      </c>
      <c r="T32" s="34" t="n"/>
      <c r="U32" s="34">
        <f>IFERROR(W32/T32,0)</f>
        <v/>
      </c>
      <c r="V32" s="34">
        <f>IF(U32=0,0,U32-F32)</f>
        <v/>
      </c>
      <c r="W32" s="34" t="n"/>
      <c r="X32" s="34" t="n"/>
      <c r="Y32" s="34">
        <f>IFERROR(AA32/X32,0)</f>
        <v/>
      </c>
      <c r="Z32" s="34">
        <f>IF(Y32=0,0,F32-Y32)</f>
        <v/>
      </c>
      <c r="AA32" s="34" t="n"/>
      <c r="AB32" s="34" t="n">
        <v>0</v>
      </c>
      <c r="AC32" s="34" t="n">
        <v>0</v>
      </c>
      <c r="AD32" s="34">
        <f>IF(AB32&gt;AC32*1.05,AB32-AC32*1.05,IF(AB32&lt;AC32*0.95,AC32*0.95-AB32,0))</f>
        <v/>
      </c>
      <c r="AE32" s="34">
        <f>MAX(F32,G32,750)*0.05*AD32</f>
        <v/>
      </c>
      <c r="AF32" s="34" t="n">
        <v>0</v>
      </c>
      <c r="AG32" s="34">
        <f>IF(AB32&gt;AF32*1.05,AB32-AF32*1.05,IF(AB32&lt;AF32*0.95,AF32*0.95-AB32,0))</f>
        <v/>
      </c>
      <c r="AH32" s="34">
        <f>MAX(I32,J32,750)*0.05*AG32</f>
        <v/>
      </c>
      <c r="AI32" t="n">
        <v>10.26</v>
      </c>
      <c r="AJ32" t="n">
        <v>8</v>
      </c>
      <c r="AK32" s="34">
        <f>IF(AI32&gt;AJ32*1.05,AI32-AJ32*1.05,IF(AI32&lt;AJ32*0.95,AJ32*0.95-AI32,0))</f>
        <v/>
      </c>
      <c r="AL32" s="34">
        <f>MAX(F32,G32,750)*0.05*AK32</f>
        <v/>
      </c>
      <c r="AM32" s="39" t="n">
        <v>10</v>
      </c>
      <c r="AN32" s="34">
        <f>IF(AI32&gt;AM32*1.05,AI32-AM32*1.05,IF(AI32&lt;AM32*0.95,AM32*0.95-AI32,0))</f>
        <v/>
      </c>
      <c r="AO32" s="34">
        <f>MAX(F32,G32,750)*0.05*AN32</f>
        <v/>
      </c>
      <c r="AP32" s="34" t="n">
        <v>13.2</v>
      </c>
      <c r="AQ32" s="34" t="n">
        <v>10</v>
      </c>
      <c r="AR32" s="34">
        <f>IF(AP32&gt;AQ32*1.05,AP32-AQ32*1.05,IF(AP32&lt;AQ32*0.95,AQ32*0.95-AP32,0))</f>
        <v/>
      </c>
      <c r="AS32" s="34">
        <f>MAX(F32:G32,750)*0.05*AR32</f>
        <v/>
      </c>
      <c r="AT32" t="n">
        <v>13</v>
      </c>
      <c r="AU32" s="34">
        <f>IF(AP32&gt;AT32*1.05,AP32-AT32*1.05,IF(AP32&lt;AT32*0.95,AT32*0.95-AP32,0))</f>
        <v/>
      </c>
      <c r="AV32" s="34">
        <f>MAX(F32:G32,750)*0.05*AU32</f>
        <v/>
      </c>
      <c r="AW32" s="34">
        <f>AC32+AJ32+AQ32</f>
        <v/>
      </c>
      <c r="AX32" s="34">
        <f>AF32+AM32+AT32</f>
        <v/>
      </c>
      <c r="AY32" s="34">
        <f>AB32+AI32+AP32</f>
        <v/>
      </c>
      <c r="AZ32" s="34" t="n">
        <v>0</v>
      </c>
      <c r="BA32" s="34">
        <f>AD32+AK32+AR32</f>
        <v/>
      </c>
      <c r="BB32" s="34">
        <f>MAX(F32:G32,750)*0.05*BA32</f>
        <v/>
      </c>
      <c r="BC32" s="34">
        <f>AG32+AN32+AU32</f>
        <v/>
      </c>
      <c r="BD32" s="34">
        <f>MAX(F32:G32,750)*0.05*BC32</f>
        <v/>
      </c>
      <c r="BE32" s="34">
        <f>F32*AY32</f>
        <v/>
      </c>
      <c r="BF32" s="34">
        <f>K32-M32</f>
        <v/>
      </c>
      <c r="BG32" s="34">
        <f>P32-S32</f>
        <v/>
      </c>
      <c r="BH32" s="34">
        <f>W32-AA32</f>
        <v/>
      </c>
      <c r="BI32" s="34">
        <f>BF32+BG32+BL32-BN32</f>
        <v/>
      </c>
      <c r="BJ32" s="34">
        <f>ABS(BK32)</f>
        <v/>
      </c>
      <c r="BK32" s="34">
        <f>AY32-(J32-L32+N32-Q32)</f>
        <v/>
      </c>
      <c r="BL32" s="34">
        <f>IF(AND(BK32&gt;0,MIN($F32:$G32)&lt;150,$E32="Enerji Açığı"),-100*BK32*1.03,IF(AND(BK32&gt;0,MIN($F32:$G32)&lt;150,$E32="Enerji Fazlası"),-100*BK32*1.06,IF(AND(BK32&gt;0,MIN($F32:$G32)&gt;=150,$E32="Enerji Açığı"),BK32*MIN($F32:$G32)*0.97,IF(AND(BK32&gt;0,MIN($F32:$G32)&gt;=150,$E32="Enerji Fazlası"),BK32*MIN($F32:$G32)*0.94,IF(AND(BK32&lt;0,MAX($F32:$G32)=4500,$E32="Enerji Açığı"),4500*1.05*1.06*BK32,IF(AND(BK32&lt;0,MAX($F32:$G32)=4500,$E32="Enerji Fazlası"),4500*1.05*1.03*BK32,IF(AND(BK32&lt;0,$E32="Enerji Açığı"),MAX($F32,$G32,150)*BK32*1.06,IF(AND(BK32&lt;0,$E32="Enerji Fazlası"),MAX($F32,$G32,150)*BK32*1.03,IF(AND(BK32&lt;0,$E32="Dengede"),MAX($F32:$G32,150)*1.03*BK32,MIN($F32:$G32)*0.97*BK32)))))))))</f>
        <v/>
      </c>
      <c r="BM32" s="34">
        <f>BE32-BI32-BN32</f>
        <v/>
      </c>
      <c r="BN32" s="34">
        <f>BB32</f>
        <v/>
      </c>
      <c r="BO32" s="34">
        <f>BE32-BI32</f>
        <v/>
      </c>
      <c r="BP32" s="34">
        <f>IF(AY32=0,0,BO32/AY32)</f>
        <v/>
      </c>
      <c r="BQ32" s="34">
        <f>MAX((AY32+MAX((-J32+L32-N32+Q32),0)),(MAX((J32-L32+N32-Q32),0)))</f>
        <v/>
      </c>
      <c r="BR32" s="82">
        <f>IFERROR(ABS(BK32/BQ32),0)</f>
        <v/>
      </c>
      <c r="BS32" s="34">
        <f>IF(BR32&lt;=0.1,0,BK32/BR32*(BR32-0.1))</f>
        <v/>
      </c>
      <c r="BT32" s="34">
        <f>IF((BS32)&lt;0,MAX(F32:G32)*(BS32)*1.03,MIN(F32:G32)*(BS32)*0.97)</f>
        <v/>
      </c>
      <c r="BU32" s="34">
        <f>IF(BR32&gt;0.1,1,0)</f>
        <v/>
      </c>
      <c r="BV32" s="34">
        <f>BF32+BG32+BH32+BY32-CA32</f>
        <v/>
      </c>
      <c r="BW32" s="34">
        <f>ABS(BX32)</f>
        <v/>
      </c>
      <c r="BX32" s="34">
        <f>AY32-(J32-L32+N32-Q32+T32-X32)</f>
        <v/>
      </c>
      <c r="BY32" s="34">
        <f>IF(AND(BX32&gt;0,MIN($F32:$G32)&lt;150,$E32="Enerji Açığı"),-100*BX32*1.03,IF(AND(BX32&gt;0,MIN($F32:$G32)&lt;150,$E32="Enerji Fazlası"),-100*BX32*1.06,IF(AND(BX32&gt;0,MIN($F32:$G32)&gt;=150,$E32="Enerji Açığı"),BX32*MIN($F32:$G32)*0.97,IF(AND(BX32&gt;0,MIN($F32:$G32)&gt;=150,$E32="Enerji Fazlası"),BX32*MIN($F32:$G32)*0.94,IF(AND(BX32&lt;0,MAX($F32:$G32)=4500,$E32="Enerji Açığı"),4500*1.05*1.06*BX32,IF(AND(BX32&lt;0,MAX($F32:$G32)=4500,$E32="Enerji Fazlası"),4500*1.05*1.03*BX32,IF(AND(BX32&lt;0,$E32="Enerji Açığı"),MAX($F32,$G32,150)*BX32*1.06,IF(AND(BX32&lt;0,$E32="Enerji Fazlası"),MAX($F32,$G32,150)*BX32*1.03,IF(AND(BX32&lt;0,$E32="Dengede"),MAX($F32:$G32,150)*1.03*BX32,MIN($F32:$G32)*0.97*BX32)))))))))</f>
        <v/>
      </c>
      <c r="BZ32" s="34">
        <f>BE32-BV32-CA32</f>
        <v/>
      </c>
      <c r="CA32" s="34">
        <f>BD32</f>
        <v/>
      </c>
      <c r="CB32" s="33">
        <f>BE32-BV32</f>
        <v/>
      </c>
      <c r="CC32" s="34">
        <f>IF(AY32=0,0,CB32/AY32)</f>
        <v/>
      </c>
      <c r="CD32" s="34">
        <f>MAX((AY32+MAX((-J32+L32-N32+Q32-T32+X32),0)),(MAX((J32-L32+N32-Q32+T32-X32),0)))</f>
        <v/>
      </c>
      <c r="CE32" s="82">
        <f>IFERROR(ABS(BX32/CD32),0)</f>
        <v/>
      </c>
      <c r="CF32" s="34">
        <f>IF(CE32&lt;=0.1,0,BX32/CE32*(CE32-0.1))</f>
        <v/>
      </c>
      <c r="CG32" s="34">
        <f>IF((CF32)&lt;0,MAX(F32:G32)*(CF32)*1.03,MIN(F32:G32)*(CF32)*0.97)</f>
        <v/>
      </c>
      <c r="CH32" s="34">
        <f>IF(CE32&gt;0.1,1,0)</f>
        <v/>
      </c>
      <c r="CI32" s="34">
        <f>(F32*BX32)-BY32</f>
        <v/>
      </c>
      <c r="CJ32" s="34">
        <f>IF(AY32=0,0,CI32/AY32)</f>
        <v/>
      </c>
    </row>
    <row r="33">
      <c r="A33" s="29" t="n">
        <v>46205.25</v>
      </c>
      <c r="B33" s="29" t="inlineStr">
        <is>
          <t>06:00</t>
        </is>
      </c>
      <c r="C33" s="35">
        <f>INT(A33)</f>
        <v/>
      </c>
      <c r="D33" s="36">
        <f>MONTH(A33)</f>
        <v/>
      </c>
      <c r="E33" s="147" t="inlineStr">
        <is>
          <t>Enerji Fazlası</t>
        </is>
      </c>
      <c r="F33" s="30" t="n">
        <v>3488.22</v>
      </c>
      <c r="G33" s="30" t="n">
        <v>1834</v>
      </c>
      <c r="H33" s="30" t="n">
        <v>74.90000000000001</v>
      </c>
      <c r="I33" s="30" t="n">
        <v>3562.07</v>
      </c>
      <c r="J33" s="119" t="n">
        <v>0</v>
      </c>
      <c r="K33" s="34">
        <f>F33*J33</f>
        <v/>
      </c>
      <c r="L33" s="119" t="n">
        <v>0</v>
      </c>
      <c r="M33" s="34">
        <f>L33*F33</f>
        <v/>
      </c>
      <c r="N33" s="119" t="n">
        <v>19.2</v>
      </c>
      <c r="O33" s="34">
        <f>F33</f>
        <v/>
      </c>
      <c r="P33" s="34">
        <f>N33*O33</f>
        <v/>
      </c>
      <c r="Q33" s="119" t="n">
        <v>0</v>
      </c>
      <c r="R33" s="34">
        <f>F33</f>
        <v/>
      </c>
      <c r="S33" s="34">
        <f>R33*Q33</f>
        <v/>
      </c>
      <c r="T33" s="34" t="n"/>
      <c r="U33" s="34">
        <f>IFERROR(W33/T33,0)</f>
        <v/>
      </c>
      <c r="V33" s="34">
        <f>IF(U33=0,0,U33-F33)</f>
        <v/>
      </c>
      <c r="W33" s="34" t="n"/>
      <c r="X33" s="34" t="n"/>
      <c r="Y33" s="34">
        <f>IFERROR(AA33/X33,0)</f>
        <v/>
      </c>
      <c r="Z33" s="34">
        <f>IF(Y33=0,0,F33-Y33)</f>
        <v/>
      </c>
      <c r="AA33" s="34" t="n"/>
      <c r="AB33" s="34" t="n">
        <v>0</v>
      </c>
      <c r="AC33" s="34" t="n">
        <v>0</v>
      </c>
      <c r="AD33" s="34">
        <f>IF(AB33&gt;AC33*1.05,AB33-AC33*1.05,IF(AB33&lt;AC33*0.95,AC33*0.95-AB33,0))</f>
        <v/>
      </c>
      <c r="AE33" s="34">
        <f>MAX(F33,G33,750)*0.05*AD33</f>
        <v/>
      </c>
      <c r="AF33" s="34" t="n">
        <v>0</v>
      </c>
      <c r="AG33" s="34">
        <f>IF(AB33&gt;AF33*1.05,AB33-AF33*1.05,IF(AB33&lt;AF33*0.95,AF33*0.95-AB33,0))</f>
        <v/>
      </c>
      <c r="AH33" s="34">
        <f>MAX(I33,J33,750)*0.05*AG33</f>
        <v/>
      </c>
      <c r="AI33" t="n">
        <v>10.19</v>
      </c>
      <c r="AJ33" t="n">
        <v>8</v>
      </c>
      <c r="AK33" s="34">
        <f>IF(AI33&gt;AJ33*1.05,AI33-AJ33*1.05,IF(AI33&lt;AJ33*0.95,AJ33*0.95-AI33,0))</f>
        <v/>
      </c>
      <c r="AL33" s="34">
        <f>MAX(F33,G33,750)*0.05*AK33</f>
        <v/>
      </c>
      <c r="AM33" s="39" t="n">
        <v>10</v>
      </c>
      <c r="AN33" s="34">
        <f>IF(AI33&gt;AM33*1.05,AI33-AM33*1.05,IF(AI33&lt;AM33*0.95,AM33*0.95-AI33,0))</f>
        <v/>
      </c>
      <c r="AO33" s="34">
        <f>MAX(F33,G33,750)*0.05*AN33</f>
        <v/>
      </c>
      <c r="AP33" s="34" t="n">
        <v>14.22</v>
      </c>
      <c r="AQ33" s="34" t="n">
        <v>11.2</v>
      </c>
      <c r="AR33" s="34">
        <f>IF(AP33&gt;AQ33*1.05,AP33-AQ33*1.05,IF(AP33&lt;AQ33*0.95,AQ33*0.95-AP33,0))</f>
        <v/>
      </c>
      <c r="AS33" s="34">
        <f>MAX(F33:G33,750)*0.05*AR33</f>
        <v/>
      </c>
      <c r="AT33" t="n">
        <v>14</v>
      </c>
      <c r="AU33" s="34">
        <f>IF(AP33&gt;AT33*1.05,AP33-AT33*1.05,IF(AP33&lt;AT33*0.95,AT33*0.95-AP33,0))</f>
        <v/>
      </c>
      <c r="AV33" s="34">
        <f>MAX(F33:G33,750)*0.05*AU33</f>
        <v/>
      </c>
      <c r="AW33" s="34">
        <f>AC33+AJ33+AQ33</f>
        <v/>
      </c>
      <c r="AX33" s="34">
        <f>AF33+AM33+AT33</f>
        <v/>
      </c>
      <c r="AY33" s="34">
        <f>AB33+AI33+AP33</f>
        <v/>
      </c>
      <c r="AZ33" s="34" t="n">
        <v>0</v>
      </c>
      <c r="BA33" s="34">
        <f>AD33+AK33+AR33</f>
        <v/>
      </c>
      <c r="BB33" s="34">
        <f>MAX(F33:G33,750)*0.05*BA33</f>
        <v/>
      </c>
      <c r="BC33" s="34">
        <f>AG33+AN33+AU33</f>
        <v/>
      </c>
      <c r="BD33" s="34">
        <f>MAX(F33:G33,750)*0.05*BC33</f>
        <v/>
      </c>
      <c r="BE33" s="34">
        <f>F33*AY33</f>
        <v/>
      </c>
      <c r="BF33" s="34">
        <f>K33-M33</f>
        <v/>
      </c>
      <c r="BG33" s="34">
        <f>P33-S33</f>
        <v/>
      </c>
      <c r="BH33" s="34">
        <f>W33-AA33</f>
        <v/>
      </c>
      <c r="BI33" s="34">
        <f>BF33+BG33+BL33-BN33</f>
        <v/>
      </c>
      <c r="BJ33" s="34">
        <f>ABS(BK33)</f>
        <v/>
      </c>
      <c r="BK33" s="34">
        <f>AY33-(J33-L33+N33-Q33)</f>
        <v/>
      </c>
      <c r="BL33" s="34">
        <f>IF(AND(BK33&gt;0,MIN($F33:$G33)&lt;150,$E33="Enerji Açığı"),-100*BK33*1.03,IF(AND(BK33&gt;0,MIN($F33:$G33)&lt;150,$E33="Enerji Fazlası"),-100*BK33*1.06,IF(AND(BK33&gt;0,MIN($F33:$G33)&gt;=150,$E33="Enerji Açığı"),BK33*MIN($F33:$G33)*0.97,IF(AND(BK33&gt;0,MIN($F33:$G33)&gt;=150,$E33="Enerji Fazlası"),BK33*MIN($F33:$G33)*0.94,IF(AND(BK33&lt;0,MAX($F33:$G33)=4500,$E33="Enerji Açığı"),4500*1.05*1.06*BK33,IF(AND(BK33&lt;0,MAX($F33:$G33)=4500,$E33="Enerji Fazlası"),4500*1.05*1.03*BK33,IF(AND(BK33&lt;0,$E33="Enerji Açığı"),MAX($F33,$G33,150)*BK33*1.06,IF(AND(BK33&lt;0,$E33="Enerji Fazlası"),MAX($F33,$G33,150)*BK33*1.03,IF(AND(BK33&lt;0,$E33="Dengede"),MAX($F33:$G33,150)*1.03*BK33,MIN($F33:$G33)*0.97*BK33)))))))))</f>
        <v/>
      </c>
      <c r="BM33" s="34">
        <f>BE33-BI33-BN33</f>
        <v/>
      </c>
      <c r="BN33" s="34">
        <f>BB33</f>
        <v/>
      </c>
      <c r="BO33" s="34">
        <f>BE33-BI33</f>
        <v/>
      </c>
      <c r="BP33" s="34">
        <f>IF(AY33=0,0,BO33/AY33)</f>
        <v/>
      </c>
      <c r="BQ33" s="34">
        <f>MAX((AY33+MAX((-J33+L33-N33+Q33),0)),(MAX((J33-L33+N33-Q33),0)))</f>
        <v/>
      </c>
      <c r="BR33" s="82">
        <f>IFERROR(ABS(BK33/BQ33),0)</f>
        <v/>
      </c>
      <c r="BS33" s="34">
        <f>IF(BR33&lt;=0.1,0,BK33/BR33*(BR33-0.1))</f>
        <v/>
      </c>
      <c r="BT33" s="34">
        <f>IF((BS33)&lt;0,MAX(F33:G33)*(BS33)*1.03,MIN(F33:G33)*(BS33)*0.97)</f>
        <v/>
      </c>
      <c r="BU33" s="34">
        <f>IF(BR33&gt;0.1,1,0)</f>
        <v/>
      </c>
      <c r="BV33" s="34">
        <f>BF33+BG33+BH33+BY33-CA33</f>
        <v/>
      </c>
      <c r="BW33" s="34">
        <f>ABS(BX33)</f>
        <v/>
      </c>
      <c r="BX33" s="34">
        <f>AY33-(J33-L33+N33-Q33+T33-X33)</f>
        <v/>
      </c>
      <c r="BY33" s="34">
        <f>IF(AND(BX33&gt;0,MIN($F33:$G33)&lt;150,$E33="Enerji Açığı"),-100*BX33*1.03,IF(AND(BX33&gt;0,MIN($F33:$G33)&lt;150,$E33="Enerji Fazlası"),-100*BX33*1.06,IF(AND(BX33&gt;0,MIN($F33:$G33)&gt;=150,$E33="Enerji Açığı"),BX33*MIN($F33:$G33)*0.97,IF(AND(BX33&gt;0,MIN($F33:$G33)&gt;=150,$E33="Enerji Fazlası"),BX33*MIN($F33:$G33)*0.94,IF(AND(BX33&lt;0,MAX($F33:$G33)=4500,$E33="Enerji Açığı"),4500*1.05*1.06*BX33,IF(AND(BX33&lt;0,MAX($F33:$G33)=4500,$E33="Enerji Fazlası"),4500*1.05*1.03*BX33,IF(AND(BX33&lt;0,$E33="Enerji Açığı"),MAX($F33,$G33,150)*BX33*1.06,IF(AND(BX33&lt;0,$E33="Enerji Fazlası"),MAX($F33,$G33,150)*BX33*1.03,IF(AND(BX33&lt;0,$E33="Dengede"),MAX($F33:$G33,150)*1.03*BX33,MIN($F33:$G33)*0.97*BX33)))))))))</f>
        <v/>
      </c>
      <c r="BZ33" s="34">
        <f>BE33-BV33-CA33</f>
        <v/>
      </c>
      <c r="CA33" s="34">
        <f>BD33</f>
        <v/>
      </c>
      <c r="CB33" s="33">
        <f>BE33-BV33</f>
        <v/>
      </c>
      <c r="CC33" s="34">
        <f>IF(AY33=0,0,CB33/AY33)</f>
        <v/>
      </c>
      <c r="CD33" s="34">
        <f>MAX((AY33+MAX((-J33+L33-N33+Q33-T33+X33),0)),(MAX((J33-L33+N33-Q33+T33-X33),0)))</f>
        <v/>
      </c>
      <c r="CE33" s="82">
        <f>IFERROR(ABS(BX33/CD33),0)</f>
        <v/>
      </c>
      <c r="CF33" s="34">
        <f>IF(CE33&lt;=0.1,0,BX33/CE33*(CE33-0.1))</f>
        <v/>
      </c>
      <c r="CG33" s="34">
        <f>IF((CF33)&lt;0,MAX(F33:G33)*(CF33)*1.03,MIN(F33:G33)*(CF33)*0.97)</f>
        <v/>
      </c>
      <c r="CH33" s="34">
        <f>IF(CE33&gt;0.1,1,0)</f>
        <v/>
      </c>
      <c r="CI33" s="34">
        <f>(F33*BX33)-BY33</f>
        <v/>
      </c>
      <c r="CJ33" s="34">
        <f>IF(AY33=0,0,CI33/AY33)</f>
        <v/>
      </c>
    </row>
    <row r="34">
      <c r="A34" s="29" t="n">
        <v>46205.29166666666</v>
      </c>
      <c r="B34" s="29" t="inlineStr">
        <is>
          <t>07:00</t>
        </is>
      </c>
      <c r="C34" s="35">
        <f>INT(A34)</f>
        <v/>
      </c>
      <c r="D34" s="36">
        <f>MONTH(A34)</f>
        <v/>
      </c>
      <c r="E34" s="147" t="inlineStr">
        <is>
          <t>Enerji Fazlası</t>
        </is>
      </c>
      <c r="F34" s="30" t="n">
        <v>1799.97</v>
      </c>
      <c r="G34" s="30" t="n">
        <v>1000</v>
      </c>
      <c r="H34" s="30" t="n">
        <v>38.65</v>
      </c>
      <c r="I34" s="30" t="n">
        <v>1812.87</v>
      </c>
      <c r="J34" s="119" t="n">
        <v>0</v>
      </c>
      <c r="K34" s="34">
        <f>F34*J34</f>
        <v/>
      </c>
      <c r="L34" s="119" t="n">
        <v>0</v>
      </c>
      <c r="M34" s="34">
        <f>L34*F34</f>
        <v/>
      </c>
      <c r="N34" s="119" t="n">
        <v>19.5</v>
      </c>
      <c r="O34" s="34">
        <f>F34</f>
        <v/>
      </c>
      <c r="P34" s="34">
        <f>N34*O34</f>
        <v/>
      </c>
      <c r="Q34" s="119" t="n">
        <v>0</v>
      </c>
      <c r="R34" s="34">
        <f>F34</f>
        <v/>
      </c>
      <c r="S34" s="34">
        <f>R34*Q34</f>
        <v/>
      </c>
      <c r="T34" s="34" t="n"/>
      <c r="U34" s="34">
        <f>IFERROR(W34/T34,0)</f>
        <v/>
      </c>
      <c r="V34" s="34">
        <f>IF(U34=0,0,U34-F34)</f>
        <v/>
      </c>
      <c r="W34" s="34" t="n"/>
      <c r="X34" s="34" t="n"/>
      <c r="Y34" s="34">
        <f>IFERROR(AA34/X34,0)</f>
        <v/>
      </c>
      <c r="Z34" s="34">
        <f>IF(Y34=0,0,F34-Y34)</f>
        <v/>
      </c>
      <c r="AA34" s="34" t="n"/>
      <c r="AB34" s="34" t="n">
        <v>0</v>
      </c>
      <c r="AC34" s="34" t="n">
        <v>0</v>
      </c>
      <c r="AD34" s="34">
        <f>IF(AB34&gt;AC34*1.05,AB34-AC34*1.05,IF(AB34&lt;AC34*0.95,AC34*0.95-AB34,0))</f>
        <v/>
      </c>
      <c r="AE34" s="34">
        <f>MAX(F34,G34,750)*0.05*AD34</f>
        <v/>
      </c>
      <c r="AF34" s="34" t="n">
        <v>0</v>
      </c>
      <c r="AG34" s="34">
        <f>IF(AB34&gt;AF34*1.05,AB34-AF34*1.05,IF(AB34&lt;AF34*0.95,AF34*0.95-AB34,0))</f>
        <v/>
      </c>
      <c r="AH34" s="34">
        <f>MAX(I34,J34,750)*0.05*AG34</f>
        <v/>
      </c>
      <c r="AI34" t="n">
        <v>10.35</v>
      </c>
      <c r="AJ34" t="n">
        <v>8</v>
      </c>
      <c r="AK34" s="34">
        <f>IF(AI34&gt;AJ34*1.05,AI34-AJ34*1.05,IF(AI34&lt;AJ34*0.95,AJ34*0.95-AI34,0))</f>
        <v/>
      </c>
      <c r="AL34" s="34">
        <f>MAX(F34,G34,750)*0.05*AK34</f>
        <v/>
      </c>
      <c r="AM34" s="39" t="n">
        <v>10</v>
      </c>
      <c r="AN34" s="34">
        <f>IF(AI34&gt;AM34*1.05,AI34-AM34*1.05,IF(AI34&lt;AM34*0.95,AM34*0.95-AI34,0))</f>
        <v/>
      </c>
      <c r="AO34" s="34">
        <f>MAX(F34,G34,750)*0.05*AN34</f>
        <v/>
      </c>
      <c r="AP34" s="34" t="n">
        <v>14.25</v>
      </c>
      <c r="AQ34" s="34" t="n">
        <v>11.5</v>
      </c>
      <c r="AR34" s="34">
        <f>IF(AP34&gt;AQ34*1.05,AP34-AQ34*1.05,IF(AP34&lt;AQ34*0.95,AQ34*0.95-AP34,0))</f>
        <v/>
      </c>
      <c r="AS34" s="34">
        <f>MAX(F34:G34,750)*0.05*AR34</f>
        <v/>
      </c>
      <c r="AT34" t="n">
        <v>14</v>
      </c>
      <c r="AU34" s="34">
        <f>IF(AP34&gt;AT34*1.05,AP34-AT34*1.05,IF(AP34&lt;AT34*0.95,AT34*0.95-AP34,0))</f>
        <v/>
      </c>
      <c r="AV34" s="34">
        <f>MAX(F34:G34,750)*0.05*AU34</f>
        <v/>
      </c>
      <c r="AW34" s="34">
        <f>AC34+AJ34+AQ34</f>
        <v/>
      </c>
      <c r="AX34" s="34">
        <f>AF34+AM34+AT34</f>
        <v/>
      </c>
      <c r="AY34" s="34">
        <f>AB34+AI34+AP34</f>
        <v/>
      </c>
      <c r="AZ34" s="34" t="n">
        <v>0</v>
      </c>
      <c r="BA34" s="34">
        <f>AD34+AK34+AR34</f>
        <v/>
      </c>
      <c r="BB34" s="34">
        <f>MAX(F34:G34,750)*0.05*BA34</f>
        <v/>
      </c>
      <c r="BC34" s="34">
        <f>AG34+AN34+AU34</f>
        <v/>
      </c>
      <c r="BD34" s="34">
        <f>MAX(F34:G34,750)*0.05*BC34</f>
        <v/>
      </c>
      <c r="BE34" s="34">
        <f>F34*AY34</f>
        <v/>
      </c>
      <c r="BF34" s="34">
        <f>K34-M34</f>
        <v/>
      </c>
      <c r="BG34" s="34">
        <f>P34-S34</f>
        <v/>
      </c>
      <c r="BH34" s="34">
        <f>W34-AA34</f>
        <v/>
      </c>
      <c r="BI34" s="34">
        <f>BF34+BG34+BL34-BN34</f>
        <v/>
      </c>
      <c r="BJ34" s="34">
        <f>ABS(BK34)</f>
        <v/>
      </c>
      <c r="BK34" s="34">
        <f>AY34-(J34-L34+N34-Q34)</f>
        <v/>
      </c>
      <c r="BL34" s="34">
        <f>IF(AND(BK34&gt;0,MIN($F34:$G34)&lt;150,$E34="Enerji Açığı"),-100*BK34*1.03,IF(AND(BK34&gt;0,MIN($F34:$G34)&lt;150,$E34="Enerji Fazlası"),-100*BK34*1.06,IF(AND(BK34&gt;0,MIN($F34:$G34)&gt;=150,$E34="Enerji Açığı"),BK34*MIN($F34:$G34)*0.97,IF(AND(BK34&gt;0,MIN($F34:$G34)&gt;=150,$E34="Enerji Fazlası"),BK34*MIN($F34:$G34)*0.94,IF(AND(BK34&lt;0,MAX($F34:$G34)=4500,$E34="Enerji Açığı"),4500*1.05*1.06*BK34,IF(AND(BK34&lt;0,MAX($F34:$G34)=4500,$E34="Enerji Fazlası"),4500*1.05*1.03*BK34,IF(AND(BK34&lt;0,$E34="Enerji Açığı"),MAX($F34,$G34,150)*BK34*1.06,IF(AND(BK34&lt;0,$E34="Enerji Fazlası"),MAX($F34,$G34,150)*BK34*1.03,IF(AND(BK34&lt;0,$E34="Dengede"),MAX($F34:$G34,150)*1.03*BK34,MIN($F34:$G34)*0.97*BK34)))))))))</f>
        <v/>
      </c>
      <c r="BM34" s="34">
        <f>BE34-BI34-BN34</f>
        <v/>
      </c>
      <c r="BN34" s="34">
        <f>BB34</f>
        <v/>
      </c>
      <c r="BO34" s="34">
        <f>BE34-BI34</f>
        <v/>
      </c>
      <c r="BP34" s="34">
        <f>IF(AY34=0,0,BO34/AY34)</f>
        <v/>
      </c>
      <c r="BQ34" s="34">
        <f>MAX((AY34+MAX((-J34+L34-N34+Q34),0)),(MAX((J34-L34+N34-Q34),0)))</f>
        <v/>
      </c>
      <c r="BR34" s="82">
        <f>IFERROR(ABS(BK34/BQ34),0)</f>
        <v/>
      </c>
      <c r="BS34" s="34">
        <f>IF(BR34&lt;=0.1,0,BK34/BR34*(BR34-0.1))</f>
        <v/>
      </c>
      <c r="BT34" s="34">
        <f>IF((BS34)&lt;0,MAX(F34:G34)*(BS34)*1.03,MIN(F34:G34)*(BS34)*0.97)</f>
        <v/>
      </c>
      <c r="BU34" s="34">
        <f>IF(BR34&gt;0.1,1,0)</f>
        <v/>
      </c>
      <c r="BV34" s="34">
        <f>BF34+BG34+BH34+BY34-CA34</f>
        <v/>
      </c>
      <c r="BW34" s="34">
        <f>ABS(BX34)</f>
        <v/>
      </c>
      <c r="BX34" s="34">
        <f>AY34-(J34-L34+N34-Q34+T34-X34)</f>
        <v/>
      </c>
      <c r="BY34" s="34">
        <f>IF(AND(BX34&gt;0,MIN($F34:$G34)&lt;150,$E34="Enerji Açığı"),-100*BX34*1.03,IF(AND(BX34&gt;0,MIN($F34:$G34)&lt;150,$E34="Enerji Fazlası"),-100*BX34*1.06,IF(AND(BX34&gt;0,MIN($F34:$G34)&gt;=150,$E34="Enerji Açığı"),BX34*MIN($F34:$G34)*0.97,IF(AND(BX34&gt;0,MIN($F34:$G34)&gt;=150,$E34="Enerji Fazlası"),BX34*MIN($F34:$G34)*0.94,IF(AND(BX34&lt;0,MAX($F34:$G34)=4500,$E34="Enerji Açığı"),4500*1.05*1.06*BX34,IF(AND(BX34&lt;0,MAX($F34:$G34)=4500,$E34="Enerji Fazlası"),4500*1.05*1.03*BX34,IF(AND(BX34&lt;0,$E34="Enerji Açığı"),MAX($F34,$G34,150)*BX34*1.06,IF(AND(BX34&lt;0,$E34="Enerji Fazlası"),MAX($F34,$G34,150)*BX34*1.03,IF(AND(BX34&lt;0,$E34="Dengede"),MAX($F34:$G34,150)*1.03*BX34,MIN($F34:$G34)*0.97*BX34)))))))))</f>
        <v/>
      </c>
      <c r="BZ34" s="34">
        <f>BE34-BV34-CA34</f>
        <v/>
      </c>
      <c r="CA34" s="34">
        <f>BD34</f>
        <v/>
      </c>
      <c r="CB34" s="33">
        <f>BE34-BV34</f>
        <v/>
      </c>
      <c r="CC34" s="34">
        <f>IF(AY34=0,0,CB34/AY34)</f>
        <v/>
      </c>
      <c r="CD34" s="34">
        <f>MAX((AY34+MAX((-J34+L34-N34+Q34-T34+X34),0)),(MAX((J34-L34+N34-Q34+T34-X34),0)))</f>
        <v/>
      </c>
      <c r="CE34" s="82">
        <f>IFERROR(ABS(BX34/CD34),0)</f>
        <v/>
      </c>
      <c r="CF34" s="34">
        <f>IF(CE34&lt;=0.1,0,BX34/CE34*(CE34-0.1))</f>
        <v/>
      </c>
      <c r="CG34" s="34">
        <f>IF((CF34)&lt;0,MAX(F34:G34)*(CF34)*1.03,MIN(F34:G34)*(CF34)*0.97)</f>
        <v/>
      </c>
      <c r="CH34" s="34">
        <f>IF(CE34&gt;0.1,1,0)</f>
        <v/>
      </c>
      <c r="CI34" s="34">
        <f>(F34*BX34)-BY34</f>
        <v/>
      </c>
      <c r="CJ34" s="34">
        <f>IF(AY34=0,0,CI34/AY34)</f>
        <v/>
      </c>
    </row>
    <row r="35">
      <c r="A35" s="29" t="n">
        <v>46205.33333333334</v>
      </c>
      <c r="B35" s="29" t="inlineStr">
        <is>
          <t>08:00</t>
        </is>
      </c>
      <c r="C35" s="35">
        <f>INT(A35)</f>
        <v/>
      </c>
      <c r="D35" s="36">
        <f>MONTH(A35)</f>
        <v/>
      </c>
      <c r="E35" s="147" t="inlineStr">
        <is>
          <t>Enerji Fazlası</t>
        </is>
      </c>
      <c r="F35" s="30" t="n">
        <v>3680</v>
      </c>
      <c r="G35" s="30" t="n">
        <v>1001</v>
      </c>
      <c r="H35" s="30" t="n">
        <v>79.01000000000001</v>
      </c>
      <c r="I35" s="30" t="n">
        <v>3809.29</v>
      </c>
      <c r="J35" s="119" t="n">
        <v>0</v>
      </c>
      <c r="K35" s="34">
        <f>F35*J35</f>
        <v/>
      </c>
      <c r="L35" s="119" t="n">
        <v>0</v>
      </c>
      <c r="M35" s="34">
        <f>L35*F35</f>
        <v/>
      </c>
      <c r="N35" s="119" t="n">
        <v>23</v>
      </c>
      <c r="O35" s="34">
        <f>F35</f>
        <v/>
      </c>
      <c r="P35" s="34">
        <f>N35*O35</f>
        <v/>
      </c>
      <c r="Q35" s="119" t="n">
        <v>0</v>
      </c>
      <c r="R35" s="34">
        <f>F35</f>
        <v/>
      </c>
      <c r="S35" s="34">
        <f>R35*Q35</f>
        <v/>
      </c>
      <c r="T35" s="34" t="n"/>
      <c r="U35" s="34">
        <f>IFERROR(W35/T35,0)</f>
        <v/>
      </c>
      <c r="V35" s="34">
        <f>IF(U35=0,0,U35-F35)</f>
        <v/>
      </c>
      <c r="W35" s="34" t="n"/>
      <c r="X35" s="34" t="n"/>
      <c r="Y35" s="34">
        <f>IFERROR(AA35/X35,0)</f>
        <v/>
      </c>
      <c r="Z35" s="34">
        <f>IF(Y35=0,0,F35-Y35)</f>
        <v/>
      </c>
      <c r="AA35" s="34" t="n"/>
      <c r="AB35" s="34" t="n">
        <v>0</v>
      </c>
      <c r="AC35" s="34" t="n">
        <v>0</v>
      </c>
      <c r="AD35" s="34">
        <f>IF(AB35&gt;AC35*1.05,AB35-AC35*1.05,IF(AB35&lt;AC35*0.95,AC35*0.95-AB35,0))</f>
        <v/>
      </c>
      <c r="AE35" s="34">
        <f>MAX(F35,G35,750)*0.05*AD35</f>
        <v/>
      </c>
      <c r="AF35" s="34" t="n">
        <v>0</v>
      </c>
      <c r="AG35" s="34">
        <f>IF(AB35&gt;AF35*1.05,AB35-AF35*1.05,IF(AB35&lt;AF35*0.95,AF35*0.95-AB35,0))</f>
        <v/>
      </c>
      <c r="AH35" s="34">
        <f>MAX(I35,J35,750)*0.05*AG35</f>
        <v/>
      </c>
      <c r="AI35" t="n">
        <v>10.34</v>
      </c>
      <c r="AJ35" t="n">
        <v>9</v>
      </c>
      <c r="AK35" s="34">
        <f>IF(AI35&gt;AJ35*1.05,AI35-AJ35*1.05,IF(AI35&lt;AJ35*0.95,AJ35*0.95-AI35,0))</f>
        <v/>
      </c>
      <c r="AL35" s="34">
        <f>MAX(F35,G35,750)*0.05*AK35</f>
        <v/>
      </c>
      <c r="AM35" s="39" t="n">
        <v>10</v>
      </c>
      <c r="AN35" s="34">
        <f>IF(AI35&gt;AM35*1.05,AI35-AM35*1.05,IF(AI35&lt;AM35*0.95,AM35*0.95-AI35,0))</f>
        <v/>
      </c>
      <c r="AO35" s="34">
        <f>MAX(F35,G35,750)*0.05*AN35</f>
        <v/>
      </c>
      <c r="AP35" s="34" t="n">
        <v>14.19</v>
      </c>
      <c r="AQ35" s="34" t="n">
        <v>14</v>
      </c>
      <c r="AR35" s="34">
        <f>IF(AP35&gt;AQ35*1.05,AP35-AQ35*1.05,IF(AP35&lt;AQ35*0.95,AQ35*0.95-AP35,0))</f>
        <v/>
      </c>
      <c r="AS35" s="34">
        <f>MAX(F35:G35,750)*0.05*AR35</f>
        <v/>
      </c>
      <c r="AT35" t="n">
        <v>14</v>
      </c>
      <c r="AU35" s="34">
        <f>IF(AP35&gt;AT35*1.05,AP35-AT35*1.05,IF(AP35&lt;AT35*0.95,AT35*0.95-AP35,0))</f>
        <v/>
      </c>
      <c r="AV35" s="34">
        <f>MAX(F35:G35,750)*0.05*AU35</f>
        <v/>
      </c>
      <c r="AW35" s="34">
        <f>AC35+AJ35+AQ35</f>
        <v/>
      </c>
      <c r="AX35" s="34">
        <f>AF35+AM35+AT35</f>
        <v/>
      </c>
      <c r="AY35" s="34">
        <f>AB35+AI35+AP35</f>
        <v/>
      </c>
      <c r="AZ35" s="34" t="n">
        <v>0</v>
      </c>
      <c r="BA35" s="34">
        <f>AD35+AK35+AR35</f>
        <v/>
      </c>
      <c r="BB35" s="34">
        <f>MAX(F35:G35,750)*0.05*BA35</f>
        <v/>
      </c>
      <c r="BC35" s="34">
        <f>AG35+AN35+AU35</f>
        <v/>
      </c>
      <c r="BD35" s="34">
        <f>MAX(F35:G35,750)*0.05*BC35</f>
        <v/>
      </c>
      <c r="BE35" s="34">
        <f>F35*AY35</f>
        <v/>
      </c>
      <c r="BF35" s="34">
        <f>K35-M35</f>
        <v/>
      </c>
      <c r="BG35" s="34">
        <f>P35-S35</f>
        <v/>
      </c>
      <c r="BH35" s="34">
        <f>W35-AA35</f>
        <v/>
      </c>
      <c r="BI35" s="34">
        <f>BF35+BG35+BL35-BN35</f>
        <v/>
      </c>
      <c r="BJ35" s="34">
        <f>ABS(BK35)</f>
        <v/>
      </c>
      <c r="BK35" s="34">
        <f>AY35-(J35-L35+N35-Q35)</f>
        <v/>
      </c>
      <c r="BL35" s="34">
        <f>IF(AND(BK35&gt;0,MIN($F35:$G35)&lt;150,$E35="Enerji Açığı"),-100*BK35*1.03,IF(AND(BK35&gt;0,MIN($F35:$G35)&lt;150,$E35="Enerji Fazlası"),-100*BK35*1.06,IF(AND(BK35&gt;0,MIN($F35:$G35)&gt;=150,$E35="Enerji Açığı"),BK35*MIN($F35:$G35)*0.97,IF(AND(BK35&gt;0,MIN($F35:$G35)&gt;=150,$E35="Enerji Fazlası"),BK35*MIN($F35:$G35)*0.94,IF(AND(BK35&lt;0,MAX($F35:$G35)=4500,$E35="Enerji Açığı"),4500*1.05*1.06*BK35,IF(AND(BK35&lt;0,MAX($F35:$G35)=4500,$E35="Enerji Fazlası"),4500*1.05*1.03*BK35,IF(AND(BK35&lt;0,$E35="Enerji Açığı"),MAX($F35,$G35,150)*BK35*1.06,IF(AND(BK35&lt;0,$E35="Enerji Fazlası"),MAX($F35,$G35,150)*BK35*1.03,IF(AND(BK35&lt;0,$E35="Dengede"),MAX($F35:$G35,150)*1.03*BK35,MIN($F35:$G35)*0.97*BK35)))))))))</f>
        <v/>
      </c>
      <c r="BM35" s="34">
        <f>BE35-BI35-BN35</f>
        <v/>
      </c>
      <c r="BN35" s="34">
        <f>BB35</f>
        <v/>
      </c>
      <c r="BO35" s="34">
        <f>BE35-BI35</f>
        <v/>
      </c>
      <c r="BP35" s="34">
        <f>IF(AY35=0,0,BO35/AY35)</f>
        <v/>
      </c>
      <c r="BQ35" s="34">
        <f>MAX((AY35+MAX((-J35+L35-N35+Q35),0)),(MAX((J35-L35+N35-Q35),0)))</f>
        <v/>
      </c>
      <c r="BR35" s="82">
        <f>IFERROR(ABS(BK35/BQ35),0)</f>
        <v/>
      </c>
      <c r="BS35" s="34">
        <f>IF(BR35&lt;=0.1,0,BK35/BR35*(BR35-0.1))</f>
        <v/>
      </c>
      <c r="BT35" s="34">
        <f>IF((BS35)&lt;0,MAX(F35:G35)*(BS35)*1.03,MIN(F35:G35)*(BS35)*0.97)</f>
        <v/>
      </c>
      <c r="BU35" s="34">
        <f>IF(BR35&gt;0.1,1,0)</f>
        <v/>
      </c>
      <c r="BV35" s="34">
        <f>BF35+BG35+BH35+BY35-CA35</f>
        <v/>
      </c>
      <c r="BW35" s="34">
        <f>ABS(BX35)</f>
        <v/>
      </c>
      <c r="BX35" s="34">
        <f>AY35-(J35-L35+N35-Q35+T35-X35)</f>
        <v/>
      </c>
      <c r="BY35" s="34">
        <f>IF(AND(BX35&gt;0,MIN($F35:$G35)&lt;150,$E35="Enerji Açığı"),-100*BX35*1.03,IF(AND(BX35&gt;0,MIN($F35:$G35)&lt;150,$E35="Enerji Fazlası"),-100*BX35*1.06,IF(AND(BX35&gt;0,MIN($F35:$G35)&gt;=150,$E35="Enerji Açığı"),BX35*MIN($F35:$G35)*0.97,IF(AND(BX35&gt;0,MIN($F35:$G35)&gt;=150,$E35="Enerji Fazlası"),BX35*MIN($F35:$G35)*0.94,IF(AND(BX35&lt;0,MAX($F35:$G35)=4500,$E35="Enerji Açığı"),4500*1.05*1.06*BX35,IF(AND(BX35&lt;0,MAX($F35:$G35)=4500,$E35="Enerji Fazlası"),4500*1.05*1.03*BX35,IF(AND(BX35&lt;0,$E35="Enerji Açığı"),MAX($F35,$G35,150)*BX35*1.06,IF(AND(BX35&lt;0,$E35="Enerji Fazlası"),MAX($F35,$G35,150)*BX35*1.03,IF(AND(BX35&lt;0,$E35="Dengede"),MAX($F35:$G35,150)*1.03*BX35,MIN($F35:$G35)*0.97*BX35)))))))))</f>
        <v/>
      </c>
      <c r="BZ35" s="34">
        <f>BE35-BV35-CA35</f>
        <v/>
      </c>
      <c r="CA35" s="34">
        <f>BD35</f>
        <v/>
      </c>
      <c r="CB35" s="33">
        <f>BE35-BV35</f>
        <v/>
      </c>
      <c r="CC35" s="34">
        <f>IF(AY35=0,0,CB35/AY35)</f>
        <v/>
      </c>
      <c r="CD35" s="34">
        <f>MAX((AY35+MAX((-J35+L35-N35+Q35-T35+X35),0)),(MAX((J35-L35+N35-Q35+T35-X35),0)))</f>
        <v/>
      </c>
      <c r="CE35" s="82">
        <f>IFERROR(ABS(BX35/CD35),0)</f>
        <v/>
      </c>
      <c r="CF35" s="34">
        <f>IF(CE35&lt;=0.1,0,BX35/CE35*(CE35-0.1))</f>
        <v/>
      </c>
      <c r="CG35" s="34">
        <f>IF((CF35)&lt;0,MAX(F35:G35)*(CF35)*1.03,MIN(F35:G35)*(CF35)*0.97)</f>
        <v/>
      </c>
      <c r="CH35" s="34">
        <f>IF(CE35&gt;0.1,1,0)</f>
        <v/>
      </c>
      <c r="CI35" s="34">
        <f>(F35*BX35)-BY35</f>
        <v/>
      </c>
      <c r="CJ35" s="34">
        <f>IF(AY35=0,0,CI35/AY35)</f>
        <v/>
      </c>
    </row>
    <row r="36">
      <c r="A36" s="29" t="n">
        <v>46205.375</v>
      </c>
      <c r="B36" s="29" t="inlineStr">
        <is>
          <t>09:00</t>
        </is>
      </c>
      <c r="C36" s="35">
        <f>INT(A36)</f>
        <v/>
      </c>
      <c r="D36" s="36">
        <f>MONTH(A36)</f>
        <v/>
      </c>
      <c r="E36" s="147" t="inlineStr">
        <is>
          <t>Enerji Açığı</t>
        </is>
      </c>
      <c r="F36" s="30" t="n">
        <v>3499.99</v>
      </c>
      <c r="G36" s="30" t="n">
        <v>4048</v>
      </c>
      <c r="H36" s="30" t="n">
        <v>75.15000000000001</v>
      </c>
      <c r="I36" s="30" t="n">
        <v>3646.04</v>
      </c>
      <c r="J36" s="119" t="n">
        <v>0</v>
      </c>
      <c r="K36" s="34">
        <f>F36*J36</f>
        <v/>
      </c>
      <c r="L36" s="119" t="n">
        <v>0</v>
      </c>
      <c r="M36" s="34">
        <f>L36*F36</f>
        <v/>
      </c>
      <c r="N36" s="119" t="n">
        <v>23</v>
      </c>
      <c r="O36" s="34">
        <f>F36</f>
        <v/>
      </c>
      <c r="P36" s="34">
        <f>N36*O36</f>
        <v/>
      </c>
      <c r="Q36" s="119" t="n">
        <v>0</v>
      </c>
      <c r="R36" s="34">
        <f>F36</f>
        <v/>
      </c>
      <c r="S36" s="34">
        <f>R36*Q36</f>
        <v/>
      </c>
      <c r="T36" s="34" t="n"/>
      <c r="U36" s="34">
        <f>IFERROR(W36/T36,0)</f>
        <v/>
      </c>
      <c r="V36" s="34">
        <f>IF(U36=0,0,U36-F36)</f>
        <v/>
      </c>
      <c r="W36" s="34" t="n"/>
      <c r="X36" s="34" t="n"/>
      <c r="Y36" s="34">
        <f>IFERROR(AA36/X36,0)</f>
        <v/>
      </c>
      <c r="Z36" s="34">
        <f>IF(Y36=0,0,F36-Y36)</f>
        <v/>
      </c>
      <c r="AA36" s="34" t="n"/>
      <c r="AB36" s="34" t="n">
        <v>0</v>
      </c>
      <c r="AC36" s="34" t="n">
        <v>0</v>
      </c>
      <c r="AD36" s="34">
        <f>IF(AB36&gt;AC36*1.05,AB36-AC36*1.05,IF(AB36&lt;AC36*0.95,AC36*0.95-AB36,0))</f>
        <v/>
      </c>
      <c r="AE36" s="34">
        <f>MAX(F36,G36,750)*0.05*AD36</f>
        <v/>
      </c>
      <c r="AF36" s="34" t="n">
        <v>0</v>
      </c>
      <c r="AG36" s="34">
        <f>IF(AB36&gt;AF36*1.05,AB36-AF36*1.05,IF(AB36&lt;AF36*0.95,AF36*0.95-AB36,0))</f>
        <v/>
      </c>
      <c r="AH36" s="34">
        <f>MAX(I36,J36,750)*0.05*AG36</f>
        <v/>
      </c>
      <c r="AI36" t="n">
        <v>10.08</v>
      </c>
      <c r="AJ36" t="n">
        <v>9</v>
      </c>
      <c r="AK36" s="34">
        <f>IF(AI36&gt;AJ36*1.05,AI36-AJ36*1.05,IF(AI36&lt;AJ36*0.95,AJ36*0.95-AI36,0))</f>
        <v/>
      </c>
      <c r="AL36" s="34">
        <f>MAX(F36,G36,750)*0.05*AK36</f>
        <v/>
      </c>
      <c r="AM36" s="39" t="n">
        <v>10</v>
      </c>
      <c r="AN36" s="34">
        <f>IF(AI36&gt;AM36*1.05,AI36-AM36*1.05,IF(AI36&lt;AM36*0.95,AM36*0.95-AI36,0))</f>
        <v/>
      </c>
      <c r="AO36" s="34">
        <f>MAX(F36,G36,750)*0.05*AN36</f>
        <v/>
      </c>
      <c r="AP36" s="34" t="n">
        <v>14.5</v>
      </c>
      <c r="AQ36" s="34" t="n">
        <v>14</v>
      </c>
      <c r="AR36" s="34">
        <f>IF(AP36&gt;AQ36*1.05,AP36-AQ36*1.05,IF(AP36&lt;AQ36*0.95,AQ36*0.95-AP36,0))</f>
        <v/>
      </c>
      <c r="AS36" s="34">
        <f>MAX(F36:G36,750)*0.05*AR36</f>
        <v/>
      </c>
      <c r="AT36" t="n">
        <v>14</v>
      </c>
      <c r="AU36" s="34">
        <f>IF(AP36&gt;AT36*1.05,AP36-AT36*1.05,IF(AP36&lt;AT36*0.95,AT36*0.95-AP36,0))</f>
        <v/>
      </c>
      <c r="AV36" s="34">
        <f>MAX(F36:G36,750)*0.05*AU36</f>
        <v/>
      </c>
      <c r="AW36" s="34">
        <f>AC36+AJ36+AQ36</f>
        <v/>
      </c>
      <c r="AX36" s="34">
        <f>AF36+AM36+AT36</f>
        <v/>
      </c>
      <c r="AY36" s="34">
        <f>AB36+AI36+AP36</f>
        <v/>
      </c>
      <c r="AZ36" s="34" t="n">
        <v>0</v>
      </c>
      <c r="BA36" s="34">
        <f>AD36+AK36+AR36</f>
        <v/>
      </c>
      <c r="BB36" s="34">
        <f>MAX(F36:G36,750)*0.05*BA36</f>
        <v/>
      </c>
      <c r="BC36" s="34">
        <f>AG36+AN36+AU36</f>
        <v/>
      </c>
      <c r="BD36" s="34">
        <f>MAX(F36:G36,750)*0.05*BC36</f>
        <v/>
      </c>
      <c r="BE36" s="34">
        <f>F36*AY36</f>
        <v/>
      </c>
      <c r="BF36" s="34">
        <f>K36-M36</f>
        <v/>
      </c>
      <c r="BG36" s="34">
        <f>P36-S36</f>
        <v/>
      </c>
      <c r="BH36" s="34">
        <f>W36-AA36</f>
        <v/>
      </c>
      <c r="BI36" s="34">
        <f>BF36+BG36+BL36-BN36</f>
        <v/>
      </c>
      <c r="BJ36" s="34">
        <f>ABS(BK36)</f>
        <v/>
      </c>
      <c r="BK36" s="34">
        <f>AY36-(J36-L36+N36-Q36)</f>
        <v/>
      </c>
      <c r="BL36" s="34">
        <f>IF(AND(BK36&gt;0,MIN($F36:$G36)&lt;150,$E36="Enerji Açığı"),-100*BK36*1.03,IF(AND(BK36&gt;0,MIN($F36:$G36)&lt;150,$E36="Enerji Fazlası"),-100*BK36*1.06,IF(AND(BK36&gt;0,MIN($F36:$G36)&gt;=150,$E36="Enerji Açığı"),BK36*MIN($F36:$G36)*0.97,IF(AND(BK36&gt;0,MIN($F36:$G36)&gt;=150,$E36="Enerji Fazlası"),BK36*MIN($F36:$G36)*0.94,IF(AND(BK36&lt;0,MAX($F36:$G36)=4500,$E36="Enerji Açığı"),4500*1.05*1.06*BK36,IF(AND(BK36&lt;0,MAX($F36:$G36)=4500,$E36="Enerji Fazlası"),4500*1.05*1.03*BK36,IF(AND(BK36&lt;0,$E36="Enerji Açığı"),MAX($F36,$G36,150)*BK36*1.06,IF(AND(BK36&lt;0,$E36="Enerji Fazlası"),MAX($F36,$G36,150)*BK36*1.03,IF(AND(BK36&lt;0,$E36="Dengede"),MAX($F36:$G36,150)*1.03*BK36,MIN($F36:$G36)*0.97*BK36)))))))))</f>
        <v/>
      </c>
      <c r="BM36" s="34">
        <f>BE36-BI36-BN36</f>
        <v/>
      </c>
      <c r="BN36" s="34">
        <f>BB36</f>
        <v/>
      </c>
      <c r="BO36" s="34">
        <f>BE36-BI36</f>
        <v/>
      </c>
      <c r="BP36" s="34">
        <f>IF(AY36=0,0,BO36/AY36)</f>
        <v/>
      </c>
      <c r="BQ36" s="34">
        <f>MAX((AY36+MAX((-J36+L36-N36+Q36),0)),(MAX((J36-L36+N36-Q36),0)))</f>
        <v/>
      </c>
      <c r="BR36" s="82">
        <f>IFERROR(ABS(BK36/BQ36),0)</f>
        <v/>
      </c>
      <c r="BS36" s="34">
        <f>IF(BR36&lt;=0.1,0,BK36/BR36*(BR36-0.1))</f>
        <v/>
      </c>
      <c r="BT36" s="34">
        <f>IF((BS36)&lt;0,MAX(F36:G36)*(BS36)*1.03,MIN(F36:G36)*(BS36)*0.97)</f>
        <v/>
      </c>
      <c r="BU36" s="34">
        <f>IF(BR36&gt;0.1,1,0)</f>
        <v/>
      </c>
      <c r="BV36" s="34">
        <f>BF36+BG36+BH36+BY36-CA36</f>
        <v/>
      </c>
      <c r="BW36" s="34">
        <f>ABS(BX36)</f>
        <v/>
      </c>
      <c r="BX36" s="34">
        <f>AY36-(J36-L36+N36-Q36+T36-X36)</f>
        <v/>
      </c>
      <c r="BY36" s="34">
        <f>IF(AND(BX36&gt;0,MIN($F36:$G36)&lt;150,$E36="Enerji Açığı"),-100*BX36*1.03,IF(AND(BX36&gt;0,MIN($F36:$G36)&lt;150,$E36="Enerji Fazlası"),-100*BX36*1.06,IF(AND(BX36&gt;0,MIN($F36:$G36)&gt;=150,$E36="Enerji Açığı"),BX36*MIN($F36:$G36)*0.97,IF(AND(BX36&gt;0,MIN($F36:$G36)&gt;=150,$E36="Enerji Fazlası"),BX36*MIN($F36:$G36)*0.94,IF(AND(BX36&lt;0,MAX($F36:$G36)=4500,$E36="Enerji Açığı"),4500*1.05*1.06*BX36,IF(AND(BX36&lt;0,MAX($F36:$G36)=4500,$E36="Enerji Fazlası"),4500*1.05*1.03*BX36,IF(AND(BX36&lt;0,$E36="Enerji Açığı"),MAX($F36,$G36,150)*BX36*1.06,IF(AND(BX36&lt;0,$E36="Enerji Fazlası"),MAX($F36,$G36,150)*BX36*1.03,IF(AND(BX36&lt;0,$E36="Dengede"),MAX($F36:$G36,150)*1.03*BX36,MIN($F36:$G36)*0.97*BX36)))))))))</f>
        <v/>
      </c>
      <c r="BZ36" s="34">
        <f>BE36-BV36-CA36</f>
        <v/>
      </c>
      <c r="CA36" s="34">
        <f>BD36</f>
        <v/>
      </c>
      <c r="CB36" s="33">
        <f>BE36-BV36</f>
        <v/>
      </c>
      <c r="CC36" s="34">
        <f>IF(AY36=0,0,CB36/AY36)</f>
        <v/>
      </c>
      <c r="CD36" s="34">
        <f>MAX((AY36+MAX((-J36+L36-N36+Q36-T36+X36),0)),(MAX((J36-L36+N36-Q36+T36-X36),0)))</f>
        <v/>
      </c>
      <c r="CE36" s="82">
        <f>IFERROR(ABS(BX36/CD36),0)</f>
        <v/>
      </c>
      <c r="CF36" s="34">
        <f>IF(CE36&lt;=0.1,0,BX36/CE36*(CE36-0.1))</f>
        <v/>
      </c>
      <c r="CG36" s="34">
        <f>IF((CF36)&lt;0,MAX(F36:G36)*(CF36)*1.03,MIN(F36:G36)*(CF36)*0.97)</f>
        <v/>
      </c>
      <c r="CH36" s="34">
        <f>IF(CE36&gt;0.1,1,0)</f>
        <v/>
      </c>
      <c r="CI36" s="34">
        <f>(F36*BX36)-BY36</f>
        <v/>
      </c>
      <c r="CJ36" s="34">
        <f>IF(AY36=0,0,CI36/AY36)</f>
        <v/>
      </c>
    </row>
    <row r="37">
      <c r="A37" s="29" t="n">
        <v>46205.41666666666</v>
      </c>
      <c r="B37" s="29" t="inlineStr">
        <is>
          <t>10:00</t>
        </is>
      </c>
      <c r="C37" s="35">
        <f>INT(A37)</f>
        <v/>
      </c>
      <c r="D37" s="36">
        <f>MONTH(A37)</f>
        <v/>
      </c>
      <c r="E37" s="147" t="inlineStr">
        <is>
          <t>Enerji Açığı</t>
        </is>
      </c>
      <c r="F37" s="30" t="n">
        <v>2699.99</v>
      </c>
      <c r="G37" s="30" t="n">
        <v>4090</v>
      </c>
      <c r="H37" s="30" t="n">
        <v>57.97</v>
      </c>
      <c r="I37" s="30" t="n">
        <v>2815.86</v>
      </c>
      <c r="J37" s="119" t="n">
        <v>0</v>
      </c>
      <c r="K37" s="34">
        <f>F37*J37</f>
        <v/>
      </c>
      <c r="L37" s="119" t="n">
        <v>0</v>
      </c>
      <c r="M37" s="34">
        <f>L37*F37</f>
        <v/>
      </c>
      <c r="N37" s="119" t="n">
        <v>23.3</v>
      </c>
      <c r="O37" s="34">
        <f>F37</f>
        <v/>
      </c>
      <c r="P37" s="34">
        <f>N37*O37</f>
        <v/>
      </c>
      <c r="Q37" s="119" t="n">
        <v>0</v>
      </c>
      <c r="R37" s="34">
        <f>F37</f>
        <v/>
      </c>
      <c r="S37" s="34">
        <f>R37*Q37</f>
        <v/>
      </c>
      <c r="T37" s="34" t="n"/>
      <c r="U37" s="34">
        <f>IFERROR(W37/T37,0)</f>
        <v/>
      </c>
      <c r="V37" s="34">
        <f>IF(U37=0,0,U37-F37)</f>
        <v/>
      </c>
      <c r="W37" s="34" t="n"/>
      <c r="X37" s="34" t="n"/>
      <c r="Y37" s="34">
        <f>IFERROR(AA37/X37,0)</f>
        <v/>
      </c>
      <c r="Z37" s="34">
        <f>IF(Y37=0,0,F37-Y37)</f>
        <v/>
      </c>
      <c r="AA37" s="34" t="n"/>
      <c r="AB37" s="34" t="n">
        <v>0</v>
      </c>
      <c r="AC37" s="34" t="n">
        <v>0</v>
      </c>
      <c r="AD37" s="34">
        <f>IF(AB37&gt;AC37*1.05,AB37-AC37*1.05,IF(AB37&lt;AC37*0.95,AC37*0.95-AB37,0))</f>
        <v/>
      </c>
      <c r="AE37" s="34">
        <f>MAX(F37,G37,750)*0.05*AD37</f>
        <v/>
      </c>
      <c r="AF37" s="34" t="n">
        <v>0</v>
      </c>
      <c r="AG37" s="34">
        <f>IF(AB37&gt;AF37*1.05,AB37-AF37*1.05,IF(AB37&lt;AF37*0.95,AF37*0.95-AB37,0))</f>
        <v/>
      </c>
      <c r="AH37" s="34">
        <f>MAX(I37,J37,750)*0.05*AG37</f>
        <v/>
      </c>
      <c r="AI37" t="n">
        <v>10.19</v>
      </c>
      <c r="AJ37" t="n">
        <v>9</v>
      </c>
      <c r="AK37" s="34">
        <f>IF(AI37&gt;AJ37*1.05,AI37-AJ37*1.05,IF(AI37&lt;AJ37*0.95,AJ37*0.95-AI37,0))</f>
        <v/>
      </c>
      <c r="AL37" s="34">
        <f>MAX(F37,G37,750)*0.05*AK37</f>
        <v/>
      </c>
      <c r="AM37" s="39" t="n">
        <v>10</v>
      </c>
      <c r="AN37" s="34">
        <f>IF(AI37&gt;AM37*1.05,AI37-AM37*1.05,IF(AI37&lt;AM37*0.95,AM37*0.95-AI37,0))</f>
        <v/>
      </c>
      <c r="AO37" s="34">
        <f>MAX(F37,G37,750)*0.05*AN37</f>
        <v/>
      </c>
      <c r="AP37" s="34" t="n">
        <v>14.78</v>
      </c>
      <c r="AQ37" s="34" t="n">
        <v>14.3</v>
      </c>
      <c r="AR37" s="34">
        <f>IF(AP37&gt;AQ37*1.05,AP37-AQ37*1.05,IF(AP37&lt;AQ37*0.95,AQ37*0.95-AP37,0))</f>
        <v/>
      </c>
      <c r="AS37" s="34">
        <f>MAX(F37:G37,750)*0.05*AR37</f>
        <v/>
      </c>
      <c r="AT37" t="n">
        <v>14.3</v>
      </c>
      <c r="AU37" s="34">
        <f>IF(AP37&gt;AT37*1.05,AP37-AT37*1.05,IF(AP37&lt;AT37*0.95,AT37*0.95-AP37,0))</f>
        <v/>
      </c>
      <c r="AV37" s="34">
        <f>MAX(F37:G37,750)*0.05*AU37</f>
        <v/>
      </c>
      <c r="AW37" s="34">
        <f>AC37+AJ37+AQ37</f>
        <v/>
      </c>
      <c r="AX37" s="34">
        <f>AF37+AM37+AT37</f>
        <v/>
      </c>
      <c r="AY37" s="34">
        <f>AB37+AI37+AP37</f>
        <v/>
      </c>
      <c r="AZ37" s="34" t="n">
        <v>0</v>
      </c>
      <c r="BA37" s="34">
        <f>AD37+AK37+AR37</f>
        <v/>
      </c>
      <c r="BB37" s="34">
        <f>MAX(F37:G37,750)*0.05*BA37</f>
        <v/>
      </c>
      <c r="BC37" s="34">
        <f>AG37+AN37+AU37</f>
        <v/>
      </c>
      <c r="BD37" s="34">
        <f>MAX(F37:G37,750)*0.05*BC37</f>
        <v/>
      </c>
      <c r="BE37" s="34">
        <f>F37*AY37</f>
        <v/>
      </c>
      <c r="BF37" s="34">
        <f>K37-M37</f>
        <v/>
      </c>
      <c r="BG37" s="34">
        <f>P37-S37</f>
        <v/>
      </c>
      <c r="BH37" s="34">
        <f>W37-AA37</f>
        <v/>
      </c>
      <c r="BI37" s="34">
        <f>BF37+BG37+BL37-BN37</f>
        <v/>
      </c>
      <c r="BJ37" s="34">
        <f>ABS(BK37)</f>
        <v/>
      </c>
      <c r="BK37" s="34">
        <f>AY37-(J37-L37+N37-Q37)</f>
        <v/>
      </c>
      <c r="BL37" s="34">
        <f>IF(AND(BK37&gt;0,MIN($F37:$G37)&lt;150,$E37="Enerji Açığı"),-100*BK37*1.03,IF(AND(BK37&gt;0,MIN($F37:$G37)&lt;150,$E37="Enerji Fazlası"),-100*BK37*1.06,IF(AND(BK37&gt;0,MIN($F37:$G37)&gt;=150,$E37="Enerji Açığı"),BK37*MIN($F37:$G37)*0.97,IF(AND(BK37&gt;0,MIN($F37:$G37)&gt;=150,$E37="Enerji Fazlası"),BK37*MIN($F37:$G37)*0.94,IF(AND(BK37&lt;0,MAX($F37:$G37)=4500,$E37="Enerji Açığı"),4500*1.05*1.06*BK37,IF(AND(BK37&lt;0,MAX($F37:$G37)=4500,$E37="Enerji Fazlası"),4500*1.05*1.03*BK37,IF(AND(BK37&lt;0,$E37="Enerji Açığı"),MAX($F37,$G37,150)*BK37*1.06,IF(AND(BK37&lt;0,$E37="Enerji Fazlası"),MAX($F37,$G37,150)*BK37*1.03,IF(AND(BK37&lt;0,$E37="Dengede"),MAX($F37:$G37,150)*1.03*BK37,MIN($F37:$G37)*0.97*BK37)))))))))</f>
        <v/>
      </c>
      <c r="BM37" s="34">
        <f>BE37-BI37-BN37</f>
        <v/>
      </c>
      <c r="BN37" s="34">
        <f>BB37</f>
        <v/>
      </c>
      <c r="BO37" s="34">
        <f>BE37-BI37</f>
        <v/>
      </c>
      <c r="BP37" s="34">
        <f>IF(AY37=0,0,BO37/AY37)</f>
        <v/>
      </c>
      <c r="BQ37" s="34">
        <f>MAX((AY37+MAX((-J37+L37-N37+Q37),0)),(MAX((J37-L37+N37-Q37),0)))</f>
        <v/>
      </c>
      <c r="BR37" s="82">
        <f>IFERROR(ABS(BK37/BQ37),0)</f>
        <v/>
      </c>
      <c r="BS37" s="34">
        <f>IF(BR37&lt;=0.1,0,BK37/BR37*(BR37-0.1))</f>
        <v/>
      </c>
      <c r="BT37" s="34">
        <f>IF((BS37)&lt;0,MAX(F37:G37)*(BS37)*1.03,MIN(F37:G37)*(BS37)*0.97)</f>
        <v/>
      </c>
      <c r="BU37" s="34">
        <f>IF(BR37&gt;0.1,1,0)</f>
        <v/>
      </c>
      <c r="BV37" s="34">
        <f>BF37+BG37+BH37+BY37-CA37</f>
        <v/>
      </c>
      <c r="BW37" s="34">
        <f>ABS(BX37)</f>
        <v/>
      </c>
      <c r="BX37" s="34">
        <f>AY37-(J37-L37+N37-Q37+T37-X37)</f>
        <v/>
      </c>
      <c r="BY37" s="34">
        <f>IF(AND(BX37&gt;0,MIN($F37:$G37)&lt;150,$E37="Enerji Açığı"),-100*BX37*1.03,IF(AND(BX37&gt;0,MIN($F37:$G37)&lt;150,$E37="Enerji Fazlası"),-100*BX37*1.06,IF(AND(BX37&gt;0,MIN($F37:$G37)&gt;=150,$E37="Enerji Açığı"),BX37*MIN($F37:$G37)*0.97,IF(AND(BX37&gt;0,MIN($F37:$G37)&gt;=150,$E37="Enerji Fazlası"),BX37*MIN($F37:$G37)*0.94,IF(AND(BX37&lt;0,MAX($F37:$G37)=4500,$E37="Enerji Açığı"),4500*1.05*1.06*BX37,IF(AND(BX37&lt;0,MAX($F37:$G37)=4500,$E37="Enerji Fazlası"),4500*1.05*1.03*BX37,IF(AND(BX37&lt;0,$E37="Enerji Açığı"),MAX($F37,$G37,150)*BX37*1.06,IF(AND(BX37&lt;0,$E37="Enerji Fazlası"),MAX($F37,$G37,150)*BX37*1.03,IF(AND(BX37&lt;0,$E37="Dengede"),MAX($F37:$G37,150)*1.03*BX37,MIN($F37:$G37)*0.97*BX37)))))))))</f>
        <v/>
      </c>
      <c r="BZ37" s="34">
        <f>BE37-BV37-CA37</f>
        <v/>
      </c>
      <c r="CA37" s="34">
        <f>BD37</f>
        <v/>
      </c>
      <c r="CB37" s="33">
        <f>BE37-BV37</f>
        <v/>
      </c>
      <c r="CC37" s="34">
        <f>IF(AY37=0,0,CB37/AY37)</f>
        <v/>
      </c>
      <c r="CD37" s="34">
        <f>MAX((AY37+MAX((-J37+L37-N37+Q37-T37+X37),0)),(MAX((J37-L37+N37-Q37+T37-X37),0)))</f>
        <v/>
      </c>
      <c r="CE37" s="82">
        <f>IFERROR(ABS(BX37/CD37),0)</f>
        <v/>
      </c>
      <c r="CF37" s="34">
        <f>IF(CE37&lt;=0.1,0,BX37/CE37*(CE37-0.1))</f>
        <v/>
      </c>
      <c r="CG37" s="34">
        <f>IF((CF37)&lt;0,MAX(F37:G37)*(CF37)*1.03,MIN(F37:G37)*(CF37)*0.97)</f>
        <v/>
      </c>
      <c r="CH37" s="34">
        <f>IF(CE37&gt;0.1,1,0)</f>
        <v/>
      </c>
      <c r="CI37" s="34">
        <f>(F37*BX37)-BY37</f>
        <v/>
      </c>
      <c r="CJ37" s="34">
        <f>IF(AY37=0,0,CI37/AY37)</f>
        <v/>
      </c>
    </row>
    <row r="38">
      <c r="A38" s="29" t="n">
        <v>46205.45833333334</v>
      </c>
      <c r="B38" s="29" t="inlineStr">
        <is>
          <t>11:00</t>
        </is>
      </c>
      <c r="C38" s="35">
        <f>INT(A38)</f>
        <v/>
      </c>
      <c r="D38" s="36">
        <f>MONTH(A38)</f>
        <v/>
      </c>
      <c r="E38" s="147" t="inlineStr">
        <is>
          <t>Enerji Açığı</t>
        </is>
      </c>
      <c r="F38" s="30" t="n">
        <v>2999.01</v>
      </c>
      <c r="G38" s="30" t="n">
        <v>4048</v>
      </c>
      <c r="H38" s="30" t="n">
        <v>64.39</v>
      </c>
      <c r="I38" s="30" t="n">
        <v>3174.79</v>
      </c>
      <c r="J38" s="119" t="n">
        <v>0</v>
      </c>
      <c r="K38" s="34">
        <f>F38*J38</f>
        <v/>
      </c>
      <c r="L38" s="119" t="n">
        <v>0</v>
      </c>
      <c r="M38" s="34">
        <f>L38*F38</f>
        <v/>
      </c>
      <c r="N38" s="119" t="n">
        <v>23.3</v>
      </c>
      <c r="O38" s="34">
        <f>F38</f>
        <v/>
      </c>
      <c r="P38" s="34">
        <f>N38*O38</f>
        <v/>
      </c>
      <c r="Q38" s="119" t="n">
        <v>0</v>
      </c>
      <c r="R38" s="34">
        <f>F38</f>
        <v/>
      </c>
      <c r="S38" s="34">
        <f>R38*Q38</f>
        <v/>
      </c>
      <c r="T38" s="34" t="n"/>
      <c r="U38" s="34">
        <f>IFERROR(W38/T38,0)</f>
        <v/>
      </c>
      <c r="V38" s="34">
        <f>IF(U38=0,0,U38-F38)</f>
        <v/>
      </c>
      <c r="W38" s="34" t="n"/>
      <c r="X38" s="34" t="n"/>
      <c r="Y38" s="34">
        <f>IFERROR(AA38/X38,0)</f>
        <v/>
      </c>
      <c r="Z38" s="34">
        <f>IF(Y38=0,0,F38-Y38)</f>
        <v/>
      </c>
      <c r="AA38" s="34" t="n"/>
      <c r="AB38" s="34" t="n">
        <v>0</v>
      </c>
      <c r="AC38" s="34" t="n">
        <v>0</v>
      </c>
      <c r="AD38" s="34">
        <f>IF(AB38&gt;AC38*1.05,AB38-AC38*1.05,IF(AB38&lt;AC38*0.95,AC38*0.95-AB38,0))</f>
        <v/>
      </c>
      <c r="AE38" s="34">
        <f>MAX(F38,G38,750)*0.05*AD38</f>
        <v/>
      </c>
      <c r="AF38" s="34" t="n">
        <v>0</v>
      </c>
      <c r="AG38" s="34">
        <f>IF(AB38&gt;AF38*1.05,AB38-AF38*1.05,IF(AB38&lt;AF38*0.95,AF38*0.95-AB38,0))</f>
        <v/>
      </c>
      <c r="AH38" s="34">
        <f>MAX(I38,J38,750)*0.05*AG38</f>
        <v/>
      </c>
      <c r="AI38" t="n">
        <v>10.18</v>
      </c>
      <c r="AJ38" t="n">
        <v>9</v>
      </c>
      <c r="AK38" s="34">
        <f>IF(AI38&gt;AJ38*1.05,AI38-AJ38*1.05,IF(AI38&lt;AJ38*0.95,AJ38*0.95-AI38,0))</f>
        <v/>
      </c>
      <c r="AL38" s="34">
        <f>MAX(F38,G38,750)*0.05*AK38</f>
        <v/>
      </c>
      <c r="AM38" s="39" t="n">
        <v>10</v>
      </c>
      <c r="AN38" s="34">
        <f>IF(AI38&gt;AM38*1.05,AI38-AM38*1.05,IF(AI38&lt;AM38*0.95,AM38*0.95-AI38,0))</f>
        <v/>
      </c>
      <c r="AO38" s="34">
        <f>MAX(F38,G38,750)*0.05*AN38</f>
        <v/>
      </c>
      <c r="AP38" s="34" t="n">
        <v>14.74</v>
      </c>
      <c r="AQ38" s="34" t="n">
        <v>14.3</v>
      </c>
      <c r="AR38" s="34">
        <f>IF(AP38&gt;AQ38*1.05,AP38-AQ38*1.05,IF(AP38&lt;AQ38*0.95,AQ38*0.95-AP38,0))</f>
        <v/>
      </c>
      <c r="AS38" s="34">
        <f>MAX(F38:G38,750)*0.05*AR38</f>
        <v/>
      </c>
      <c r="AT38" t="n">
        <v>14.3</v>
      </c>
      <c r="AU38" s="34">
        <f>IF(AP38&gt;AT38*1.05,AP38-AT38*1.05,IF(AP38&lt;AT38*0.95,AT38*0.95-AP38,0))</f>
        <v/>
      </c>
      <c r="AV38" s="34">
        <f>MAX(F38:G38,750)*0.05*AU38</f>
        <v/>
      </c>
      <c r="AW38" s="34">
        <f>AC38+AJ38+AQ38</f>
        <v/>
      </c>
      <c r="AX38" s="34">
        <f>AF38+AM38+AT38</f>
        <v/>
      </c>
      <c r="AY38" s="34">
        <f>AB38+AI38+AP38</f>
        <v/>
      </c>
      <c r="AZ38" s="34" t="n">
        <v>0</v>
      </c>
      <c r="BA38" s="34">
        <f>AD38+AK38+AR38</f>
        <v/>
      </c>
      <c r="BB38" s="34">
        <f>MAX(F38:G38,750)*0.05*BA38</f>
        <v/>
      </c>
      <c r="BC38" s="34">
        <f>AG38+AN38+AU38</f>
        <v/>
      </c>
      <c r="BD38" s="34">
        <f>MAX(F38:G38,750)*0.05*BC38</f>
        <v/>
      </c>
      <c r="BE38" s="34">
        <f>F38*AY38</f>
        <v/>
      </c>
      <c r="BF38" s="34">
        <f>K38-M38</f>
        <v/>
      </c>
      <c r="BG38" s="34">
        <f>P38-S38</f>
        <v/>
      </c>
      <c r="BH38" s="34">
        <f>W38-AA38</f>
        <v/>
      </c>
      <c r="BI38" s="34">
        <f>BF38+BG38+BL38-BN38</f>
        <v/>
      </c>
      <c r="BJ38" s="34">
        <f>ABS(BK38)</f>
        <v/>
      </c>
      <c r="BK38" s="34">
        <f>AY38-(J38-L38+N38-Q38)</f>
        <v/>
      </c>
      <c r="BL38" s="34">
        <f>IF(AND(BK38&gt;0,MIN($F38:$G38)&lt;150,$E38="Enerji Açığı"),-100*BK38*1.03,IF(AND(BK38&gt;0,MIN($F38:$G38)&lt;150,$E38="Enerji Fazlası"),-100*BK38*1.06,IF(AND(BK38&gt;0,MIN($F38:$G38)&gt;=150,$E38="Enerji Açığı"),BK38*MIN($F38:$G38)*0.97,IF(AND(BK38&gt;0,MIN($F38:$G38)&gt;=150,$E38="Enerji Fazlası"),BK38*MIN($F38:$G38)*0.94,IF(AND(BK38&lt;0,MAX($F38:$G38)=4500,$E38="Enerji Açığı"),4500*1.05*1.06*BK38,IF(AND(BK38&lt;0,MAX($F38:$G38)=4500,$E38="Enerji Fazlası"),4500*1.05*1.03*BK38,IF(AND(BK38&lt;0,$E38="Enerji Açığı"),MAX($F38,$G38,150)*BK38*1.06,IF(AND(BK38&lt;0,$E38="Enerji Fazlası"),MAX($F38,$G38,150)*BK38*1.03,IF(AND(BK38&lt;0,$E38="Dengede"),MAX($F38:$G38,150)*1.03*BK38,MIN($F38:$G38)*0.97*BK38)))))))))</f>
        <v/>
      </c>
      <c r="BM38" s="34">
        <f>BE38-BI38-BN38</f>
        <v/>
      </c>
      <c r="BN38" s="34">
        <f>BB38</f>
        <v/>
      </c>
      <c r="BO38" s="34">
        <f>BE38-BI38</f>
        <v/>
      </c>
      <c r="BP38" s="34">
        <f>IF(AY38=0,0,BO38/AY38)</f>
        <v/>
      </c>
      <c r="BQ38" s="34">
        <f>MAX((AY38+MAX((-J38+L38-N38+Q38),0)),(MAX((J38-L38+N38-Q38),0)))</f>
        <v/>
      </c>
      <c r="BR38" s="82">
        <f>IFERROR(ABS(BK38/BQ38),0)</f>
        <v/>
      </c>
      <c r="BS38" s="34">
        <f>IF(BR38&lt;=0.1,0,BK38/BR38*(BR38-0.1))</f>
        <v/>
      </c>
      <c r="BT38" s="34">
        <f>IF((BS38)&lt;0,MAX(F38:G38)*(BS38)*1.03,MIN(F38:G38)*(BS38)*0.97)</f>
        <v/>
      </c>
      <c r="BU38" s="34">
        <f>IF(BR38&gt;0.1,1,0)</f>
        <v/>
      </c>
      <c r="BV38" s="34">
        <f>BF38+BG38+BH38+BY38-CA38</f>
        <v/>
      </c>
      <c r="BW38" s="34">
        <f>ABS(BX38)</f>
        <v/>
      </c>
      <c r="BX38" s="34">
        <f>AY38-(J38-L38+N38-Q38+T38-X38)</f>
        <v/>
      </c>
      <c r="BY38" s="34">
        <f>IF(AND(BX38&gt;0,MIN($F38:$G38)&lt;150,$E38="Enerji Açığı"),-100*BX38*1.03,IF(AND(BX38&gt;0,MIN($F38:$G38)&lt;150,$E38="Enerji Fazlası"),-100*BX38*1.06,IF(AND(BX38&gt;0,MIN($F38:$G38)&gt;=150,$E38="Enerji Açığı"),BX38*MIN($F38:$G38)*0.97,IF(AND(BX38&gt;0,MIN($F38:$G38)&gt;=150,$E38="Enerji Fazlası"),BX38*MIN($F38:$G38)*0.94,IF(AND(BX38&lt;0,MAX($F38:$G38)=4500,$E38="Enerji Açığı"),4500*1.05*1.06*BX38,IF(AND(BX38&lt;0,MAX($F38:$G38)=4500,$E38="Enerji Fazlası"),4500*1.05*1.03*BX38,IF(AND(BX38&lt;0,$E38="Enerji Açığı"),MAX($F38,$G38,150)*BX38*1.06,IF(AND(BX38&lt;0,$E38="Enerji Fazlası"),MAX($F38,$G38,150)*BX38*1.03,IF(AND(BX38&lt;0,$E38="Dengede"),MAX($F38:$G38,150)*1.03*BX38,MIN($F38:$G38)*0.97*BX38)))))))))</f>
        <v/>
      </c>
      <c r="BZ38" s="34">
        <f>BE38-BV38-CA38</f>
        <v/>
      </c>
      <c r="CA38" s="34">
        <f>BD38</f>
        <v/>
      </c>
      <c r="CB38" s="33">
        <f>BE38-BV38</f>
        <v/>
      </c>
      <c r="CC38" s="34">
        <f>IF(AY38=0,0,CB38/AY38)</f>
        <v/>
      </c>
      <c r="CD38" s="34">
        <f>MAX((AY38+MAX((-J38+L38-N38+Q38-T38+X38),0)),(MAX((J38-L38+N38-Q38+T38-X38),0)))</f>
        <v/>
      </c>
      <c r="CE38" s="82">
        <f>IFERROR(ABS(BX38/CD38),0)</f>
        <v/>
      </c>
      <c r="CF38" s="34">
        <f>IF(CE38&lt;=0.1,0,BX38/CE38*(CE38-0.1))</f>
        <v/>
      </c>
      <c r="CG38" s="34">
        <f>IF((CF38)&lt;0,MAX(F38:G38)*(CF38)*1.03,MIN(F38:G38)*(CF38)*0.97)</f>
        <v/>
      </c>
      <c r="CH38" s="34">
        <f>IF(CE38&gt;0.1,1,0)</f>
        <v/>
      </c>
      <c r="CI38" s="34">
        <f>(F38*BX38)-BY38</f>
        <v/>
      </c>
      <c r="CJ38" s="34">
        <f>IF(AY38=0,0,CI38/AY38)</f>
        <v/>
      </c>
    </row>
    <row r="39">
      <c r="A39" s="29" t="n">
        <v>46205.5</v>
      </c>
      <c r="B39" s="29" t="inlineStr">
        <is>
          <t>12:00</t>
        </is>
      </c>
      <c r="C39" s="35">
        <f>INT(A39)</f>
        <v/>
      </c>
      <c r="D39" s="36">
        <f>MONTH(A39)</f>
        <v/>
      </c>
      <c r="E39" s="147" t="inlineStr">
        <is>
          <t>Enerji Açığı</t>
        </is>
      </c>
      <c r="F39" s="30" t="n">
        <v>1499.98</v>
      </c>
      <c r="G39" s="30" t="n">
        <v>3550</v>
      </c>
      <c r="H39" s="30" t="n">
        <v>32.21</v>
      </c>
      <c r="I39" s="30" t="n">
        <v>1970.26</v>
      </c>
      <c r="J39" s="119" t="n">
        <v>0</v>
      </c>
      <c r="K39" s="34">
        <f>F39*J39</f>
        <v/>
      </c>
      <c r="L39" s="119" t="n">
        <v>0</v>
      </c>
      <c r="M39" s="34">
        <f>L39*F39</f>
        <v/>
      </c>
      <c r="N39" s="119" t="n">
        <v>23.5</v>
      </c>
      <c r="O39" s="34">
        <f>F39</f>
        <v/>
      </c>
      <c r="P39" s="34">
        <f>N39*O39</f>
        <v/>
      </c>
      <c r="Q39" s="119" t="n">
        <v>0</v>
      </c>
      <c r="R39" s="34">
        <f>F39</f>
        <v/>
      </c>
      <c r="S39" s="34">
        <f>R39*Q39</f>
        <v/>
      </c>
      <c r="T39" s="34" t="n"/>
      <c r="U39" s="34">
        <f>IFERROR(W39/T39,0)</f>
        <v/>
      </c>
      <c r="V39" s="34">
        <f>IF(U39=0,0,U39-F39)</f>
        <v/>
      </c>
      <c r="W39" s="34" t="n"/>
      <c r="X39" s="34" t="n"/>
      <c r="Y39" s="34">
        <f>IFERROR(AA39/X39,0)</f>
        <v/>
      </c>
      <c r="Z39" s="34">
        <f>IF(Y39=0,0,F39-Y39)</f>
        <v/>
      </c>
      <c r="AA39" s="34" t="n"/>
      <c r="AB39" s="34" t="n">
        <v>0</v>
      </c>
      <c r="AC39" s="34" t="n">
        <v>0</v>
      </c>
      <c r="AD39" s="34">
        <f>IF(AB39&gt;AC39*1.05,AB39-AC39*1.05,IF(AB39&lt;AC39*0.95,AC39*0.95-AB39,0))</f>
        <v/>
      </c>
      <c r="AE39" s="34">
        <f>MAX(F39,G39,750)*0.05*AD39</f>
        <v/>
      </c>
      <c r="AF39" s="34" t="n">
        <v>0</v>
      </c>
      <c r="AG39" s="34">
        <f>IF(AB39&gt;AF39*1.05,AB39-AF39*1.05,IF(AB39&lt;AF39*0.95,AF39*0.95-AB39,0))</f>
        <v/>
      </c>
      <c r="AH39" s="34">
        <f>MAX(I39,J39,750)*0.05*AG39</f>
        <v/>
      </c>
      <c r="AI39" t="n">
        <v>9.18</v>
      </c>
      <c r="AJ39" t="n">
        <v>9</v>
      </c>
      <c r="AK39" s="34">
        <f>IF(AI39&gt;AJ39*1.05,AI39-AJ39*1.05,IF(AI39&lt;AJ39*0.95,AJ39*0.95-AI39,0))</f>
        <v/>
      </c>
      <c r="AL39" s="34">
        <f>MAX(F39,G39,750)*0.05*AK39</f>
        <v/>
      </c>
      <c r="AM39" s="39" t="n">
        <v>9</v>
      </c>
      <c r="AN39" s="34">
        <f>IF(AI39&gt;AM39*1.05,AI39-AM39*1.05,IF(AI39&lt;AM39*0.95,AM39*0.95-AI39,0))</f>
        <v/>
      </c>
      <c r="AO39" s="34">
        <f>MAX(F39,G39,750)*0.05*AN39</f>
        <v/>
      </c>
      <c r="AP39" s="34" t="n">
        <v>14.83</v>
      </c>
      <c r="AQ39" s="34" t="n">
        <v>14.5</v>
      </c>
      <c r="AR39" s="34">
        <f>IF(AP39&gt;AQ39*1.05,AP39-AQ39*1.05,IF(AP39&lt;AQ39*0.95,AQ39*0.95-AP39,0))</f>
        <v/>
      </c>
      <c r="AS39" s="34">
        <f>MAX(F39:G39,750)*0.05*AR39</f>
        <v/>
      </c>
      <c r="AT39" t="n">
        <v>14.5</v>
      </c>
      <c r="AU39" s="34">
        <f>IF(AP39&gt;AT39*1.05,AP39-AT39*1.05,IF(AP39&lt;AT39*0.95,AT39*0.95-AP39,0))</f>
        <v/>
      </c>
      <c r="AV39" s="34">
        <f>MAX(F39:G39,750)*0.05*AU39</f>
        <v/>
      </c>
      <c r="AW39" s="34">
        <f>AC39+AJ39+AQ39</f>
        <v/>
      </c>
      <c r="AX39" s="34">
        <f>AF39+AM39+AT39</f>
        <v/>
      </c>
      <c r="AY39" s="34">
        <f>AB39+AI39+AP39</f>
        <v/>
      </c>
      <c r="AZ39" s="34" t="n">
        <v>0</v>
      </c>
      <c r="BA39" s="34">
        <f>AD39+AK39+AR39</f>
        <v/>
      </c>
      <c r="BB39" s="34">
        <f>MAX(F39:G39,750)*0.05*BA39</f>
        <v/>
      </c>
      <c r="BC39" s="34">
        <f>AG39+AN39+AU39</f>
        <v/>
      </c>
      <c r="BD39" s="34">
        <f>MAX(F39:G39,750)*0.05*BC39</f>
        <v/>
      </c>
      <c r="BE39" s="34">
        <f>F39*AY39</f>
        <v/>
      </c>
      <c r="BF39" s="34">
        <f>K39-M39</f>
        <v/>
      </c>
      <c r="BG39" s="34">
        <f>P39-S39</f>
        <v/>
      </c>
      <c r="BH39" s="34">
        <f>W39-AA39</f>
        <v/>
      </c>
      <c r="BI39" s="34">
        <f>BF39+BG39+BL39-BN39</f>
        <v/>
      </c>
      <c r="BJ39" s="34">
        <f>ABS(BK39)</f>
        <v/>
      </c>
      <c r="BK39" s="34">
        <f>AY39-(J39-L39+N39-Q39)</f>
        <v/>
      </c>
      <c r="BL39" s="34">
        <f>IF(AND(BK39&gt;0,MIN($F39:$G39)&lt;150,$E39="Enerji Açığı"),-100*BK39*1.03,IF(AND(BK39&gt;0,MIN($F39:$G39)&lt;150,$E39="Enerji Fazlası"),-100*BK39*1.06,IF(AND(BK39&gt;0,MIN($F39:$G39)&gt;=150,$E39="Enerji Açığı"),BK39*MIN($F39:$G39)*0.97,IF(AND(BK39&gt;0,MIN($F39:$G39)&gt;=150,$E39="Enerji Fazlası"),BK39*MIN($F39:$G39)*0.94,IF(AND(BK39&lt;0,MAX($F39:$G39)=4500,$E39="Enerji Açığı"),4500*1.05*1.06*BK39,IF(AND(BK39&lt;0,MAX($F39:$G39)=4500,$E39="Enerji Fazlası"),4500*1.05*1.03*BK39,IF(AND(BK39&lt;0,$E39="Enerji Açığı"),MAX($F39,$G39,150)*BK39*1.06,IF(AND(BK39&lt;0,$E39="Enerji Fazlası"),MAX($F39,$G39,150)*BK39*1.03,IF(AND(BK39&lt;0,$E39="Dengede"),MAX($F39:$G39,150)*1.03*BK39,MIN($F39:$G39)*0.97*BK39)))))))))</f>
        <v/>
      </c>
      <c r="BM39" s="34">
        <f>BE39-BI39-BN39</f>
        <v/>
      </c>
      <c r="BN39" s="34">
        <f>BB39</f>
        <v/>
      </c>
      <c r="BO39" s="34">
        <f>BE39-BI39</f>
        <v/>
      </c>
      <c r="BP39" s="34">
        <f>IF(AY39=0,0,BO39/AY39)</f>
        <v/>
      </c>
      <c r="BQ39" s="34">
        <f>MAX((AY39+MAX((-J39+L39-N39+Q39),0)),(MAX((J39-L39+N39-Q39),0)))</f>
        <v/>
      </c>
      <c r="BR39" s="82">
        <f>IFERROR(ABS(BK39/BQ39),0)</f>
        <v/>
      </c>
      <c r="BS39" s="34">
        <f>IF(BR39&lt;=0.1,0,BK39/BR39*(BR39-0.1))</f>
        <v/>
      </c>
      <c r="BT39" s="34">
        <f>IF((BS39)&lt;0,MAX(F39:G39)*(BS39)*1.03,MIN(F39:G39)*(BS39)*0.97)</f>
        <v/>
      </c>
      <c r="BU39" s="34">
        <f>IF(BR39&gt;0.1,1,0)</f>
        <v/>
      </c>
      <c r="BV39" s="34">
        <f>BF39+BG39+BH39+BY39-CA39</f>
        <v/>
      </c>
      <c r="BW39" s="34">
        <f>ABS(BX39)</f>
        <v/>
      </c>
      <c r="BX39" s="34">
        <f>AY39-(J39-L39+N39-Q39+T39-X39)</f>
        <v/>
      </c>
      <c r="BY39" s="34">
        <f>IF(AND(BX39&gt;0,MIN($F39:$G39)&lt;150,$E39="Enerji Açığı"),-100*BX39*1.03,IF(AND(BX39&gt;0,MIN($F39:$G39)&lt;150,$E39="Enerji Fazlası"),-100*BX39*1.06,IF(AND(BX39&gt;0,MIN($F39:$G39)&gt;=150,$E39="Enerji Açığı"),BX39*MIN($F39:$G39)*0.97,IF(AND(BX39&gt;0,MIN($F39:$G39)&gt;=150,$E39="Enerji Fazlası"),BX39*MIN($F39:$G39)*0.94,IF(AND(BX39&lt;0,MAX($F39:$G39)=4500,$E39="Enerji Açığı"),4500*1.05*1.06*BX39,IF(AND(BX39&lt;0,MAX($F39:$G39)=4500,$E39="Enerji Fazlası"),4500*1.05*1.03*BX39,IF(AND(BX39&lt;0,$E39="Enerji Açığı"),MAX($F39,$G39,150)*BX39*1.06,IF(AND(BX39&lt;0,$E39="Enerji Fazlası"),MAX($F39,$G39,150)*BX39*1.03,IF(AND(BX39&lt;0,$E39="Dengede"),MAX($F39:$G39,150)*1.03*BX39,MIN($F39:$G39)*0.97*BX39)))))))))</f>
        <v/>
      </c>
      <c r="BZ39" s="34">
        <f>BE39-BV39-CA39</f>
        <v/>
      </c>
      <c r="CA39" s="34">
        <f>BD39</f>
        <v/>
      </c>
      <c r="CB39" s="33">
        <f>BE39-BV39</f>
        <v/>
      </c>
      <c r="CC39" s="34">
        <f>IF(AY39=0,0,CB39/AY39)</f>
        <v/>
      </c>
      <c r="CD39" s="34">
        <f>MAX((AY39+MAX((-J39+L39-N39+Q39-T39+X39),0)),(MAX((J39-L39+N39-Q39+T39-X39),0)))</f>
        <v/>
      </c>
      <c r="CE39" s="82">
        <f>IFERROR(ABS(BX39/CD39),0)</f>
        <v/>
      </c>
      <c r="CF39" s="34">
        <f>IF(CE39&lt;=0.1,0,BX39/CE39*(CE39-0.1))</f>
        <v/>
      </c>
      <c r="CG39" s="34">
        <f>IF((CF39)&lt;0,MAX(F39:G39)*(CF39)*1.03,MIN(F39:G39)*(CF39)*0.97)</f>
        <v/>
      </c>
      <c r="CH39" s="34">
        <f>IF(CE39&gt;0.1,1,0)</f>
        <v/>
      </c>
      <c r="CI39" s="34">
        <f>(F39*BX39)-BY39</f>
        <v/>
      </c>
      <c r="CJ39" s="34">
        <f>IF(AY39=0,0,CI39/AY39)</f>
        <v/>
      </c>
    </row>
    <row r="40">
      <c r="A40" s="29" t="n">
        <v>46205.54166666666</v>
      </c>
      <c r="B40" s="29" t="inlineStr">
        <is>
          <t>13:00</t>
        </is>
      </c>
      <c r="C40" s="35">
        <f>INT(A40)</f>
        <v/>
      </c>
      <c r="D40" s="36">
        <f>MONTH(A40)</f>
        <v/>
      </c>
      <c r="E40" s="147" t="inlineStr">
        <is>
          <t>Enerji Açığı</t>
        </is>
      </c>
      <c r="F40" s="30" t="n">
        <v>2997</v>
      </c>
      <c r="G40" s="30" t="n">
        <v>3500</v>
      </c>
      <c r="H40" s="30" t="n">
        <v>64.34999999999999</v>
      </c>
      <c r="I40" s="30" t="n">
        <v>3522.69</v>
      </c>
      <c r="J40" s="119" t="n">
        <v>0</v>
      </c>
      <c r="K40" s="34">
        <f>F40*J40</f>
        <v/>
      </c>
      <c r="L40" s="119" t="n">
        <v>0</v>
      </c>
      <c r="M40" s="34">
        <f>L40*F40</f>
        <v/>
      </c>
      <c r="N40" s="119" t="n">
        <v>23.5</v>
      </c>
      <c r="O40" s="34">
        <f>F40</f>
        <v/>
      </c>
      <c r="P40" s="34">
        <f>N40*O40</f>
        <v/>
      </c>
      <c r="Q40" s="119" t="n">
        <v>0</v>
      </c>
      <c r="R40" s="34">
        <f>F40</f>
        <v/>
      </c>
      <c r="S40" s="34">
        <f>R40*Q40</f>
        <v/>
      </c>
      <c r="T40" s="34" t="n"/>
      <c r="U40" s="34">
        <f>IFERROR(W40/T40,0)</f>
        <v/>
      </c>
      <c r="V40" s="34">
        <f>IF(U40=0,0,U40-F40)</f>
        <v/>
      </c>
      <c r="W40" s="34" t="n"/>
      <c r="X40" s="34" t="n"/>
      <c r="Y40" s="34">
        <f>IFERROR(AA40/X40,0)</f>
        <v/>
      </c>
      <c r="Z40" s="34">
        <f>IF(Y40=0,0,F40-Y40)</f>
        <v/>
      </c>
      <c r="AA40" s="34" t="n"/>
      <c r="AB40" s="34" t="n">
        <v>0</v>
      </c>
      <c r="AC40" s="34" t="n">
        <v>0</v>
      </c>
      <c r="AD40" s="34">
        <f>IF(AB40&gt;AC40*1.05,AB40-AC40*1.05,IF(AB40&lt;AC40*0.95,AC40*0.95-AB40,0))</f>
        <v/>
      </c>
      <c r="AE40" s="34">
        <f>MAX(F40,G40,750)*0.05*AD40</f>
        <v/>
      </c>
      <c r="AF40" s="34" t="n">
        <v>0</v>
      </c>
      <c r="AG40" s="34">
        <f>IF(AB40&gt;AF40*1.05,AB40-AF40*1.05,IF(AB40&lt;AF40*0.95,AF40*0.95-AB40,0))</f>
        <v/>
      </c>
      <c r="AH40" s="34">
        <f>MAX(I40,J40,750)*0.05*AG40</f>
        <v/>
      </c>
      <c r="AI40" t="n">
        <v>10.23</v>
      </c>
      <c r="AJ40" t="n">
        <v>9</v>
      </c>
      <c r="AK40" s="34">
        <f>IF(AI40&gt;AJ40*1.05,AI40-AJ40*1.05,IF(AI40&lt;AJ40*0.95,AJ40*0.95-AI40,0))</f>
        <v/>
      </c>
      <c r="AL40" s="34">
        <f>MAX(F40,G40,750)*0.05*AK40</f>
        <v/>
      </c>
      <c r="AM40" s="39" t="n">
        <v>10</v>
      </c>
      <c r="AN40" s="34">
        <f>IF(AI40&gt;AM40*1.05,AI40-AM40*1.05,IF(AI40&lt;AM40*0.95,AM40*0.95-AI40,0))</f>
        <v/>
      </c>
      <c r="AO40" s="34">
        <f>MAX(F40,G40,750)*0.05*AN40</f>
        <v/>
      </c>
      <c r="AP40" s="34" t="n">
        <v>15.7</v>
      </c>
      <c r="AQ40" s="34" t="n">
        <v>14.5</v>
      </c>
      <c r="AR40" s="34">
        <f>IF(AP40&gt;AQ40*1.05,AP40-AQ40*1.05,IF(AP40&lt;AQ40*0.95,AQ40*0.95-AP40,0))</f>
        <v/>
      </c>
      <c r="AS40" s="34">
        <f>MAX(F40:G40,750)*0.05*AR40</f>
        <v/>
      </c>
      <c r="AT40" t="n">
        <v>15.5</v>
      </c>
      <c r="AU40" s="34">
        <f>IF(AP40&gt;AT40*1.05,AP40-AT40*1.05,IF(AP40&lt;AT40*0.95,AT40*0.95-AP40,0))</f>
        <v/>
      </c>
      <c r="AV40" s="34">
        <f>MAX(F40:G40,750)*0.05*AU40</f>
        <v/>
      </c>
      <c r="AW40" s="34">
        <f>AC40+AJ40+AQ40</f>
        <v/>
      </c>
      <c r="AX40" s="34">
        <f>AF40+AM40+AT40</f>
        <v/>
      </c>
      <c r="AY40" s="34">
        <f>AB40+AI40+AP40</f>
        <v/>
      </c>
      <c r="AZ40" s="34" t="n">
        <v>0</v>
      </c>
      <c r="BA40" s="34">
        <f>AD40+AK40+AR40</f>
        <v/>
      </c>
      <c r="BB40" s="34">
        <f>MAX(F40:G40,750)*0.05*BA40</f>
        <v/>
      </c>
      <c r="BC40" s="34">
        <f>AG40+AN40+AU40</f>
        <v/>
      </c>
      <c r="BD40" s="34">
        <f>MAX(F40:G40,750)*0.05*BC40</f>
        <v/>
      </c>
      <c r="BE40" s="34">
        <f>F40*AY40</f>
        <v/>
      </c>
      <c r="BF40" s="34">
        <f>K40-M40</f>
        <v/>
      </c>
      <c r="BG40" s="34">
        <f>P40-S40</f>
        <v/>
      </c>
      <c r="BH40" s="34">
        <f>W40-AA40</f>
        <v/>
      </c>
      <c r="BI40" s="34">
        <f>BF40+BG40+BL40-BN40</f>
        <v/>
      </c>
      <c r="BJ40" s="34">
        <f>ABS(BK40)</f>
        <v/>
      </c>
      <c r="BK40" s="34">
        <f>AY40-(J40-L40+N40-Q40)</f>
        <v/>
      </c>
      <c r="BL40" s="34">
        <f>IF(AND(BK40&gt;0,MIN($F40:$G40)&lt;150,$E40="Enerji Açığı"),-100*BK40*1.03,IF(AND(BK40&gt;0,MIN($F40:$G40)&lt;150,$E40="Enerji Fazlası"),-100*BK40*1.06,IF(AND(BK40&gt;0,MIN($F40:$G40)&gt;=150,$E40="Enerji Açığı"),BK40*MIN($F40:$G40)*0.97,IF(AND(BK40&gt;0,MIN($F40:$G40)&gt;=150,$E40="Enerji Fazlası"),BK40*MIN($F40:$G40)*0.94,IF(AND(BK40&lt;0,MAX($F40:$G40)=4500,$E40="Enerji Açığı"),4500*1.05*1.06*BK40,IF(AND(BK40&lt;0,MAX($F40:$G40)=4500,$E40="Enerji Fazlası"),4500*1.05*1.03*BK40,IF(AND(BK40&lt;0,$E40="Enerji Açığı"),MAX($F40,$G40,150)*BK40*1.06,IF(AND(BK40&lt;0,$E40="Enerji Fazlası"),MAX($F40,$G40,150)*BK40*1.03,IF(AND(BK40&lt;0,$E40="Dengede"),MAX($F40:$G40,150)*1.03*BK40,MIN($F40:$G40)*0.97*BK40)))))))))</f>
        <v/>
      </c>
      <c r="BM40" s="34">
        <f>BE40-BI40-BN40</f>
        <v/>
      </c>
      <c r="BN40" s="34">
        <f>BB40</f>
        <v/>
      </c>
      <c r="BO40" s="34">
        <f>BE40-BI40</f>
        <v/>
      </c>
      <c r="BP40" s="34">
        <f>IF(AY40=0,0,BO40/AY40)</f>
        <v/>
      </c>
      <c r="BQ40" s="34">
        <f>MAX((AY40+MAX((-J40+L40-N40+Q40),0)),(MAX((J40-L40+N40-Q40),0)))</f>
        <v/>
      </c>
      <c r="BR40" s="82">
        <f>IFERROR(ABS(BK40/BQ40),0)</f>
        <v/>
      </c>
      <c r="BS40" s="34">
        <f>IF(BR40&lt;=0.1,0,BK40/BR40*(BR40-0.1))</f>
        <v/>
      </c>
      <c r="BT40" s="34">
        <f>IF((BS40)&lt;0,MAX(F40:G40)*(BS40)*1.03,MIN(F40:G40)*(BS40)*0.97)</f>
        <v/>
      </c>
      <c r="BU40" s="34">
        <f>IF(BR40&gt;0.1,1,0)</f>
        <v/>
      </c>
      <c r="BV40" s="34">
        <f>BF40+BG40+BH40+BY40-CA40</f>
        <v/>
      </c>
      <c r="BW40" s="34">
        <f>ABS(BX40)</f>
        <v/>
      </c>
      <c r="BX40" s="34">
        <f>AY40-(J40-L40+N40-Q40+T40-X40)</f>
        <v/>
      </c>
      <c r="BY40" s="34">
        <f>IF(AND(BX40&gt;0,MIN($F40:$G40)&lt;150,$E40="Enerji Açığı"),-100*BX40*1.03,IF(AND(BX40&gt;0,MIN($F40:$G40)&lt;150,$E40="Enerji Fazlası"),-100*BX40*1.06,IF(AND(BX40&gt;0,MIN($F40:$G40)&gt;=150,$E40="Enerji Açığı"),BX40*MIN($F40:$G40)*0.97,IF(AND(BX40&gt;0,MIN($F40:$G40)&gt;=150,$E40="Enerji Fazlası"),BX40*MIN($F40:$G40)*0.94,IF(AND(BX40&lt;0,MAX($F40:$G40)=4500,$E40="Enerji Açığı"),4500*1.05*1.06*BX40,IF(AND(BX40&lt;0,MAX($F40:$G40)=4500,$E40="Enerji Fazlası"),4500*1.05*1.03*BX40,IF(AND(BX40&lt;0,$E40="Enerji Açığı"),MAX($F40,$G40,150)*BX40*1.06,IF(AND(BX40&lt;0,$E40="Enerji Fazlası"),MAX($F40,$G40,150)*BX40*1.03,IF(AND(BX40&lt;0,$E40="Dengede"),MAX($F40:$G40,150)*1.03*BX40,MIN($F40:$G40)*0.97*BX40)))))))))</f>
        <v/>
      </c>
      <c r="BZ40" s="34">
        <f>BE40-BV40-CA40</f>
        <v/>
      </c>
      <c r="CA40" s="34">
        <f>BD40</f>
        <v/>
      </c>
      <c r="CB40" s="33">
        <f>BE40-BV40</f>
        <v/>
      </c>
      <c r="CC40" s="34">
        <f>IF(AY40=0,0,CB40/AY40)</f>
        <v/>
      </c>
      <c r="CD40" s="34">
        <f>MAX((AY40+MAX((-J40+L40-N40+Q40-T40+X40),0)),(MAX((J40-L40+N40-Q40+T40-X40),0)))</f>
        <v/>
      </c>
      <c r="CE40" s="82">
        <f>IFERROR(ABS(BX40/CD40),0)</f>
        <v/>
      </c>
      <c r="CF40" s="34">
        <f>IF(CE40&lt;=0.1,0,BX40/CE40*(CE40-0.1))</f>
        <v/>
      </c>
      <c r="CG40" s="34">
        <f>IF((CF40)&lt;0,MAX(F40:G40)*(CF40)*1.03,MIN(F40:G40)*(CF40)*0.97)</f>
        <v/>
      </c>
      <c r="CH40" s="34">
        <f>IF(CE40&gt;0.1,1,0)</f>
        <v/>
      </c>
      <c r="CI40" s="34">
        <f>(F40*BX40)-BY40</f>
        <v/>
      </c>
      <c r="CJ40" s="34">
        <f>IF(AY40=0,0,CI40/AY40)</f>
        <v/>
      </c>
    </row>
    <row r="41">
      <c r="A41" s="29" t="n">
        <v>46205.58333333334</v>
      </c>
      <c r="B41" s="29" t="inlineStr">
        <is>
          <t>14:00</t>
        </is>
      </c>
      <c r="C41" s="35">
        <f>INT(A41)</f>
        <v/>
      </c>
      <c r="D41" s="36">
        <f>MONTH(A41)</f>
        <v/>
      </c>
      <c r="E41" s="147" t="inlineStr">
        <is>
          <t>Enerji Açığı</t>
        </is>
      </c>
      <c r="F41" s="30" t="n">
        <v>2997.01</v>
      </c>
      <c r="G41" s="30" t="n">
        <v>3500</v>
      </c>
      <c r="H41" s="30" t="n">
        <v>64.34999999999999</v>
      </c>
      <c r="I41" s="30" t="n">
        <v>3524.87</v>
      </c>
      <c r="J41" s="119" t="n">
        <v>0</v>
      </c>
      <c r="K41" s="34">
        <f>F41*J41</f>
        <v/>
      </c>
      <c r="L41" s="119" t="n">
        <v>0</v>
      </c>
      <c r="M41" s="34">
        <f>L41*F41</f>
        <v/>
      </c>
      <c r="N41" s="119" t="n">
        <v>23.5</v>
      </c>
      <c r="O41" s="34">
        <f>F41</f>
        <v/>
      </c>
      <c r="P41" s="34">
        <f>N41*O41</f>
        <v/>
      </c>
      <c r="Q41" s="119" t="n">
        <v>0</v>
      </c>
      <c r="R41" s="34">
        <f>F41</f>
        <v/>
      </c>
      <c r="S41" s="34">
        <f>R41*Q41</f>
        <v/>
      </c>
      <c r="T41" s="34" t="n"/>
      <c r="U41" s="34">
        <f>IFERROR(W41/T41,0)</f>
        <v/>
      </c>
      <c r="V41" s="34">
        <f>IF(U41=0,0,U41-F41)</f>
        <v/>
      </c>
      <c r="W41" s="34" t="n"/>
      <c r="X41" s="34" t="n"/>
      <c r="Y41" s="34">
        <f>IFERROR(AA41/X41,0)</f>
        <v/>
      </c>
      <c r="Z41" s="34">
        <f>IF(Y41=0,0,F41-Y41)</f>
        <v/>
      </c>
      <c r="AA41" s="34" t="n"/>
      <c r="AB41" s="34" t="n">
        <v>0</v>
      </c>
      <c r="AC41" s="34" t="n">
        <v>0</v>
      </c>
      <c r="AD41" s="34">
        <f>IF(AB41&gt;AC41*1.05,AB41-AC41*1.05,IF(AB41&lt;AC41*0.95,AC41*0.95-AB41,0))</f>
        <v/>
      </c>
      <c r="AE41" s="34">
        <f>MAX(F41,G41,750)*0.05*AD41</f>
        <v/>
      </c>
      <c r="AF41" s="34" t="n">
        <v>0</v>
      </c>
      <c r="AG41" s="34">
        <f>IF(AB41&gt;AF41*1.05,AB41-AF41*1.05,IF(AB41&lt;AF41*0.95,AF41*0.95-AB41,0))</f>
        <v/>
      </c>
      <c r="AH41" s="34">
        <f>MAX(I41,J41,750)*0.05*AG41</f>
        <v/>
      </c>
      <c r="AI41" t="n">
        <v>10.21</v>
      </c>
      <c r="AJ41" t="n">
        <v>9</v>
      </c>
      <c r="AK41" s="34">
        <f>IF(AI41&gt;AJ41*1.05,AI41-AJ41*1.05,IF(AI41&lt;AJ41*0.95,AJ41*0.95-AI41,0))</f>
        <v/>
      </c>
      <c r="AL41" s="34">
        <f>MAX(F41,G41,750)*0.05*AK41</f>
        <v/>
      </c>
      <c r="AM41" s="39" t="n">
        <v>10</v>
      </c>
      <c r="AN41" s="34">
        <f>IF(AI41&gt;AM41*1.05,AI41-AM41*1.05,IF(AI41&lt;AM41*0.95,AM41*0.95-AI41,0))</f>
        <v/>
      </c>
      <c r="AO41" s="34">
        <f>MAX(F41,G41,750)*0.05*AN41</f>
        <v/>
      </c>
      <c r="AP41" s="34" t="n">
        <v>15.57</v>
      </c>
      <c r="AQ41" s="34" t="n">
        <v>14.5</v>
      </c>
      <c r="AR41" s="34">
        <f>IF(AP41&gt;AQ41*1.05,AP41-AQ41*1.05,IF(AP41&lt;AQ41*0.95,AQ41*0.95-AP41,0))</f>
        <v/>
      </c>
      <c r="AS41" s="34">
        <f>MAX(F41:G41,750)*0.05*AR41</f>
        <v/>
      </c>
      <c r="AT41" t="n">
        <v>15.5</v>
      </c>
      <c r="AU41" s="34">
        <f>IF(AP41&gt;AT41*1.05,AP41-AT41*1.05,IF(AP41&lt;AT41*0.95,AT41*0.95-AP41,0))</f>
        <v/>
      </c>
      <c r="AV41" s="34">
        <f>MAX(F41:G41,750)*0.05*AU41</f>
        <v/>
      </c>
      <c r="AW41" s="34">
        <f>AC41+AJ41+AQ41</f>
        <v/>
      </c>
      <c r="AX41" s="34">
        <f>AF41+AM41+AT41</f>
        <v/>
      </c>
      <c r="AY41" s="34">
        <f>AB41+AI41+AP41</f>
        <v/>
      </c>
      <c r="AZ41" s="34" t="n">
        <v>0</v>
      </c>
      <c r="BA41" s="34">
        <f>AD41+AK41+AR41</f>
        <v/>
      </c>
      <c r="BB41" s="34">
        <f>MAX(F41:G41,750)*0.05*BA41</f>
        <v/>
      </c>
      <c r="BC41" s="34">
        <f>AG41+AN41+AU41</f>
        <v/>
      </c>
      <c r="BD41" s="34">
        <f>MAX(F41:G41,750)*0.05*BC41</f>
        <v/>
      </c>
      <c r="BE41" s="34">
        <f>F41*AY41</f>
        <v/>
      </c>
      <c r="BF41" s="34">
        <f>K41-M41</f>
        <v/>
      </c>
      <c r="BG41" s="34">
        <f>P41-S41</f>
        <v/>
      </c>
      <c r="BH41" s="34">
        <f>W41-AA41</f>
        <v/>
      </c>
      <c r="BI41" s="34">
        <f>BF41+BG41+BL41-BN41</f>
        <v/>
      </c>
      <c r="BJ41" s="34">
        <f>ABS(BK41)</f>
        <v/>
      </c>
      <c r="BK41" s="34">
        <f>AY41-(J41-L41+N41-Q41)</f>
        <v/>
      </c>
      <c r="BL41" s="34">
        <f>IF(AND(BK41&gt;0,MIN($F41:$G41)&lt;150,$E41="Enerji Açığı"),-100*BK41*1.03,IF(AND(BK41&gt;0,MIN($F41:$G41)&lt;150,$E41="Enerji Fazlası"),-100*BK41*1.06,IF(AND(BK41&gt;0,MIN($F41:$G41)&gt;=150,$E41="Enerji Açığı"),BK41*MIN($F41:$G41)*0.97,IF(AND(BK41&gt;0,MIN($F41:$G41)&gt;=150,$E41="Enerji Fazlası"),BK41*MIN($F41:$G41)*0.94,IF(AND(BK41&lt;0,MAX($F41:$G41)=4500,$E41="Enerji Açığı"),4500*1.05*1.06*BK41,IF(AND(BK41&lt;0,MAX($F41:$G41)=4500,$E41="Enerji Fazlası"),4500*1.05*1.03*BK41,IF(AND(BK41&lt;0,$E41="Enerji Açığı"),MAX($F41,$G41,150)*BK41*1.06,IF(AND(BK41&lt;0,$E41="Enerji Fazlası"),MAX($F41,$G41,150)*BK41*1.03,IF(AND(BK41&lt;0,$E41="Dengede"),MAX($F41:$G41,150)*1.03*BK41,MIN($F41:$G41)*0.97*BK41)))))))))</f>
        <v/>
      </c>
      <c r="BM41" s="34">
        <f>BE41-BI41-BN41</f>
        <v/>
      </c>
      <c r="BN41" s="34">
        <f>BB41</f>
        <v/>
      </c>
      <c r="BO41" s="34">
        <f>BE41-BI41</f>
        <v/>
      </c>
      <c r="BP41" s="34">
        <f>IF(AY41=0,0,BO41/AY41)</f>
        <v/>
      </c>
      <c r="BQ41" s="34">
        <f>MAX((AY41+MAX((-J41+L41-N41+Q41),0)),(MAX((J41-L41+N41-Q41),0)))</f>
        <v/>
      </c>
      <c r="BR41" s="82">
        <f>IFERROR(ABS(BK41/BQ41),0)</f>
        <v/>
      </c>
      <c r="BS41" s="34">
        <f>IF(BR41&lt;=0.1,0,BK41/BR41*(BR41-0.1))</f>
        <v/>
      </c>
      <c r="BT41" s="34">
        <f>IF((BS41)&lt;0,MAX(F41:G41)*(BS41)*1.03,MIN(F41:G41)*(BS41)*0.97)</f>
        <v/>
      </c>
      <c r="BU41" s="34">
        <f>IF(BR41&gt;0.1,1,0)</f>
        <v/>
      </c>
      <c r="BV41" s="34">
        <f>BF41+BG41+BH41+BY41-CA41</f>
        <v/>
      </c>
      <c r="BW41" s="34">
        <f>ABS(BX41)</f>
        <v/>
      </c>
      <c r="BX41" s="34">
        <f>AY41-(J41-L41+N41-Q41+T41-X41)</f>
        <v/>
      </c>
      <c r="BY41" s="34">
        <f>IF(AND(BX41&gt;0,MIN($F41:$G41)&lt;150,$E41="Enerji Açığı"),-100*BX41*1.03,IF(AND(BX41&gt;0,MIN($F41:$G41)&lt;150,$E41="Enerji Fazlası"),-100*BX41*1.06,IF(AND(BX41&gt;0,MIN($F41:$G41)&gt;=150,$E41="Enerji Açığı"),BX41*MIN($F41:$G41)*0.97,IF(AND(BX41&gt;0,MIN($F41:$G41)&gt;=150,$E41="Enerji Fazlası"),BX41*MIN($F41:$G41)*0.94,IF(AND(BX41&lt;0,MAX($F41:$G41)=4500,$E41="Enerji Açığı"),4500*1.05*1.06*BX41,IF(AND(BX41&lt;0,MAX($F41:$G41)=4500,$E41="Enerji Fazlası"),4500*1.05*1.03*BX41,IF(AND(BX41&lt;0,$E41="Enerji Açığı"),MAX($F41,$G41,150)*BX41*1.06,IF(AND(BX41&lt;0,$E41="Enerji Fazlası"),MAX($F41,$G41,150)*BX41*1.03,IF(AND(BX41&lt;0,$E41="Dengede"),MAX($F41:$G41,150)*1.03*BX41,MIN($F41:$G41)*0.97*BX41)))))))))</f>
        <v/>
      </c>
      <c r="BZ41" s="34">
        <f>BE41-BV41-CA41</f>
        <v/>
      </c>
      <c r="CA41" s="34">
        <f>BD41</f>
        <v/>
      </c>
      <c r="CB41" s="33">
        <f>BE41-BV41</f>
        <v/>
      </c>
      <c r="CC41" s="34">
        <f>IF(AY41=0,0,CB41/AY41)</f>
        <v/>
      </c>
      <c r="CD41" s="34">
        <f>MAX((AY41+MAX((-J41+L41-N41+Q41-T41+X41),0)),(MAX((J41-L41+N41-Q41+T41-X41),0)))</f>
        <v/>
      </c>
      <c r="CE41" s="82">
        <f>IFERROR(ABS(BX41/CD41),0)</f>
        <v/>
      </c>
      <c r="CF41" s="34">
        <f>IF(CE41&lt;=0.1,0,BX41/CE41*(CE41-0.1))</f>
        <v/>
      </c>
      <c r="CG41" s="34">
        <f>IF((CF41)&lt;0,MAX(F41:G41)*(CF41)*1.03,MIN(F41:G41)*(CF41)*0.97)</f>
        <v/>
      </c>
      <c r="CH41" s="34">
        <f>IF(CE41&gt;0.1,1,0)</f>
        <v/>
      </c>
      <c r="CI41" s="34">
        <f>(F41*BX41)-BY41</f>
        <v/>
      </c>
      <c r="CJ41" s="34">
        <f>IF(AY41=0,0,CI41/AY41)</f>
        <v/>
      </c>
    </row>
    <row r="42">
      <c r="A42" s="29" t="n">
        <v>46205.625</v>
      </c>
      <c r="B42" s="29" t="inlineStr">
        <is>
          <t>15:00</t>
        </is>
      </c>
      <c r="C42" s="35">
        <f>INT(A42)</f>
        <v/>
      </c>
      <c r="D42" s="36">
        <f>MONTH(A42)</f>
        <v/>
      </c>
      <c r="E42" s="147" t="inlineStr">
        <is>
          <t>Enerji Açığı</t>
        </is>
      </c>
      <c r="F42" s="30" t="n">
        <v>2007</v>
      </c>
      <c r="G42" s="30" t="n">
        <v>3450</v>
      </c>
      <c r="H42" s="30" t="n">
        <v>43.09</v>
      </c>
      <c r="I42" s="30" t="n">
        <v>2394.29</v>
      </c>
      <c r="J42" s="119" t="n">
        <v>0</v>
      </c>
      <c r="K42" s="34">
        <f>F42*J42</f>
        <v/>
      </c>
      <c r="L42" s="119" t="n">
        <v>0</v>
      </c>
      <c r="M42" s="34">
        <f>L42*F42</f>
        <v/>
      </c>
      <c r="N42" s="119" t="n">
        <v>23.3</v>
      </c>
      <c r="O42" s="34">
        <f>F42</f>
        <v/>
      </c>
      <c r="P42" s="34">
        <f>N42*O42</f>
        <v/>
      </c>
      <c r="Q42" s="119" t="n">
        <v>0</v>
      </c>
      <c r="R42" s="34">
        <f>F42</f>
        <v/>
      </c>
      <c r="S42" s="34">
        <f>R42*Q42</f>
        <v/>
      </c>
      <c r="T42" s="34" t="n"/>
      <c r="U42" s="34">
        <f>IFERROR(W42/T42,0)</f>
        <v/>
      </c>
      <c r="V42" s="34">
        <f>IF(U42=0,0,U42-F42)</f>
        <v/>
      </c>
      <c r="W42" s="34" t="n"/>
      <c r="X42" s="34" t="n"/>
      <c r="Y42" s="34">
        <f>IFERROR(AA42/X42,0)</f>
        <v/>
      </c>
      <c r="Z42" s="34">
        <f>IF(Y42=0,0,F42-Y42)</f>
        <v/>
      </c>
      <c r="AA42" s="34" t="n"/>
      <c r="AB42" s="34" t="n">
        <v>0</v>
      </c>
      <c r="AC42" s="34" t="n">
        <v>0</v>
      </c>
      <c r="AD42" s="34">
        <f>IF(AB42&gt;AC42*1.05,AB42-AC42*1.05,IF(AB42&lt;AC42*0.95,AC42*0.95-AB42,0))</f>
        <v/>
      </c>
      <c r="AE42" s="34">
        <f>MAX(F42,G42,750)*0.05*AD42</f>
        <v/>
      </c>
      <c r="AF42" s="34" t="n">
        <v>0</v>
      </c>
      <c r="AG42" s="34">
        <f>IF(AB42&gt;AF42*1.05,AB42-AF42*1.05,IF(AB42&lt;AF42*0.95,AF42*0.95-AB42,0))</f>
        <v/>
      </c>
      <c r="AH42" s="34">
        <f>MAX(I42,J42,750)*0.05*AG42</f>
        <v/>
      </c>
      <c r="AI42" t="n">
        <v>9.4</v>
      </c>
      <c r="AJ42" t="n">
        <v>9</v>
      </c>
      <c r="AK42" s="34">
        <f>IF(AI42&gt;AJ42*1.05,AI42-AJ42*1.05,IF(AI42&lt;AJ42*0.95,AJ42*0.95-AI42,0))</f>
        <v/>
      </c>
      <c r="AL42" s="34">
        <f>MAX(F42,G42,750)*0.05*AK42</f>
        <v/>
      </c>
      <c r="AM42" s="39" t="n">
        <v>9</v>
      </c>
      <c r="AN42" s="34">
        <f>IF(AI42&gt;AM42*1.05,AI42-AM42*1.05,IF(AI42&lt;AM42*0.95,AM42*0.95-AI42,0))</f>
        <v/>
      </c>
      <c r="AO42" s="34">
        <f>MAX(F42,G42,750)*0.05*AN42</f>
        <v/>
      </c>
      <c r="AP42" s="34" t="n">
        <v>15.47</v>
      </c>
      <c r="AQ42" s="34" t="n">
        <v>14.3</v>
      </c>
      <c r="AR42" s="34">
        <f>IF(AP42&gt;AQ42*1.05,AP42-AQ42*1.05,IF(AP42&lt;AQ42*0.95,AQ42*0.95-AP42,0))</f>
        <v/>
      </c>
      <c r="AS42" s="34">
        <f>MAX(F42:G42,750)*0.05*AR42</f>
        <v/>
      </c>
      <c r="AT42" t="n">
        <v>15.5</v>
      </c>
      <c r="AU42" s="34">
        <f>IF(AP42&gt;AT42*1.05,AP42-AT42*1.05,IF(AP42&lt;AT42*0.95,AT42*0.95-AP42,0))</f>
        <v/>
      </c>
      <c r="AV42" s="34">
        <f>MAX(F42:G42,750)*0.05*AU42</f>
        <v/>
      </c>
      <c r="AW42" s="34">
        <f>AC42+AJ42+AQ42</f>
        <v/>
      </c>
      <c r="AX42" s="34">
        <f>AF42+AM42+AT42</f>
        <v/>
      </c>
      <c r="AY42" s="34">
        <f>AB42+AI42+AP42</f>
        <v/>
      </c>
      <c r="AZ42" s="34" t="n">
        <v>0</v>
      </c>
      <c r="BA42" s="34">
        <f>AD42+AK42+AR42</f>
        <v/>
      </c>
      <c r="BB42" s="34">
        <f>MAX(F42:G42,750)*0.05*BA42</f>
        <v/>
      </c>
      <c r="BC42" s="34">
        <f>AG42+AN42+AU42</f>
        <v/>
      </c>
      <c r="BD42" s="34">
        <f>MAX(F42:G42,750)*0.05*BC42</f>
        <v/>
      </c>
      <c r="BE42" s="34">
        <f>F42*AY42</f>
        <v/>
      </c>
      <c r="BF42" s="34">
        <f>K42-M42</f>
        <v/>
      </c>
      <c r="BG42" s="34">
        <f>P42-S42</f>
        <v/>
      </c>
      <c r="BH42" s="34">
        <f>W42-AA42</f>
        <v/>
      </c>
      <c r="BI42" s="34">
        <f>BF42+BG42+BL42-BN42</f>
        <v/>
      </c>
      <c r="BJ42" s="34">
        <f>ABS(BK42)</f>
        <v/>
      </c>
      <c r="BK42" s="34">
        <f>AY42-(J42-L42+N42-Q42)</f>
        <v/>
      </c>
      <c r="BL42" s="34">
        <f>IF(AND(BK42&gt;0,MIN($F42:$G42)&lt;150,$E42="Enerji Açığı"),-100*BK42*1.03,IF(AND(BK42&gt;0,MIN($F42:$G42)&lt;150,$E42="Enerji Fazlası"),-100*BK42*1.06,IF(AND(BK42&gt;0,MIN($F42:$G42)&gt;=150,$E42="Enerji Açığı"),BK42*MIN($F42:$G42)*0.97,IF(AND(BK42&gt;0,MIN($F42:$G42)&gt;=150,$E42="Enerji Fazlası"),BK42*MIN($F42:$G42)*0.94,IF(AND(BK42&lt;0,MAX($F42:$G42)=4500,$E42="Enerji Açığı"),4500*1.05*1.06*BK42,IF(AND(BK42&lt;0,MAX($F42:$G42)=4500,$E42="Enerji Fazlası"),4500*1.05*1.03*BK42,IF(AND(BK42&lt;0,$E42="Enerji Açığı"),MAX($F42,$G42,150)*BK42*1.06,IF(AND(BK42&lt;0,$E42="Enerji Fazlası"),MAX($F42,$G42,150)*BK42*1.03,IF(AND(BK42&lt;0,$E42="Dengede"),MAX($F42:$G42,150)*1.03*BK42,MIN($F42:$G42)*0.97*BK42)))))))))</f>
        <v/>
      </c>
      <c r="BM42" s="34">
        <f>BE42-BI42-BN42</f>
        <v/>
      </c>
      <c r="BN42" s="34">
        <f>BB42</f>
        <v/>
      </c>
      <c r="BO42" s="34">
        <f>BE42-BI42</f>
        <v/>
      </c>
      <c r="BP42" s="34">
        <f>IF(AY42=0,0,BO42/AY42)</f>
        <v/>
      </c>
      <c r="BQ42" s="34">
        <f>MAX((AY42+MAX((-J42+L42-N42+Q42),0)),(MAX((J42-L42+N42-Q42),0)))</f>
        <v/>
      </c>
      <c r="BR42" s="82">
        <f>IFERROR(ABS(BK42/BQ42),0)</f>
        <v/>
      </c>
      <c r="BS42" s="34">
        <f>IF(BR42&lt;=0.1,0,BK42/BR42*(BR42-0.1))</f>
        <v/>
      </c>
      <c r="BT42" s="34">
        <f>IF((BS42)&lt;0,MAX(F42:G42)*(BS42)*1.03,MIN(F42:G42)*(BS42)*0.97)</f>
        <v/>
      </c>
      <c r="BU42" s="34">
        <f>IF(BR42&gt;0.1,1,0)</f>
        <v/>
      </c>
      <c r="BV42" s="34">
        <f>BF42+BG42+BH42+BY42-CA42</f>
        <v/>
      </c>
      <c r="BW42" s="34">
        <f>ABS(BX42)</f>
        <v/>
      </c>
      <c r="BX42" s="34">
        <f>AY42-(J42-L42+N42-Q42+T42-X42)</f>
        <v/>
      </c>
      <c r="BY42" s="34">
        <f>IF(AND(BX42&gt;0,MIN($F42:$G42)&lt;150,$E42="Enerji Açığı"),-100*BX42*1.03,IF(AND(BX42&gt;0,MIN($F42:$G42)&lt;150,$E42="Enerji Fazlası"),-100*BX42*1.06,IF(AND(BX42&gt;0,MIN($F42:$G42)&gt;=150,$E42="Enerji Açığı"),BX42*MIN($F42:$G42)*0.97,IF(AND(BX42&gt;0,MIN($F42:$G42)&gt;=150,$E42="Enerji Fazlası"),BX42*MIN($F42:$G42)*0.94,IF(AND(BX42&lt;0,MAX($F42:$G42)=4500,$E42="Enerji Açığı"),4500*1.05*1.06*BX42,IF(AND(BX42&lt;0,MAX($F42:$G42)=4500,$E42="Enerji Fazlası"),4500*1.05*1.03*BX42,IF(AND(BX42&lt;0,$E42="Enerji Açığı"),MAX($F42,$G42,150)*BX42*1.06,IF(AND(BX42&lt;0,$E42="Enerji Fazlası"),MAX($F42,$G42,150)*BX42*1.03,IF(AND(BX42&lt;0,$E42="Dengede"),MAX($F42:$G42,150)*1.03*BX42,MIN($F42:$G42)*0.97*BX42)))))))))</f>
        <v/>
      </c>
      <c r="BZ42" s="34">
        <f>BE42-BV42-CA42</f>
        <v/>
      </c>
      <c r="CA42" s="34">
        <f>BD42</f>
        <v/>
      </c>
      <c r="CB42" s="33">
        <f>BE42-BV42</f>
        <v/>
      </c>
      <c r="CC42" s="34">
        <f>IF(AY42=0,0,CB42/AY42)</f>
        <v/>
      </c>
      <c r="CD42" s="34">
        <f>MAX((AY42+MAX((-J42+L42-N42+Q42-T42+X42),0)),(MAX((J42-L42+N42-Q42+T42-X42),0)))</f>
        <v/>
      </c>
      <c r="CE42" s="82">
        <f>IFERROR(ABS(BX42/CD42),0)</f>
        <v/>
      </c>
      <c r="CF42" s="34">
        <f>IF(CE42&lt;=0.1,0,BX42/CE42*(CE42-0.1))</f>
        <v/>
      </c>
      <c r="CG42" s="34">
        <f>IF((CF42)&lt;0,MAX(F42:G42)*(CF42)*1.03,MIN(F42:G42)*(CF42)*0.97)</f>
        <v/>
      </c>
      <c r="CH42" s="34">
        <f>IF(CE42&gt;0.1,1,0)</f>
        <v/>
      </c>
      <c r="CI42" s="34">
        <f>(F42*BX42)-BY42</f>
        <v/>
      </c>
      <c r="CJ42" s="34">
        <f>IF(AY42=0,0,CI42/AY42)</f>
        <v/>
      </c>
    </row>
    <row r="43">
      <c r="A43" s="29" t="n">
        <v>46205.66666666666</v>
      </c>
      <c r="B43" s="29" t="inlineStr">
        <is>
          <t>16:00</t>
        </is>
      </c>
      <c r="C43" s="35">
        <f>INT(A43)</f>
        <v/>
      </c>
      <c r="D43" s="36">
        <f>MONTH(A43)</f>
        <v/>
      </c>
      <c r="E43" s="147" t="inlineStr">
        <is>
          <t>Enerji Açığı</t>
        </is>
      </c>
      <c r="F43" s="30" t="n">
        <v>2537.99</v>
      </c>
      <c r="G43" s="30" t="n">
        <v>3600</v>
      </c>
      <c r="H43" s="30" t="n">
        <v>54.49</v>
      </c>
      <c r="I43" s="30" t="n">
        <v>2900.52</v>
      </c>
      <c r="J43" s="119" t="n">
        <v>0</v>
      </c>
      <c r="K43" s="34">
        <f>F43*J43</f>
        <v/>
      </c>
      <c r="L43" s="119" t="n">
        <v>0</v>
      </c>
      <c r="M43" s="34">
        <f>L43*F43</f>
        <v/>
      </c>
      <c r="N43" s="119" t="n">
        <v>23</v>
      </c>
      <c r="O43" s="34">
        <f>F43</f>
        <v/>
      </c>
      <c r="P43" s="34">
        <f>N43*O43</f>
        <v/>
      </c>
      <c r="Q43" s="119" t="n">
        <v>0</v>
      </c>
      <c r="R43" s="34">
        <f>F43</f>
        <v/>
      </c>
      <c r="S43" s="34">
        <f>R43*Q43</f>
        <v/>
      </c>
      <c r="T43" s="34" t="n"/>
      <c r="U43" s="34">
        <f>IFERROR(W43/T43,0)</f>
        <v/>
      </c>
      <c r="V43" s="34">
        <f>IF(U43=0,0,U43-F43)</f>
        <v/>
      </c>
      <c r="W43" s="34" t="n"/>
      <c r="X43" s="34" t="n"/>
      <c r="Y43" s="34">
        <f>IFERROR(AA43/X43,0)</f>
        <v/>
      </c>
      <c r="Z43" s="34">
        <f>IF(Y43=0,0,F43-Y43)</f>
        <v/>
      </c>
      <c r="AA43" s="34" t="n"/>
      <c r="AB43" s="34" t="n">
        <v>0</v>
      </c>
      <c r="AC43" s="34" t="n">
        <v>0</v>
      </c>
      <c r="AD43" s="34">
        <f>IF(AB43&gt;AC43*1.05,AB43-AC43*1.05,IF(AB43&lt;AC43*0.95,AC43*0.95-AB43,0))</f>
        <v/>
      </c>
      <c r="AE43" s="34">
        <f>MAX(F43,G43,750)*0.05*AD43</f>
        <v/>
      </c>
      <c r="AF43" s="34" t="n">
        <v>0</v>
      </c>
      <c r="AG43" s="34">
        <f>IF(AB43&gt;AF43*1.05,AB43-AF43*1.05,IF(AB43&lt;AF43*0.95,AF43*0.95-AB43,0))</f>
        <v/>
      </c>
      <c r="AH43" s="34">
        <f>MAX(I43,J43,750)*0.05*AG43</f>
        <v/>
      </c>
      <c r="AI43" t="n">
        <v>10.41</v>
      </c>
      <c r="AJ43" t="n">
        <v>9</v>
      </c>
      <c r="AK43" s="34">
        <f>IF(AI43&gt;AJ43*1.05,AI43-AJ43*1.05,IF(AI43&lt;AJ43*0.95,AJ43*0.95-AI43,0))</f>
        <v/>
      </c>
      <c r="AL43" s="34">
        <f>MAX(F43,G43,750)*0.05*AK43</f>
        <v/>
      </c>
      <c r="AM43" s="39" t="n">
        <v>10</v>
      </c>
      <c r="AN43" s="34">
        <f>IF(AI43&gt;AM43*1.05,AI43-AM43*1.05,IF(AI43&lt;AM43*0.95,AM43*0.95-AI43,0))</f>
        <v/>
      </c>
      <c r="AO43" s="34">
        <f>MAX(F43,G43,750)*0.05*AN43</f>
        <v/>
      </c>
      <c r="AP43" s="34" t="n">
        <v>13.96</v>
      </c>
      <c r="AQ43" s="34" t="n">
        <v>14</v>
      </c>
      <c r="AR43" s="34">
        <f>IF(AP43&gt;AQ43*1.05,AP43-AQ43*1.05,IF(AP43&lt;AQ43*0.95,AQ43*0.95-AP43,0))</f>
        <v/>
      </c>
      <c r="AS43" s="34">
        <f>MAX(F43:G43,750)*0.05*AR43</f>
        <v/>
      </c>
      <c r="AT43" t="n">
        <v>14</v>
      </c>
      <c r="AU43" s="34">
        <f>IF(AP43&gt;AT43*1.05,AP43-AT43*1.05,IF(AP43&lt;AT43*0.95,AT43*0.95-AP43,0))</f>
        <v/>
      </c>
      <c r="AV43" s="34">
        <f>MAX(F43:G43,750)*0.05*AU43</f>
        <v/>
      </c>
      <c r="AW43" s="34">
        <f>AC43+AJ43+AQ43</f>
        <v/>
      </c>
      <c r="AX43" s="34">
        <f>AF43+AM43+AT43</f>
        <v/>
      </c>
      <c r="AY43" s="34">
        <f>AB43+AI43+AP43</f>
        <v/>
      </c>
      <c r="AZ43" s="34" t="n">
        <v>0</v>
      </c>
      <c r="BA43" s="34">
        <f>AD43+AK43+AR43</f>
        <v/>
      </c>
      <c r="BB43" s="34">
        <f>MAX(F43:G43,750)*0.05*BA43</f>
        <v/>
      </c>
      <c r="BC43" s="34">
        <f>AG43+AN43+AU43</f>
        <v/>
      </c>
      <c r="BD43" s="34">
        <f>MAX(F43:G43,750)*0.05*BC43</f>
        <v/>
      </c>
      <c r="BE43" s="34">
        <f>F43*AY43</f>
        <v/>
      </c>
      <c r="BF43" s="34">
        <f>K43-M43</f>
        <v/>
      </c>
      <c r="BG43" s="34">
        <f>P43-S43</f>
        <v/>
      </c>
      <c r="BH43" s="34">
        <f>W43-AA43</f>
        <v/>
      </c>
      <c r="BI43" s="34">
        <f>BF43+BG43+BL43-BN43</f>
        <v/>
      </c>
      <c r="BJ43" s="34">
        <f>ABS(BK43)</f>
        <v/>
      </c>
      <c r="BK43" s="34">
        <f>AY43-(J43-L43+N43-Q43)</f>
        <v/>
      </c>
      <c r="BL43" s="34">
        <f>IF(AND(BK43&gt;0,MIN($F43:$G43)&lt;150,$E43="Enerji Açığı"),-100*BK43*1.03,IF(AND(BK43&gt;0,MIN($F43:$G43)&lt;150,$E43="Enerji Fazlası"),-100*BK43*1.06,IF(AND(BK43&gt;0,MIN($F43:$G43)&gt;=150,$E43="Enerji Açığı"),BK43*MIN($F43:$G43)*0.97,IF(AND(BK43&gt;0,MIN($F43:$G43)&gt;=150,$E43="Enerji Fazlası"),BK43*MIN($F43:$G43)*0.94,IF(AND(BK43&lt;0,MAX($F43:$G43)=4500,$E43="Enerji Açığı"),4500*1.05*1.06*BK43,IF(AND(BK43&lt;0,MAX($F43:$G43)=4500,$E43="Enerji Fazlası"),4500*1.05*1.03*BK43,IF(AND(BK43&lt;0,$E43="Enerji Açığı"),MAX($F43,$G43,150)*BK43*1.06,IF(AND(BK43&lt;0,$E43="Enerji Fazlası"),MAX($F43,$G43,150)*BK43*1.03,IF(AND(BK43&lt;0,$E43="Dengede"),MAX($F43:$G43,150)*1.03*BK43,MIN($F43:$G43)*0.97*BK43)))))))))</f>
        <v/>
      </c>
      <c r="BM43" s="34">
        <f>BE43-BI43-BN43</f>
        <v/>
      </c>
      <c r="BN43" s="34">
        <f>BB43</f>
        <v/>
      </c>
      <c r="BO43" s="34">
        <f>BE43-BI43</f>
        <v/>
      </c>
      <c r="BP43" s="34">
        <f>IF(AY43=0,0,BO43/AY43)</f>
        <v/>
      </c>
      <c r="BQ43" s="34">
        <f>MAX((AY43+MAX((-J43+L43-N43+Q43),0)),(MAX((J43-L43+N43-Q43),0)))</f>
        <v/>
      </c>
      <c r="BR43" s="82">
        <f>IFERROR(ABS(BK43/BQ43),0)</f>
        <v/>
      </c>
      <c r="BS43" s="34">
        <f>IF(BR43&lt;=0.1,0,BK43/BR43*(BR43-0.1))</f>
        <v/>
      </c>
      <c r="BT43" s="34">
        <f>IF((BS43)&lt;0,MAX(F43:G43)*(BS43)*1.03,MIN(F43:G43)*(BS43)*0.97)</f>
        <v/>
      </c>
      <c r="BU43" s="34">
        <f>IF(BR43&gt;0.1,1,0)</f>
        <v/>
      </c>
      <c r="BV43" s="34">
        <f>BF43+BG43+BH43+BY43-CA43</f>
        <v/>
      </c>
      <c r="BW43" s="34">
        <f>ABS(BX43)</f>
        <v/>
      </c>
      <c r="BX43" s="34">
        <f>AY43-(J43-L43+N43-Q43+T43-X43)</f>
        <v/>
      </c>
      <c r="BY43" s="34">
        <f>IF(AND(BX43&gt;0,MIN($F43:$G43)&lt;150,$E43="Enerji Açığı"),-100*BX43*1.03,IF(AND(BX43&gt;0,MIN($F43:$G43)&lt;150,$E43="Enerji Fazlası"),-100*BX43*1.06,IF(AND(BX43&gt;0,MIN($F43:$G43)&gt;=150,$E43="Enerji Açığı"),BX43*MIN($F43:$G43)*0.97,IF(AND(BX43&gt;0,MIN($F43:$G43)&gt;=150,$E43="Enerji Fazlası"),BX43*MIN($F43:$G43)*0.94,IF(AND(BX43&lt;0,MAX($F43:$G43)=4500,$E43="Enerji Açığı"),4500*1.05*1.06*BX43,IF(AND(BX43&lt;0,MAX($F43:$G43)=4500,$E43="Enerji Fazlası"),4500*1.05*1.03*BX43,IF(AND(BX43&lt;0,$E43="Enerji Açığı"),MAX($F43,$G43,150)*BX43*1.06,IF(AND(BX43&lt;0,$E43="Enerji Fazlası"),MAX($F43,$G43,150)*BX43*1.03,IF(AND(BX43&lt;0,$E43="Dengede"),MAX($F43:$G43,150)*1.03*BX43,MIN($F43:$G43)*0.97*BX43)))))))))</f>
        <v/>
      </c>
      <c r="BZ43" s="34">
        <f>BE43-BV43-CA43</f>
        <v/>
      </c>
      <c r="CA43" s="34">
        <f>BD43</f>
        <v/>
      </c>
      <c r="CB43" s="33">
        <f>BE43-BV43</f>
        <v/>
      </c>
      <c r="CC43" s="34">
        <f>IF(AY43=0,0,CB43/AY43)</f>
        <v/>
      </c>
      <c r="CD43" s="34">
        <f>MAX((AY43+MAX((-J43+L43-N43+Q43-T43+X43),0)),(MAX((J43-L43+N43-Q43+T43-X43),0)))</f>
        <v/>
      </c>
      <c r="CE43" s="82">
        <f>IFERROR(ABS(BX43/CD43),0)</f>
        <v/>
      </c>
      <c r="CF43" s="34">
        <f>IF(CE43&lt;=0.1,0,BX43/CE43*(CE43-0.1))</f>
        <v/>
      </c>
      <c r="CG43" s="34">
        <f>IF((CF43)&lt;0,MAX(F43:G43)*(CF43)*1.03,MIN(F43:G43)*(CF43)*0.97)</f>
        <v/>
      </c>
      <c r="CH43" s="34">
        <f>IF(CE43&gt;0.1,1,0)</f>
        <v/>
      </c>
      <c r="CI43" s="34">
        <f>(F43*BX43)-BY43</f>
        <v/>
      </c>
      <c r="CJ43" s="34">
        <f>IF(AY43=0,0,CI43/AY43)</f>
        <v/>
      </c>
    </row>
    <row r="44">
      <c r="A44" s="29" t="n">
        <v>46205.70833333334</v>
      </c>
      <c r="B44" s="29" t="inlineStr">
        <is>
          <t>17:00</t>
        </is>
      </c>
      <c r="C44" s="35">
        <f>INT(A44)</f>
        <v/>
      </c>
      <c r="D44" s="36">
        <f>MONTH(A44)</f>
        <v/>
      </c>
      <c r="E44" s="147" t="inlineStr">
        <is>
          <t>Enerji Açığı</t>
        </is>
      </c>
      <c r="F44" s="30" t="n">
        <v>3803.12</v>
      </c>
      <c r="G44" s="30" t="n">
        <v>4180</v>
      </c>
      <c r="H44" s="30" t="n">
        <v>81.66</v>
      </c>
      <c r="I44" s="30" t="n">
        <v>3813.26</v>
      </c>
      <c r="J44" s="119" t="n">
        <v>0</v>
      </c>
      <c r="K44" s="34">
        <f>F44*J44</f>
        <v/>
      </c>
      <c r="L44" s="119" t="n">
        <v>0</v>
      </c>
      <c r="M44" s="34">
        <f>L44*F44</f>
        <v/>
      </c>
      <c r="N44" s="119" t="n">
        <v>20.5</v>
      </c>
      <c r="O44" s="34">
        <f>F44</f>
        <v/>
      </c>
      <c r="P44" s="34">
        <f>N44*O44</f>
        <v/>
      </c>
      <c r="Q44" s="119" t="n">
        <v>0</v>
      </c>
      <c r="R44" s="34">
        <f>F44</f>
        <v/>
      </c>
      <c r="S44" s="34">
        <f>R44*Q44</f>
        <v/>
      </c>
      <c r="T44" s="34" t="n"/>
      <c r="U44" s="34">
        <f>IFERROR(W44/T44,0)</f>
        <v/>
      </c>
      <c r="V44" s="34">
        <f>IF(U44=0,0,U44-F44)</f>
        <v/>
      </c>
      <c r="W44" s="34" t="n"/>
      <c r="X44" s="34" t="n"/>
      <c r="Y44" s="34">
        <f>IFERROR(AA44/X44,0)</f>
        <v/>
      </c>
      <c r="Z44" s="34">
        <f>IF(Y44=0,0,F44-Y44)</f>
        <v/>
      </c>
      <c r="AA44" s="34" t="n"/>
      <c r="AB44" s="34" t="n">
        <v>0</v>
      </c>
      <c r="AC44" s="34" t="n">
        <v>0</v>
      </c>
      <c r="AD44" s="34">
        <f>IF(AB44&gt;AC44*1.05,AB44-AC44*1.05,IF(AB44&lt;AC44*0.95,AC44*0.95-AB44,0))</f>
        <v/>
      </c>
      <c r="AE44" s="34">
        <f>MAX(F44,G44,750)*0.05*AD44</f>
        <v/>
      </c>
      <c r="AF44" s="34" t="n">
        <v>0</v>
      </c>
      <c r="AG44" s="34">
        <f>IF(AB44&gt;AF44*1.05,AB44-AF44*1.05,IF(AB44&lt;AF44*0.95,AF44*0.95-AB44,0))</f>
        <v/>
      </c>
      <c r="AH44" s="34">
        <f>MAX(I44,J44,750)*0.05*AG44</f>
        <v/>
      </c>
      <c r="AI44" t="n">
        <v>11.13</v>
      </c>
      <c r="AJ44" t="n">
        <v>8</v>
      </c>
      <c r="AK44" s="34">
        <f>IF(AI44&gt;AJ44*1.05,AI44-AJ44*1.05,IF(AI44&lt;AJ44*0.95,AJ44*0.95-AI44,0))</f>
        <v/>
      </c>
      <c r="AL44" s="34">
        <f>MAX(F44,G44,750)*0.05*AK44</f>
        <v/>
      </c>
      <c r="AM44" s="39" t="n">
        <v>10</v>
      </c>
      <c r="AN44" s="34">
        <f>IF(AI44&gt;AM44*1.05,AI44-AM44*1.05,IF(AI44&lt;AM44*0.95,AM44*0.95-AI44,0))</f>
        <v/>
      </c>
      <c r="AO44" s="34">
        <f>MAX(F44,G44,750)*0.05*AN44</f>
        <v/>
      </c>
      <c r="AP44" s="34" t="n">
        <v>13.04</v>
      </c>
      <c r="AQ44" s="34" t="n">
        <v>12.5</v>
      </c>
      <c r="AR44" s="34">
        <f>IF(AP44&gt;AQ44*1.05,AP44-AQ44*1.05,IF(AP44&lt;AQ44*0.95,AQ44*0.95-AP44,0))</f>
        <v/>
      </c>
      <c r="AS44" s="34">
        <f>MAX(F44:G44,750)*0.05*AR44</f>
        <v/>
      </c>
      <c r="AT44" t="n">
        <v>14</v>
      </c>
      <c r="AU44" s="34">
        <f>IF(AP44&gt;AT44*1.05,AP44-AT44*1.05,IF(AP44&lt;AT44*0.95,AT44*0.95-AP44,0))</f>
        <v/>
      </c>
      <c r="AV44" s="34">
        <f>MAX(F44:G44,750)*0.05*AU44</f>
        <v/>
      </c>
      <c r="AW44" s="34">
        <f>AC44+AJ44+AQ44</f>
        <v/>
      </c>
      <c r="AX44" s="34">
        <f>AF44+AM44+AT44</f>
        <v/>
      </c>
      <c r="AY44" s="34">
        <f>AB44+AI44+AP44</f>
        <v/>
      </c>
      <c r="AZ44" s="34" t="n">
        <v>0</v>
      </c>
      <c r="BA44" s="34">
        <f>AD44+AK44+AR44</f>
        <v/>
      </c>
      <c r="BB44" s="34">
        <f>MAX(F44:G44,750)*0.05*BA44</f>
        <v/>
      </c>
      <c r="BC44" s="34">
        <f>AG44+AN44+AU44</f>
        <v/>
      </c>
      <c r="BD44" s="34">
        <f>MAX(F44:G44,750)*0.05*BC44</f>
        <v/>
      </c>
      <c r="BE44" s="34">
        <f>F44*AY44</f>
        <v/>
      </c>
      <c r="BF44" s="34">
        <f>K44-M44</f>
        <v/>
      </c>
      <c r="BG44" s="34">
        <f>P44-S44</f>
        <v/>
      </c>
      <c r="BH44" s="34">
        <f>W44-AA44</f>
        <v/>
      </c>
      <c r="BI44" s="34">
        <f>BF44+BG44+BL44-BN44</f>
        <v/>
      </c>
      <c r="BJ44" s="34">
        <f>ABS(BK44)</f>
        <v/>
      </c>
      <c r="BK44" s="34">
        <f>AY44-(J44-L44+N44-Q44)</f>
        <v/>
      </c>
      <c r="BL44" s="34">
        <f>IF(AND(BK44&gt;0,MIN($F44:$G44)&lt;150,$E44="Enerji Açığı"),-100*BK44*1.03,IF(AND(BK44&gt;0,MIN($F44:$G44)&lt;150,$E44="Enerji Fazlası"),-100*BK44*1.06,IF(AND(BK44&gt;0,MIN($F44:$G44)&gt;=150,$E44="Enerji Açığı"),BK44*MIN($F44:$G44)*0.97,IF(AND(BK44&gt;0,MIN($F44:$G44)&gt;=150,$E44="Enerji Fazlası"),BK44*MIN($F44:$G44)*0.94,IF(AND(BK44&lt;0,MAX($F44:$G44)=4500,$E44="Enerji Açığı"),4500*1.05*1.06*BK44,IF(AND(BK44&lt;0,MAX($F44:$G44)=4500,$E44="Enerji Fazlası"),4500*1.05*1.03*BK44,IF(AND(BK44&lt;0,$E44="Enerji Açığı"),MAX($F44,$G44,150)*BK44*1.06,IF(AND(BK44&lt;0,$E44="Enerji Fazlası"),MAX($F44,$G44,150)*BK44*1.03,IF(AND(BK44&lt;0,$E44="Dengede"),MAX($F44:$G44,150)*1.03*BK44,MIN($F44:$G44)*0.97*BK44)))))))))</f>
        <v/>
      </c>
      <c r="BM44" s="34">
        <f>BE44-BI44-BN44</f>
        <v/>
      </c>
      <c r="BN44" s="34">
        <f>BB44</f>
        <v/>
      </c>
      <c r="BO44" s="34">
        <f>BE44-BI44</f>
        <v/>
      </c>
      <c r="BP44" s="34">
        <f>IF(AY44=0,0,BO44/AY44)</f>
        <v/>
      </c>
      <c r="BQ44" s="34">
        <f>MAX((AY44+MAX((-J44+L44-N44+Q44),0)),(MAX((J44-L44+N44-Q44),0)))</f>
        <v/>
      </c>
      <c r="BR44" s="82">
        <f>IFERROR(ABS(BK44/BQ44),0)</f>
        <v/>
      </c>
      <c r="BS44" s="34">
        <f>IF(BR44&lt;=0.1,0,BK44/BR44*(BR44-0.1))</f>
        <v/>
      </c>
      <c r="BT44" s="34">
        <f>IF((BS44)&lt;0,MAX(F44:G44)*(BS44)*1.03,MIN(F44:G44)*(BS44)*0.97)</f>
        <v/>
      </c>
      <c r="BU44" s="34">
        <f>IF(BR44&gt;0.1,1,0)</f>
        <v/>
      </c>
      <c r="BV44" s="34">
        <f>BF44+BG44+BH44+BY44-CA44</f>
        <v/>
      </c>
      <c r="BW44" s="34">
        <f>ABS(BX44)</f>
        <v/>
      </c>
      <c r="BX44" s="34">
        <f>AY44-(J44-L44+N44-Q44+T44-X44)</f>
        <v/>
      </c>
      <c r="BY44" s="34">
        <f>IF(AND(BX44&gt;0,MIN($F44:$G44)&lt;150,$E44="Enerji Açığı"),-100*BX44*1.03,IF(AND(BX44&gt;0,MIN($F44:$G44)&lt;150,$E44="Enerji Fazlası"),-100*BX44*1.06,IF(AND(BX44&gt;0,MIN($F44:$G44)&gt;=150,$E44="Enerji Açığı"),BX44*MIN($F44:$G44)*0.97,IF(AND(BX44&gt;0,MIN($F44:$G44)&gt;=150,$E44="Enerji Fazlası"),BX44*MIN($F44:$G44)*0.94,IF(AND(BX44&lt;0,MAX($F44:$G44)=4500,$E44="Enerji Açığı"),4500*1.05*1.06*BX44,IF(AND(BX44&lt;0,MAX($F44:$G44)=4500,$E44="Enerji Fazlası"),4500*1.05*1.03*BX44,IF(AND(BX44&lt;0,$E44="Enerji Açığı"),MAX($F44,$G44,150)*BX44*1.06,IF(AND(BX44&lt;0,$E44="Enerji Fazlası"),MAX($F44,$G44,150)*BX44*1.03,IF(AND(BX44&lt;0,$E44="Dengede"),MAX($F44:$G44,150)*1.03*BX44,MIN($F44:$G44)*0.97*BX44)))))))))</f>
        <v/>
      </c>
      <c r="BZ44" s="34">
        <f>BE44-BV44-CA44</f>
        <v/>
      </c>
      <c r="CA44" s="34">
        <f>BD44</f>
        <v/>
      </c>
      <c r="CB44" s="33">
        <f>BE44-BV44</f>
        <v/>
      </c>
      <c r="CC44" s="34">
        <f>IF(AY44=0,0,CB44/AY44)</f>
        <v/>
      </c>
      <c r="CD44" s="34">
        <f>MAX((AY44+MAX((-J44+L44-N44+Q44-T44+X44),0)),(MAX((J44-L44+N44-Q44+T44-X44),0)))</f>
        <v/>
      </c>
      <c r="CE44" s="82">
        <f>IFERROR(ABS(BX44/CD44),0)</f>
        <v/>
      </c>
      <c r="CF44" s="34">
        <f>IF(CE44&lt;=0.1,0,BX44/CE44*(CE44-0.1))</f>
        <v/>
      </c>
      <c r="CG44" s="34">
        <f>IF((CF44)&lt;0,MAX(F44:G44)*(CF44)*1.03,MIN(F44:G44)*(CF44)*0.97)</f>
        <v/>
      </c>
      <c r="CH44" s="34">
        <f>IF(CE44&gt;0.1,1,0)</f>
        <v/>
      </c>
      <c r="CI44" s="34">
        <f>(F44*BX44)-BY44</f>
        <v/>
      </c>
      <c r="CJ44" s="34">
        <f>IF(AY44=0,0,CI44/AY44)</f>
        <v/>
      </c>
    </row>
    <row r="45">
      <c r="A45" s="29" t="n">
        <v>46205.75</v>
      </c>
      <c r="B45" s="29" t="inlineStr">
        <is>
          <t>18:00</t>
        </is>
      </c>
      <c r="C45" s="35">
        <f>INT(A45)</f>
        <v/>
      </c>
      <c r="D45" s="36">
        <f>MONTH(A45)</f>
        <v/>
      </c>
      <c r="E45" s="147" t="inlineStr">
        <is>
          <t>Enerji Açığı</t>
        </is>
      </c>
      <c r="F45" s="30" t="n">
        <v>2925</v>
      </c>
      <c r="G45" s="30" t="n">
        <v>4180</v>
      </c>
      <c r="H45" s="30" t="n">
        <v>62.8</v>
      </c>
      <c r="I45" s="30" t="n">
        <v>3347.78</v>
      </c>
      <c r="J45" s="119" t="n">
        <v>0</v>
      </c>
      <c r="K45" s="34">
        <f>F45*J45</f>
        <v/>
      </c>
      <c r="L45" s="119" t="n">
        <v>0</v>
      </c>
      <c r="M45" s="34">
        <f>L45*F45</f>
        <v/>
      </c>
      <c r="N45" s="119" t="n">
        <v>20.3</v>
      </c>
      <c r="O45" s="34">
        <f>F45</f>
        <v/>
      </c>
      <c r="P45" s="34">
        <f>N45*O45</f>
        <v/>
      </c>
      <c r="Q45" s="119" t="n">
        <v>0</v>
      </c>
      <c r="R45" s="34">
        <f>F45</f>
        <v/>
      </c>
      <c r="S45" s="34">
        <f>R45*Q45</f>
        <v/>
      </c>
      <c r="T45" s="34" t="n"/>
      <c r="U45" s="34">
        <f>IFERROR(W45/T45,0)</f>
        <v/>
      </c>
      <c r="V45" s="34">
        <f>IF(U45=0,0,U45-F45)</f>
        <v/>
      </c>
      <c r="W45" s="34" t="n"/>
      <c r="X45" s="34" t="n"/>
      <c r="Y45" s="34">
        <f>IFERROR(AA45/X45,0)</f>
        <v/>
      </c>
      <c r="Z45" s="34">
        <f>IF(Y45=0,0,F45-Y45)</f>
        <v/>
      </c>
      <c r="AA45" s="34" t="n"/>
      <c r="AB45" s="34" t="n">
        <v>0</v>
      </c>
      <c r="AC45" s="34" t="n">
        <v>0</v>
      </c>
      <c r="AD45" s="34">
        <f>IF(AB45&gt;AC45*1.05,AB45-AC45*1.05,IF(AB45&lt;AC45*0.95,AC45*0.95-AB45,0))</f>
        <v/>
      </c>
      <c r="AE45" s="34">
        <f>MAX(F45,G45,750)*0.05*AD45</f>
        <v/>
      </c>
      <c r="AF45" s="34" t="n">
        <v>0</v>
      </c>
      <c r="AG45" s="34">
        <f>IF(AB45&gt;AF45*1.05,AB45-AF45*1.05,IF(AB45&lt;AF45*0.95,AF45*0.95-AB45,0))</f>
        <v/>
      </c>
      <c r="AH45" s="34">
        <f>MAX(I45,J45,750)*0.05*AG45</f>
        <v/>
      </c>
      <c r="AI45" t="n">
        <v>11.15</v>
      </c>
      <c r="AJ45" t="n">
        <v>8</v>
      </c>
      <c r="AK45" s="34">
        <f>IF(AI45&gt;AJ45*1.05,AI45-AJ45*1.05,IF(AI45&lt;AJ45*0.95,AJ45*0.95-AI45,0))</f>
        <v/>
      </c>
      <c r="AL45" s="34">
        <f>MAX(F45,G45,750)*0.05*AK45</f>
        <v/>
      </c>
      <c r="AM45" s="39" t="n">
        <v>11</v>
      </c>
      <c r="AN45" s="34">
        <f>IF(AI45&gt;AM45*1.05,AI45-AM45*1.05,IF(AI45&lt;AM45*0.95,AM45*0.95-AI45,0))</f>
        <v/>
      </c>
      <c r="AO45" s="34">
        <f>MAX(F45,G45,750)*0.05*AN45</f>
        <v/>
      </c>
      <c r="AP45" s="34" t="n">
        <v>14.1</v>
      </c>
      <c r="AQ45" s="34" t="n">
        <v>12.3</v>
      </c>
      <c r="AR45" s="34">
        <f>IF(AP45&gt;AQ45*1.05,AP45-AQ45*1.05,IF(AP45&lt;AQ45*0.95,AQ45*0.95-AP45,0))</f>
        <v/>
      </c>
      <c r="AS45" s="34">
        <f>MAX(F45:G45,750)*0.05*AR45</f>
        <v/>
      </c>
      <c r="AT45" t="n">
        <v>14</v>
      </c>
      <c r="AU45" s="34">
        <f>IF(AP45&gt;AT45*1.05,AP45-AT45*1.05,IF(AP45&lt;AT45*0.95,AT45*0.95-AP45,0))</f>
        <v/>
      </c>
      <c r="AV45" s="34">
        <f>MAX(F45:G45,750)*0.05*AU45</f>
        <v/>
      </c>
      <c r="AW45" s="34">
        <f>AC45+AJ45+AQ45</f>
        <v/>
      </c>
      <c r="AX45" s="34">
        <f>AF45+AM45+AT45</f>
        <v/>
      </c>
      <c r="AY45" s="34">
        <f>AB45+AI45+AP45</f>
        <v/>
      </c>
      <c r="AZ45" s="34" t="n">
        <v>0</v>
      </c>
      <c r="BA45" s="34">
        <f>AD45+AK45+AR45</f>
        <v/>
      </c>
      <c r="BB45" s="34">
        <f>MAX(F45:G45,750)*0.05*BA45</f>
        <v/>
      </c>
      <c r="BC45" s="34">
        <f>AG45+AN45+AU45</f>
        <v/>
      </c>
      <c r="BD45" s="34">
        <f>MAX(F45:G45,750)*0.05*BC45</f>
        <v/>
      </c>
      <c r="BE45" s="34">
        <f>F45*AY45</f>
        <v/>
      </c>
      <c r="BF45" s="34">
        <f>K45-M45</f>
        <v/>
      </c>
      <c r="BG45" s="34">
        <f>P45-S45</f>
        <v/>
      </c>
      <c r="BH45" s="34">
        <f>W45-AA45</f>
        <v/>
      </c>
      <c r="BI45" s="34">
        <f>BF45+BG45+BL45-BN45</f>
        <v/>
      </c>
      <c r="BJ45" s="34">
        <f>ABS(BK45)</f>
        <v/>
      </c>
      <c r="BK45" s="34">
        <f>AY45-(J45-L45+N45-Q45)</f>
        <v/>
      </c>
      <c r="BL45" s="34">
        <f>IF(AND(BK45&gt;0,MIN($F45:$G45)&lt;150,$E45="Enerji Açığı"),-100*BK45*1.03,IF(AND(BK45&gt;0,MIN($F45:$G45)&lt;150,$E45="Enerji Fazlası"),-100*BK45*1.06,IF(AND(BK45&gt;0,MIN($F45:$G45)&gt;=150,$E45="Enerji Açığı"),BK45*MIN($F45:$G45)*0.97,IF(AND(BK45&gt;0,MIN($F45:$G45)&gt;=150,$E45="Enerji Fazlası"),BK45*MIN($F45:$G45)*0.94,IF(AND(BK45&lt;0,MAX($F45:$G45)=4500,$E45="Enerji Açığı"),4500*1.05*1.06*BK45,IF(AND(BK45&lt;0,MAX($F45:$G45)=4500,$E45="Enerji Fazlası"),4500*1.05*1.03*BK45,IF(AND(BK45&lt;0,$E45="Enerji Açığı"),MAX($F45,$G45,150)*BK45*1.06,IF(AND(BK45&lt;0,$E45="Enerji Fazlası"),MAX($F45,$G45,150)*BK45*1.03,IF(AND(BK45&lt;0,$E45="Dengede"),MAX($F45:$G45,150)*1.03*BK45,MIN($F45:$G45)*0.97*BK45)))))))))</f>
        <v/>
      </c>
      <c r="BM45" s="34">
        <f>BE45-BI45-BN45</f>
        <v/>
      </c>
      <c r="BN45" s="34">
        <f>BB45</f>
        <v/>
      </c>
      <c r="BO45" s="34">
        <f>BE45-BI45</f>
        <v/>
      </c>
      <c r="BP45" s="34">
        <f>IF(AY45=0,0,BO45/AY45)</f>
        <v/>
      </c>
      <c r="BQ45" s="34">
        <f>MAX((AY45+MAX((-J45+L45-N45+Q45),0)),(MAX((J45-L45+N45-Q45),0)))</f>
        <v/>
      </c>
      <c r="BR45" s="82">
        <f>IFERROR(ABS(BK45/BQ45),0)</f>
        <v/>
      </c>
      <c r="BS45" s="34">
        <f>IF(BR45&lt;=0.1,0,BK45/BR45*(BR45-0.1))</f>
        <v/>
      </c>
      <c r="BT45" s="34">
        <f>IF((BS45)&lt;0,MAX(F45:G45)*(BS45)*1.03,MIN(F45:G45)*(BS45)*0.97)</f>
        <v/>
      </c>
      <c r="BU45" s="34">
        <f>IF(BR45&gt;0.1,1,0)</f>
        <v/>
      </c>
      <c r="BV45" s="34">
        <f>BF45+BG45+BH45+BY45-CA45</f>
        <v/>
      </c>
      <c r="BW45" s="34">
        <f>ABS(BX45)</f>
        <v/>
      </c>
      <c r="BX45" s="34">
        <f>AY45-(J45-L45+N45-Q45+T45-X45)</f>
        <v/>
      </c>
      <c r="BY45" s="34">
        <f>IF(AND(BX45&gt;0,MIN($F45:$G45)&lt;150,$E45="Enerji Açığı"),-100*BX45*1.03,IF(AND(BX45&gt;0,MIN($F45:$G45)&lt;150,$E45="Enerji Fazlası"),-100*BX45*1.06,IF(AND(BX45&gt;0,MIN($F45:$G45)&gt;=150,$E45="Enerji Açığı"),BX45*MIN($F45:$G45)*0.97,IF(AND(BX45&gt;0,MIN($F45:$G45)&gt;=150,$E45="Enerji Fazlası"),BX45*MIN($F45:$G45)*0.94,IF(AND(BX45&lt;0,MAX($F45:$G45)=4500,$E45="Enerji Açığı"),4500*1.05*1.06*BX45,IF(AND(BX45&lt;0,MAX($F45:$G45)=4500,$E45="Enerji Fazlası"),4500*1.05*1.03*BX45,IF(AND(BX45&lt;0,$E45="Enerji Açığı"),MAX($F45,$G45,150)*BX45*1.06,IF(AND(BX45&lt;0,$E45="Enerji Fazlası"),MAX($F45,$G45,150)*BX45*1.03,IF(AND(BX45&lt;0,$E45="Dengede"),MAX($F45:$G45,150)*1.03*BX45,MIN($F45:$G45)*0.97*BX45)))))))))</f>
        <v/>
      </c>
      <c r="BZ45" s="34">
        <f>BE45-BV45-CA45</f>
        <v/>
      </c>
      <c r="CA45" s="34">
        <f>BD45</f>
        <v/>
      </c>
      <c r="CB45" s="33">
        <f>BE45-BV45</f>
        <v/>
      </c>
      <c r="CC45" s="34">
        <f>IF(AY45=0,0,CB45/AY45)</f>
        <v/>
      </c>
      <c r="CD45" s="34">
        <f>MAX((AY45+MAX((-J45+L45-N45+Q45-T45+X45),0)),(MAX((J45-L45+N45-Q45+T45-X45),0)))</f>
        <v/>
      </c>
      <c r="CE45" s="82">
        <f>IFERROR(ABS(BX45/CD45),0)</f>
        <v/>
      </c>
      <c r="CF45" s="34">
        <f>IF(CE45&lt;=0.1,0,BX45/CE45*(CE45-0.1))</f>
        <v/>
      </c>
      <c r="CG45" s="34">
        <f>IF((CF45)&lt;0,MAX(F45:G45)*(CF45)*1.03,MIN(F45:G45)*(CF45)*0.97)</f>
        <v/>
      </c>
      <c r="CH45" s="34">
        <f>IF(CE45&gt;0.1,1,0)</f>
        <v/>
      </c>
      <c r="CI45" s="34">
        <f>(F45*BX45)-BY45</f>
        <v/>
      </c>
      <c r="CJ45" s="34">
        <f>IF(AY45=0,0,CI45/AY45)</f>
        <v/>
      </c>
    </row>
    <row r="46">
      <c r="A46" s="29" t="n">
        <v>46205.79166666666</v>
      </c>
      <c r="B46" s="29" t="inlineStr">
        <is>
          <t>19:00</t>
        </is>
      </c>
      <c r="C46" s="35">
        <f>INT(A46)</f>
        <v/>
      </c>
      <c r="D46" s="36">
        <f>MONTH(A46)</f>
        <v/>
      </c>
      <c r="E46" s="147" t="inlineStr">
        <is>
          <t>Enerji Açığı</t>
        </is>
      </c>
      <c r="F46" s="30" t="n">
        <v>4237.01</v>
      </c>
      <c r="G46" s="30" t="n">
        <v>4320</v>
      </c>
      <c r="H46" s="30" t="n">
        <v>90.97</v>
      </c>
      <c r="I46" s="30" t="n">
        <v>4223.9</v>
      </c>
      <c r="J46" s="119" t="n">
        <v>0</v>
      </c>
      <c r="K46" s="34">
        <f>F46*J46</f>
        <v/>
      </c>
      <c r="L46" s="119" t="n">
        <v>0</v>
      </c>
      <c r="M46" s="34">
        <f>L46*F46</f>
        <v/>
      </c>
      <c r="N46" s="119" t="n">
        <v>20.2</v>
      </c>
      <c r="O46" s="34">
        <f>F46</f>
        <v/>
      </c>
      <c r="P46" s="34">
        <f>N46*O46</f>
        <v/>
      </c>
      <c r="Q46" s="119" t="n">
        <v>0</v>
      </c>
      <c r="R46" s="34">
        <f>F46</f>
        <v/>
      </c>
      <c r="S46" s="34">
        <f>R46*Q46</f>
        <v/>
      </c>
      <c r="T46" s="34" t="n"/>
      <c r="U46" s="34">
        <f>IFERROR(W46/T46,0)</f>
        <v/>
      </c>
      <c r="V46" s="34">
        <f>IF(U46=0,0,U46-F46)</f>
        <v/>
      </c>
      <c r="W46" s="34" t="n"/>
      <c r="X46" s="34" t="n"/>
      <c r="Y46" s="34">
        <f>IFERROR(AA46/X46,0)</f>
        <v/>
      </c>
      <c r="Z46" s="34">
        <f>IF(Y46=0,0,F46-Y46)</f>
        <v/>
      </c>
      <c r="AA46" s="34" t="n"/>
      <c r="AB46" s="34" t="n">
        <v>0</v>
      </c>
      <c r="AC46" s="34" t="n">
        <v>0</v>
      </c>
      <c r="AD46" s="34">
        <f>IF(AB46&gt;AC46*1.05,AB46-AC46*1.05,IF(AB46&lt;AC46*0.95,AC46*0.95-AB46,0))</f>
        <v/>
      </c>
      <c r="AE46" s="34">
        <f>MAX(F46,G46,750)*0.05*AD46</f>
        <v/>
      </c>
      <c r="AF46" s="34" t="n">
        <v>0</v>
      </c>
      <c r="AG46" s="34">
        <f>IF(AB46&gt;AF46*1.05,AB46-AF46*1.05,IF(AB46&lt;AF46*0.95,AF46*0.95-AB46,0))</f>
        <v/>
      </c>
      <c r="AH46" s="34">
        <f>MAX(I46,J46,750)*0.05*AG46</f>
        <v/>
      </c>
      <c r="AI46" t="n">
        <v>10.32</v>
      </c>
      <c r="AJ46" t="n">
        <v>8</v>
      </c>
      <c r="AK46" s="34">
        <f>IF(AI46&gt;AJ46*1.05,AI46-AJ46*1.05,IF(AI46&lt;AJ46*0.95,AJ46*0.95-AI46,0))</f>
        <v/>
      </c>
      <c r="AL46" s="34">
        <f>MAX(F46,G46,750)*0.05*AK46</f>
        <v/>
      </c>
      <c r="AM46" s="39" t="n">
        <v>10</v>
      </c>
      <c r="AN46" s="34">
        <f>IF(AI46&gt;AM46*1.05,AI46-AM46*1.05,IF(AI46&lt;AM46*0.95,AM46*0.95-AI46,0))</f>
        <v/>
      </c>
      <c r="AO46" s="34">
        <f>MAX(F46,G46,750)*0.05*AN46</f>
        <v/>
      </c>
      <c r="AP46" s="34" t="n">
        <v>13.21</v>
      </c>
      <c r="AQ46" s="34" t="n">
        <v>12.2</v>
      </c>
      <c r="AR46" s="34">
        <f>IF(AP46&gt;AQ46*1.05,AP46-AQ46*1.05,IF(AP46&lt;AQ46*0.95,AQ46*0.95-AP46,0))</f>
        <v/>
      </c>
      <c r="AS46" s="34">
        <f>MAX(F46:G46,750)*0.05*AR46</f>
        <v/>
      </c>
      <c r="AT46" t="n">
        <v>13</v>
      </c>
      <c r="AU46" s="34">
        <f>IF(AP46&gt;AT46*1.05,AP46-AT46*1.05,IF(AP46&lt;AT46*0.95,AT46*0.95-AP46,0))</f>
        <v/>
      </c>
      <c r="AV46" s="34">
        <f>MAX(F46:G46,750)*0.05*AU46</f>
        <v/>
      </c>
      <c r="AW46" s="34">
        <f>AC46+AJ46+AQ46</f>
        <v/>
      </c>
      <c r="AX46" s="34">
        <f>AF46+AM46+AT46</f>
        <v/>
      </c>
      <c r="AY46" s="34">
        <f>AB46+AI46+AP46</f>
        <v/>
      </c>
      <c r="AZ46" s="34" t="n">
        <v>0</v>
      </c>
      <c r="BA46" s="34">
        <f>AD46+AK46+AR46</f>
        <v/>
      </c>
      <c r="BB46" s="34">
        <f>MAX(F46:G46,750)*0.05*BA46</f>
        <v/>
      </c>
      <c r="BC46" s="34">
        <f>AG46+AN46+AU46</f>
        <v/>
      </c>
      <c r="BD46" s="34">
        <f>MAX(F46:G46,750)*0.05*BC46</f>
        <v/>
      </c>
      <c r="BE46" s="34">
        <f>F46*AY46</f>
        <v/>
      </c>
      <c r="BF46" s="34">
        <f>K46-M46</f>
        <v/>
      </c>
      <c r="BG46" s="34">
        <f>P46-S46</f>
        <v/>
      </c>
      <c r="BH46" s="34">
        <f>W46-AA46</f>
        <v/>
      </c>
      <c r="BI46" s="34">
        <f>BF46+BG46+BL46-BN46</f>
        <v/>
      </c>
      <c r="BJ46" s="34">
        <f>ABS(BK46)</f>
        <v/>
      </c>
      <c r="BK46" s="34">
        <f>AY46-(J46-L46+N46-Q46)</f>
        <v/>
      </c>
      <c r="BL46" s="34">
        <f>IF(AND(BK46&gt;0,MIN($F46:$G46)&lt;150,$E46="Enerji Açığı"),-100*BK46*1.03,IF(AND(BK46&gt;0,MIN($F46:$G46)&lt;150,$E46="Enerji Fazlası"),-100*BK46*1.06,IF(AND(BK46&gt;0,MIN($F46:$G46)&gt;=150,$E46="Enerji Açığı"),BK46*MIN($F46:$G46)*0.97,IF(AND(BK46&gt;0,MIN($F46:$G46)&gt;=150,$E46="Enerji Fazlası"),BK46*MIN($F46:$G46)*0.94,IF(AND(BK46&lt;0,MAX($F46:$G46)=4500,$E46="Enerji Açığı"),4500*1.05*1.06*BK46,IF(AND(BK46&lt;0,MAX($F46:$G46)=4500,$E46="Enerji Fazlası"),4500*1.05*1.03*BK46,IF(AND(BK46&lt;0,$E46="Enerji Açığı"),MAX($F46,$G46,150)*BK46*1.06,IF(AND(BK46&lt;0,$E46="Enerji Fazlası"),MAX($F46,$G46,150)*BK46*1.03,IF(AND(BK46&lt;0,$E46="Dengede"),MAX($F46:$G46,150)*1.03*BK46,MIN($F46:$G46)*0.97*BK46)))))))))</f>
        <v/>
      </c>
      <c r="BM46" s="34">
        <f>BE46-BI46-BN46</f>
        <v/>
      </c>
      <c r="BN46" s="34">
        <f>BB46</f>
        <v/>
      </c>
      <c r="BO46" s="34">
        <f>BE46-BI46</f>
        <v/>
      </c>
      <c r="BP46" s="34">
        <f>IF(AY46=0,0,BO46/AY46)</f>
        <v/>
      </c>
      <c r="BQ46" s="34">
        <f>MAX((AY46+MAX((-J46+L46-N46+Q46),0)),(MAX((J46-L46+N46-Q46),0)))</f>
        <v/>
      </c>
      <c r="BR46" s="82">
        <f>IFERROR(ABS(BK46/BQ46),0)</f>
        <v/>
      </c>
      <c r="BS46" s="34">
        <f>IF(BR46&lt;=0.1,0,BK46/BR46*(BR46-0.1))</f>
        <v/>
      </c>
      <c r="BT46" s="34">
        <f>IF((BS46)&lt;0,MAX(F46:G46)*(BS46)*1.03,MIN(F46:G46)*(BS46)*0.97)</f>
        <v/>
      </c>
      <c r="BU46" s="34">
        <f>IF(BR46&gt;0.1,1,0)</f>
        <v/>
      </c>
      <c r="BV46" s="34">
        <f>BF46+BG46+BH46+BY46-CA46</f>
        <v/>
      </c>
      <c r="BW46" s="34">
        <f>ABS(BX46)</f>
        <v/>
      </c>
      <c r="BX46" s="34">
        <f>AY46-(J46-L46+N46-Q46+T46-X46)</f>
        <v/>
      </c>
      <c r="BY46" s="34">
        <f>IF(AND(BX46&gt;0,MIN($F46:$G46)&lt;150,$E46="Enerji Açığı"),-100*BX46*1.03,IF(AND(BX46&gt;0,MIN($F46:$G46)&lt;150,$E46="Enerji Fazlası"),-100*BX46*1.06,IF(AND(BX46&gt;0,MIN($F46:$G46)&gt;=150,$E46="Enerji Açığı"),BX46*MIN($F46:$G46)*0.97,IF(AND(BX46&gt;0,MIN($F46:$G46)&gt;=150,$E46="Enerji Fazlası"),BX46*MIN($F46:$G46)*0.94,IF(AND(BX46&lt;0,MAX($F46:$G46)=4500,$E46="Enerji Açığı"),4500*1.05*1.06*BX46,IF(AND(BX46&lt;0,MAX($F46:$G46)=4500,$E46="Enerji Fazlası"),4500*1.05*1.03*BX46,IF(AND(BX46&lt;0,$E46="Enerji Açığı"),MAX($F46,$G46,150)*BX46*1.06,IF(AND(BX46&lt;0,$E46="Enerji Fazlası"),MAX($F46,$G46,150)*BX46*1.03,IF(AND(BX46&lt;0,$E46="Dengede"),MAX($F46:$G46,150)*1.03*BX46,MIN($F46:$G46)*0.97*BX46)))))))))</f>
        <v/>
      </c>
      <c r="BZ46" s="34">
        <f>BE46-BV46-CA46</f>
        <v/>
      </c>
      <c r="CA46" s="34">
        <f>BD46</f>
        <v/>
      </c>
      <c r="CB46" s="33">
        <f>BE46-BV46</f>
        <v/>
      </c>
      <c r="CC46" s="34">
        <f>IF(AY46=0,0,CB46/AY46)</f>
        <v/>
      </c>
      <c r="CD46" s="34">
        <f>MAX((AY46+MAX((-J46+L46-N46+Q46-T46+X46),0)),(MAX((J46-L46+N46-Q46+T46-X46),0)))</f>
        <v/>
      </c>
      <c r="CE46" s="82">
        <f>IFERROR(ABS(BX46/CD46),0)</f>
        <v/>
      </c>
      <c r="CF46" s="34">
        <f>IF(CE46&lt;=0.1,0,BX46/CE46*(CE46-0.1))</f>
        <v/>
      </c>
      <c r="CG46" s="34">
        <f>IF((CF46)&lt;0,MAX(F46:G46)*(CF46)*1.03,MIN(F46:G46)*(CF46)*0.97)</f>
        <v/>
      </c>
      <c r="CH46" s="34">
        <f>IF(CE46&gt;0.1,1,0)</f>
        <v/>
      </c>
      <c r="CI46" s="34">
        <f>(F46*BX46)-BY46</f>
        <v/>
      </c>
      <c r="CJ46" s="34">
        <f>IF(AY46=0,0,CI46/AY46)</f>
        <v/>
      </c>
    </row>
    <row r="47">
      <c r="A47" s="29" t="n">
        <v>46205.83333333334</v>
      </c>
      <c r="B47" s="29" t="inlineStr">
        <is>
          <t>20:00</t>
        </is>
      </c>
      <c r="C47" s="35">
        <f>INT(A47)</f>
        <v/>
      </c>
      <c r="D47" s="36">
        <f>MONTH(A47)</f>
        <v/>
      </c>
      <c r="E47" s="147" t="inlineStr">
        <is>
          <t>Enerji Açığı</t>
        </is>
      </c>
      <c r="F47" s="30" t="n">
        <v>4500</v>
      </c>
      <c r="G47" s="30" t="n">
        <v>4500</v>
      </c>
      <c r="H47" s="30" t="n">
        <v>96.62</v>
      </c>
      <c r="I47" s="30" t="n">
        <v>4483.69</v>
      </c>
      <c r="J47" s="119" t="n">
        <v>0</v>
      </c>
      <c r="K47" s="34">
        <f>F47*J47</f>
        <v/>
      </c>
      <c r="L47" s="119" t="n">
        <v>0</v>
      </c>
      <c r="M47" s="34">
        <f>L47*F47</f>
        <v/>
      </c>
      <c r="N47" s="119" t="n">
        <v>20</v>
      </c>
      <c r="O47" s="34">
        <f>F47</f>
        <v/>
      </c>
      <c r="P47" s="34">
        <f>N47*O47</f>
        <v/>
      </c>
      <c r="Q47" s="119" t="n">
        <v>0</v>
      </c>
      <c r="R47" s="34">
        <f>F47</f>
        <v/>
      </c>
      <c r="S47" s="34">
        <f>R47*Q47</f>
        <v/>
      </c>
      <c r="T47" s="34" t="n"/>
      <c r="U47" s="34">
        <f>IFERROR(W47/T47,0)</f>
        <v/>
      </c>
      <c r="V47" s="34">
        <f>IF(U47=0,0,U47-F47)</f>
        <v/>
      </c>
      <c r="W47" s="34" t="n"/>
      <c r="X47" s="34" t="n"/>
      <c r="Y47" s="34">
        <f>IFERROR(AA47/X47,0)</f>
        <v/>
      </c>
      <c r="Z47" s="34">
        <f>IF(Y47=0,0,F47-Y47)</f>
        <v/>
      </c>
      <c r="AA47" s="34" t="n"/>
      <c r="AB47" s="34" t="n">
        <v>0</v>
      </c>
      <c r="AC47" s="34" t="n">
        <v>0</v>
      </c>
      <c r="AD47" s="34">
        <f>IF(AB47&gt;AC47*1.05,AB47-AC47*1.05,IF(AB47&lt;AC47*0.95,AC47*0.95-AB47,0))</f>
        <v/>
      </c>
      <c r="AE47" s="34">
        <f>MAX(F47,G47,750)*0.05*AD47</f>
        <v/>
      </c>
      <c r="AF47" s="34" t="n">
        <v>0</v>
      </c>
      <c r="AG47" s="34">
        <f>IF(AB47&gt;AF47*1.05,AB47-AF47*1.05,IF(AB47&lt;AF47*0.95,AF47*0.95-AB47,0))</f>
        <v/>
      </c>
      <c r="AH47" s="34">
        <f>MAX(I47,J47,750)*0.05*AG47</f>
        <v/>
      </c>
      <c r="AI47" t="n">
        <v>8.27</v>
      </c>
      <c r="AJ47" t="n">
        <v>8</v>
      </c>
      <c r="AK47" s="34">
        <f>IF(AI47&gt;AJ47*1.05,AI47-AJ47*1.05,IF(AI47&lt;AJ47*0.95,AJ47*0.95-AI47,0))</f>
        <v/>
      </c>
      <c r="AL47" s="34">
        <f>MAX(F47,G47,750)*0.05*AK47</f>
        <v/>
      </c>
      <c r="AM47" s="39" t="n">
        <v>8</v>
      </c>
      <c r="AN47" s="34">
        <f>IF(AI47&gt;AM47*1.05,AI47-AM47*1.05,IF(AI47&lt;AM47*0.95,AM47*0.95-AI47,0))</f>
        <v/>
      </c>
      <c r="AO47" s="34">
        <f>MAX(F47,G47,750)*0.05*AN47</f>
        <v/>
      </c>
      <c r="AP47" s="34" t="n">
        <v>12.14</v>
      </c>
      <c r="AQ47" s="34" t="n">
        <v>12</v>
      </c>
      <c r="AR47" s="34">
        <f>IF(AP47&gt;AQ47*1.05,AP47-AQ47*1.05,IF(AP47&lt;AQ47*0.95,AQ47*0.95-AP47,0))</f>
        <v/>
      </c>
      <c r="AS47" s="34">
        <f>MAX(F47:G47,750)*0.05*AR47</f>
        <v/>
      </c>
      <c r="AT47" t="n">
        <v>12</v>
      </c>
      <c r="AU47" s="34">
        <f>IF(AP47&gt;AT47*1.05,AP47-AT47*1.05,IF(AP47&lt;AT47*0.95,AT47*0.95-AP47,0))</f>
        <v/>
      </c>
      <c r="AV47" s="34">
        <f>MAX(F47:G47,750)*0.05*AU47</f>
        <v/>
      </c>
      <c r="AW47" s="34">
        <f>AC47+AJ47+AQ47</f>
        <v/>
      </c>
      <c r="AX47" s="34">
        <f>AF47+AM47+AT47</f>
        <v/>
      </c>
      <c r="AY47" s="34">
        <f>AB47+AI47+AP47</f>
        <v/>
      </c>
      <c r="AZ47" s="34" t="n">
        <v>0</v>
      </c>
      <c r="BA47" s="34">
        <f>AD47+AK47+AR47</f>
        <v/>
      </c>
      <c r="BB47" s="34">
        <f>MAX(F47:G47,750)*0.05*BA47</f>
        <v/>
      </c>
      <c r="BC47" s="34">
        <f>AG47+AN47+AU47</f>
        <v/>
      </c>
      <c r="BD47" s="34">
        <f>MAX(F47:G47,750)*0.05*BC47</f>
        <v/>
      </c>
      <c r="BE47" s="34">
        <f>F47*AY47</f>
        <v/>
      </c>
      <c r="BF47" s="34">
        <f>K47-M47</f>
        <v/>
      </c>
      <c r="BG47" s="34">
        <f>P47-S47</f>
        <v/>
      </c>
      <c r="BH47" s="34">
        <f>W47-AA47</f>
        <v/>
      </c>
      <c r="BI47" s="34">
        <f>BF47+BG47+BL47-BN47</f>
        <v/>
      </c>
      <c r="BJ47" s="34">
        <f>ABS(BK47)</f>
        <v/>
      </c>
      <c r="BK47" s="34">
        <f>AY47-(J47-L47+N47-Q47)</f>
        <v/>
      </c>
      <c r="BL47" s="34">
        <f>IF(AND(BK47&gt;0,MIN($F47:$G47)&lt;150,$E47="Enerji Açığı"),-100*BK47*1.03,IF(AND(BK47&gt;0,MIN($F47:$G47)&lt;150,$E47="Enerji Fazlası"),-100*BK47*1.06,IF(AND(BK47&gt;0,MIN($F47:$G47)&gt;=150,$E47="Enerji Açığı"),BK47*MIN($F47:$G47)*0.97,IF(AND(BK47&gt;0,MIN($F47:$G47)&gt;=150,$E47="Enerji Fazlası"),BK47*MIN($F47:$G47)*0.94,IF(AND(BK47&lt;0,MAX($F47:$G47)=4500,$E47="Enerji Açığı"),4500*1.05*1.06*BK47,IF(AND(BK47&lt;0,MAX($F47:$G47)=4500,$E47="Enerji Fazlası"),4500*1.05*1.03*BK47,IF(AND(BK47&lt;0,$E47="Enerji Açığı"),MAX($F47,$G47,150)*BK47*1.06,IF(AND(BK47&lt;0,$E47="Enerji Fazlası"),MAX($F47,$G47,150)*BK47*1.03,IF(AND(BK47&lt;0,$E47="Dengede"),MAX($F47:$G47,150)*1.03*BK47,MIN($F47:$G47)*0.97*BK47)))))))))</f>
        <v/>
      </c>
      <c r="BM47" s="34">
        <f>BE47-BI47-BN47</f>
        <v/>
      </c>
      <c r="BN47" s="34">
        <f>BB47</f>
        <v/>
      </c>
      <c r="BO47" s="34">
        <f>BE47-BI47</f>
        <v/>
      </c>
      <c r="BP47" s="34">
        <f>IF(AY47=0,0,BO47/AY47)</f>
        <v/>
      </c>
      <c r="BQ47" s="34">
        <f>MAX((AY47+MAX((-J47+L47-N47+Q47),0)),(MAX((J47-L47+N47-Q47),0)))</f>
        <v/>
      </c>
      <c r="BR47" s="82">
        <f>IFERROR(ABS(BK47/BQ47),0)</f>
        <v/>
      </c>
      <c r="BS47" s="34">
        <f>IF(BR47&lt;=0.1,0,BK47/BR47*(BR47-0.1))</f>
        <v/>
      </c>
      <c r="BT47" s="34">
        <f>IF((BS47)&lt;0,MAX(F47:G47)*(BS47)*1.03,MIN(F47:G47)*(BS47)*0.97)</f>
        <v/>
      </c>
      <c r="BU47" s="34">
        <f>IF(BR47&gt;0.1,1,0)</f>
        <v/>
      </c>
      <c r="BV47" s="34">
        <f>BF47+BG47+BH47+BY47-CA47</f>
        <v/>
      </c>
      <c r="BW47" s="34">
        <f>ABS(BX47)</f>
        <v/>
      </c>
      <c r="BX47" s="34">
        <f>AY47-(J47-L47+N47-Q47+T47-X47)</f>
        <v/>
      </c>
      <c r="BY47" s="34">
        <f>IF(AND(BX47&gt;0,MIN($F47:$G47)&lt;150,$E47="Enerji Açığı"),-100*BX47*1.03,IF(AND(BX47&gt;0,MIN($F47:$G47)&lt;150,$E47="Enerji Fazlası"),-100*BX47*1.06,IF(AND(BX47&gt;0,MIN($F47:$G47)&gt;=150,$E47="Enerji Açığı"),BX47*MIN($F47:$G47)*0.97,IF(AND(BX47&gt;0,MIN($F47:$G47)&gt;=150,$E47="Enerji Fazlası"),BX47*MIN($F47:$G47)*0.94,IF(AND(BX47&lt;0,MAX($F47:$G47)=4500,$E47="Enerji Açığı"),4500*1.05*1.06*BX47,IF(AND(BX47&lt;0,MAX($F47:$G47)=4500,$E47="Enerji Fazlası"),4500*1.05*1.03*BX47,IF(AND(BX47&lt;0,$E47="Enerji Açığı"),MAX($F47,$G47,150)*BX47*1.06,IF(AND(BX47&lt;0,$E47="Enerji Fazlası"),MAX($F47,$G47,150)*BX47*1.03,IF(AND(BX47&lt;0,$E47="Dengede"),MAX($F47:$G47,150)*1.03*BX47,MIN($F47:$G47)*0.97*BX47)))))))))</f>
        <v/>
      </c>
      <c r="BZ47" s="34">
        <f>BE47-BV47-CA47</f>
        <v/>
      </c>
      <c r="CA47" s="34">
        <f>BD47</f>
        <v/>
      </c>
      <c r="CB47" s="33">
        <f>BE47-BV47</f>
        <v/>
      </c>
      <c r="CC47" s="34">
        <f>IF(AY47=0,0,CB47/AY47)</f>
        <v/>
      </c>
      <c r="CD47" s="34">
        <f>MAX((AY47+MAX((-J47+L47-N47+Q47-T47+X47),0)),(MAX((J47-L47+N47-Q47+T47-X47),0)))</f>
        <v/>
      </c>
      <c r="CE47" s="82">
        <f>IFERROR(ABS(BX47/CD47),0)</f>
        <v/>
      </c>
      <c r="CF47" s="34">
        <f>IF(CE47&lt;=0.1,0,BX47/CE47*(CE47-0.1))</f>
        <v/>
      </c>
      <c r="CG47" s="34">
        <f>IF((CF47)&lt;0,MAX(F47:G47)*(CF47)*1.03,MIN(F47:G47)*(CF47)*0.97)</f>
        <v/>
      </c>
      <c r="CH47" s="34">
        <f>IF(CE47&gt;0.1,1,0)</f>
        <v/>
      </c>
      <c r="CI47" s="34">
        <f>(F47*BX47)-BY47</f>
        <v/>
      </c>
      <c r="CJ47" s="34">
        <f>IF(AY47=0,0,CI47/AY47)</f>
        <v/>
      </c>
    </row>
    <row r="48">
      <c r="A48" s="29" t="n">
        <v>46205.875</v>
      </c>
      <c r="B48" s="29" t="inlineStr">
        <is>
          <t>21:00</t>
        </is>
      </c>
      <c r="C48" s="35">
        <f>INT(A48)</f>
        <v/>
      </c>
      <c r="D48" s="36">
        <f>MONTH(A48)</f>
        <v/>
      </c>
      <c r="E48" s="147" t="inlineStr">
        <is>
          <t>Enerji Fazlası</t>
        </is>
      </c>
      <c r="F48" s="30" t="n">
        <v>4500</v>
      </c>
      <c r="G48" s="30" t="n">
        <v>2555</v>
      </c>
      <c r="H48" s="30" t="n">
        <v>96.62</v>
      </c>
      <c r="I48" s="30" t="n">
        <v>4317.25</v>
      </c>
      <c r="J48" s="119" t="n">
        <v>0</v>
      </c>
      <c r="K48" s="34">
        <f>F48*J48</f>
        <v/>
      </c>
      <c r="L48" s="119" t="n">
        <v>0</v>
      </c>
      <c r="M48" s="34">
        <f>L48*F48</f>
        <v/>
      </c>
      <c r="N48" s="119" t="n">
        <v>16</v>
      </c>
      <c r="O48" s="34">
        <f>F48</f>
        <v/>
      </c>
      <c r="P48" s="34">
        <f>N48*O48</f>
        <v/>
      </c>
      <c r="Q48" s="119" t="n">
        <v>0</v>
      </c>
      <c r="R48" s="34">
        <f>F48</f>
        <v/>
      </c>
      <c r="S48" s="34">
        <f>R48*Q48</f>
        <v/>
      </c>
      <c r="T48" s="34" t="n"/>
      <c r="U48" s="34">
        <f>IFERROR(W48/T48,0)</f>
        <v/>
      </c>
      <c r="V48" s="34">
        <f>IF(U48=0,0,U48-F48)</f>
        <v/>
      </c>
      <c r="W48" s="34" t="n"/>
      <c r="X48" s="34" t="n"/>
      <c r="Y48" s="34">
        <f>IFERROR(AA48/X48,0)</f>
        <v/>
      </c>
      <c r="Z48" s="34">
        <f>IF(Y48=0,0,F48-Y48)</f>
        <v/>
      </c>
      <c r="AA48" s="34" t="n"/>
      <c r="AB48" s="34" t="n">
        <v>0</v>
      </c>
      <c r="AC48" s="34" t="n">
        <v>0</v>
      </c>
      <c r="AD48" s="34">
        <f>IF(AB48&gt;AC48*1.05,AB48-AC48*1.05,IF(AB48&lt;AC48*0.95,AC48*0.95-AB48,0))</f>
        <v/>
      </c>
      <c r="AE48" s="34">
        <f>MAX(F48,G48,750)*0.05*AD48</f>
        <v/>
      </c>
      <c r="AF48" s="34" t="n">
        <v>0</v>
      </c>
      <c r="AG48" s="34">
        <f>IF(AB48&gt;AF48*1.05,AB48-AF48*1.05,IF(AB48&lt;AF48*0.95,AF48*0.95-AB48,0))</f>
        <v/>
      </c>
      <c r="AH48" s="34">
        <f>MAX(I48,J48,750)*0.05*AG48</f>
        <v/>
      </c>
      <c r="AI48" t="n">
        <v>9.67</v>
      </c>
      <c r="AJ48" t="n">
        <v>7</v>
      </c>
      <c r="AK48" s="34">
        <f>IF(AI48&gt;AJ48*1.05,AI48-AJ48*1.05,IF(AI48&lt;AJ48*0.95,AJ48*0.95-AI48,0))</f>
        <v/>
      </c>
      <c r="AL48" s="34">
        <f>MAX(F48,G48,750)*0.05*AK48</f>
        <v/>
      </c>
      <c r="AM48" s="39" t="n">
        <v>9</v>
      </c>
      <c r="AN48" s="34">
        <f>IF(AI48&gt;AM48*1.05,AI48-AM48*1.05,IF(AI48&lt;AM48*0.95,AM48*0.95-AI48,0))</f>
        <v/>
      </c>
      <c r="AO48" s="34">
        <f>MAX(F48,G48,750)*0.05*AN48</f>
        <v/>
      </c>
      <c r="AP48" s="34" t="n">
        <v>11.52</v>
      </c>
      <c r="AQ48" s="34" t="n">
        <v>9</v>
      </c>
      <c r="AR48" s="34">
        <f>IF(AP48&gt;AQ48*1.05,AP48-AQ48*1.05,IF(AP48&lt;AQ48*0.95,AQ48*0.95-AP48,0))</f>
        <v/>
      </c>
      <c r="AS48" s="34">
        <f>MAX(F48:G48,750)*0.05*AR48</f>
        <v/>
      </c>
      <c r="AT48" t="n">
        <v>12</v>
      </c>
      <c r="AU48" s="34">
        <f>IF(AP48&gt;AT48*1.05,AP48-AT48*1.05,IF(AP48&lt;AT48*0.95,AT48*0.95-AP48,0))</f>
        <v/>
      </c>
      <c r="AV48" s="34">
        <f>MAX(F48:G48,750)*0.05*AU48</f>
        <v/>
      </c>
      <c r="AW48" s="34">
        <f>AC48+AJ48+AQ48</f>
        <v/>
      </c>
      <c r="AX48" s="34">
        <f>AF48+AM48+AT48</f>
        <v/>
      </c>
      <c r="AY48" s="34">
        <f>AB48+AI48+AP48</f>
        <v/>
      </c>
      <c r="AZ48" s="34" t="n">
        <v>0</v>
      </c>
      <c r="BA48" s="34">
        <f>AD48+AK48+AR48</f>
        <v/>
      </c>
      <c r="BB48" s="34">
        <f>MAX(F48:G48,750)*0.05*BA48</f>
        <v/>
      </c>
      <c r="BC48" s="34">
        <f>AG48+AN48+AU48</f>
        <v/>
      </c>
      <c r="BD48" s="34">
        <f>MAX(F48:G48,750)*0.05*BC48</f>
        <v/>
      </c>
      <c r="BE48" s="34">
        <f>F48*AY48</f>
        <v/>
      </c>
      <c r="BF48" s="34">
        <f>K48-M48</f>
        <v/>
      </c>
      <c r="BG48" s="34">
        <f>P48-S48</f>
        <v/>
      </c>
      <c r="BH48" s="34">
        <f>W48-AA48</f>
        <v/>
      </c>
      <c r="BI48" s="34">
        <f>BF48+BG48+BL48-BN48</f>
        <v/>
      </c>
      <c r="BJ48" s="34">
        <f>ABS(BK48)</f>
        <v/>
      </c>
      <c r="BK48" s="34">
        <f>AY48-(J48-L48+N48-Q48)</f>
        <v/>
      </c>
      <c r="BL48" s="34">
        <f>IF(AND(BK48&gt;0,MIN($F48:$G48)&lt;150,$E48="Enerji Açığı"),-100*BK48*1.03,IF(AND(BK48&gt;0,MIN($F48:$G48)&lt;150,$E48="Enerji Fazlası"),-100*BK48*1.06,IF(AND(BK48&gt;0,MIN($F48:$G48)&gt;=150,$E48="Enerji Açığı"),BK48*MIN($F48:$G48)*0.97,IF(AND(BK48&gt;0,MIN($F48:$G48)&gt;=150,$E48="Enerji Fazlası"),BK48*MIN($F48:$G48)*0.94,IF(AND(BK48&lt;0,MAX($F48:$G48)=4500,$E48="Enerji Açığı"),4500*1.05*1.06*BK48,IF(AND(BK48&lt;0,MAX($F48:$G48)=4500,$E48="Enerji Fazlası"),4500*1.05*1.03*BK48,IF(AND(BK48&lt;0,$E48="Enerji Açığı"),MAX($F48,$G48,150)*BK48*1.06,IF(AND(BK48&lt;0,$E48="Enerji Fazlası"),MAX($F48,$G48,150)*BK48*1.03,IF(AND(BK48&lt;0,$E48="Dengede"),MAX($F48:$G48,150)*1.03*BK48,MIN($F48:$G48)*0.97*BK48)))))))))</f>
        <v/>
      </c>
      <c r="BM48" s="34">
        <f>BE48-BI48-BN48</f>
        <v/>
      </c>
      <c r="BN48" s="34">
        <f>BB48</f>
        <v/>
      </c>
      <c r="BO48" s="34">
        <f>BE48-BI48</f>
        <v/>
      </c>
      <c r="BP48" s="34">
        <f>IF(AY48=0,0,BO48/AY48)</f>
        <v/>
      </c>
      <c r="BQ48" s="34">
        <f>MAX((AY48+MAX((-J48+L48-N48+Q48),0)),(MAX((J48-L48+N48-Q48),0)))</f>
        <v/>
      </c>
      <c r="BR48" s="82">
        <f>IFERROR(ABS(BK48/BQ48),0)</f>
        <v/>
      </c>
      <c r="BS48" s="34">
        <f>IF(BR48&lt;=0.1,0,BK48/BR48*(BR48-0.1))</f>
        <v/>
      </c>
      <c r="BT48" s="34">
        <f>IF((BS48)&lt;0,MAX(F48:G48)*(BS48)*1.03,MIN(F48:G48)*(BS48)*0.97)</f>
        <v/>
      </c>
      <c r="BU48" s="34">
        <f>IF(BR48&gt;0.1,1,0)</f>
        <v/>
      </c>
      <c r="BV48" s="34">
        <f>BF48+BG48+BH48+BY48-CA48</f>
        <v/>
      </c>
      <c r="BW48" s="34">
        <f>ABS(BX48)</f>
        <v/>
      </c>
      <c r="BX48" s="34">
        <f>AY48-(J48-L48+N48-Q48+T48-X48)</f>
        <v/>
      </c>
      <c r="BY48" s="34">
        <f>IF(AND(BX48&gt;0,MIN($F48:$G48)&lt;150,$E48="Enerji Açığı"),-100*BX48*1.03,IF(AND(BX48&gt;0,MIN($F48:$G48)&lt;150,$E48="Enerji Fazlası"),-100*BX48*1.06,IF(AND(BX48&gt;0,MIN($F48:$G48)&gt;=150,$E48="Enerji Açığı"),BX48*MIN($F48:$G48)*0.97,IF(AND(BX48&gt;0,MIN($F48:$G48)&gt;=150,$E48="Enerji Fazlası"),BX48*MIN($F48:$G48)*0.94,IF(AND(BX48&lt;0,MAX($F48:$G48)=4500,$E48="Enerji Açığı"),4500*1.05*1.06*BX48,IF(AND(BX48&lt;0,MAX($F48:$G48)=4500,$E48="Enerji Fazlası"),4500*1.05*1.03*BX48,IF(AND(BX48&lt;0,$E48="Enerji Açığı"),MAX($F48,$G48,150)*BX48*1.06,IF(AND(BX48&lt;0,$E48="Enerji Fazlası"),MAX($F48,$G48,150)*BX48*1.03,IF(AND(BX48&lt;0,$E48="Dengede"),MAX($F48:$G48,150)*1.03*BX48,MIN($F48:$G48)*0.97*BX48)))))))))</f>
        <v/>
      </c>
      <c r="BZ48" s="34">
        <f>BE48-BV48-CA48</f>
        <v/>
      </c>
      <c r="CA48" s="34">
        <f>BD48</f>
        <v/>
      </c>
      <c r="CB48" s="33">
        <f>BE48-BV48</f>
        <v/>
      </c>
      <c r="CC48" s="34">
        <f>IF(AY48=0,0,CB48/AY48)</f>
        <v/>
      </c>
      <c r="CD48" s="34">
        <f>MAX((AY48+MAX((-J48+L48-N48+Q48-T48+X48),0)),(MAX((J48-L48+N48-Q48+T48-X48),0)))</f>
        <v/>
      </c>
      <c r="CE48" s="82">
        <f>IFERROR(ABS(BX48/CD48),0)</f>
        <v/>
      </c>
      <c r="CF48" s="34">
        <f>IF(CE48&lt;=0.1,0,BX48/CE48*(CE48-0.1))</f>
        <v/>
      </c>
      <c r="CG48" s="34">
        <f>IF((CF48)&lt;0,MAX(F48:G48)*(CF48)*1.03,MIN(F48:G48)*(CF48)*0.97)</f>
        <v/>
      </c>
      <c r="CH48" s="34">
        <f>IF(CE48&gt;0.1,1,0)</f>
        <v/>
      </c>
      <c r="CI48" s="34">
        <f>(F48*BX48)-BY48</f>
        <v/>
      </c>
      <c r="CJ48" s="34">
        <f>IF(AY48=0,0,CI48/AY48)</f>
        <v/>
      </c>
    </row>
    <row r="49">
      <c r="A49" s="29" t="n">
        <v>46205.91666666666</v>
      </c>
      <c r="B49" s="29" t="inlineStr">
        <is>
          <t>22:00</t>
        </is>
      </c>
      <c r="C49" s="35">
        <f>INT(A49)</f>
        <v/>
      </c>
      <c r="D49" s="36">
        <f>MONTH(A49)</f>
        <v/>
      </c>
      <c r="E49" s="147" t="inlineStr">
        <is>
          <t>Enerji Açığı</t>
        </is>
      </c>
      <c r="F49" s="30" t="n">
        <v>4000.01</v>
      </c>
      <c r="G49" s="30" t="n">
        <v>4048</v>
      </c>
      <c r="H49" s="30" t="n">
        <v>85.88</v>
      </c>
      <c r="I49" s="30" t="n">
        <v>3941.25</v>
      </c>
      <c r="J49" s="119" t="n">
        <v>0</v>
      </c>
      <c r="K49" s="34">
        <f>F49*J49</f>
        <v/>
      </c>
      <c r="L49" s="119" t="n">
        <v>0</v>
      </c>
      <c r="M49" s="34">
        <f>L49*F49</f>
        <v/>
      </c>
      <c r="N49" s="119" t="n">
        <v>16</v>
      </c>
      <c r="O49" s="34">
        <f>F49</f>
        <v/>
      </c>
      <c r="P49" s="34">
        <f>N49*O49</f>
        <v/>
      </c>
      <c r="Q49" s="119" t="n">
        <v>0</v>
      </c>
      <c r="R49" s="34">
        <f>F49</f>
        <v/>
      </c>
      <c r="S49" s="34">
        <f>R49*Q49</f>
        <v/>
      </c>
      <c r="T49" s="34" t="n"/>
      <c r="U49" s="34">
        <f>IFERROR(W49/T49,0)</f>
        <v/>
      </c>
      <c r="V49" s="34">
        <f>IF(U49=0,0,U49-F49)</f>
        <v/>
      </c>
      <c r="W49" s="34" t="n"/>
      <c r="X49" s="34" t="n"/>
      <c r="Y49" s="34">
        <f>IFERROR(AA49/X49,0)</f>
        <v/>
      </c>
      <c r="Z49" s="34">
        <f>IF(Y49=0,0,F49-Y49)</f>
        <v/>
      </c>
      <c r="AA49" s="34" t="n"/>
      <c r="AB49" s="34" t="n">
        <v>0</v>
      </c>
      <c r="AC49" s="34" t="n">
        <v>0</v>
      </c>
      <c r="AD49" s="34">
        <f>IF(AB49&gt;AC49*1.05,AB49-AC49*1.05,IF(AB49&lt;AC49*0.95,AC49*0.95-AB49,0))</f>
        <v/>
      </c>
      <c r="AE49" s="34">
        <f>MAX(F49,G49,750)*0.05*AD49</f>
        <v/>
      </c>
      <c r="AF49" s="34" t="n">
        <v>0</v>
      </c>
      <c r="AG49" s="34">
        <f>IF(AB49&gt;AF49*1.05,AB49-AF49*1.05,IF(AB49&lt;AF49*0.95,AF49*0.95-AB49,0))</f>
        <v/>
      </c>
      <c r="AH49" s="34">
        <f>MAX(I49,J49,750)*0.05*AG49</f>
        <v/>
      </c>
      <c r="AI49" t="n">
        <v>9.15</v>
      </c>
      <c r="AJ49" t="n">
        <v>7</v>
      </c>
      <c r="AK49" s="34">
        <f>IF(AI49&gt;AJ49*1.05,AI49-AJ49*1.05,IF(AI49&lt;AJ49*0.95,AJ49*0.95-AI49,0))</f>
        <v/>
      </c>
      <c r="AL49" s="34">
        <f>MAX(F49,G49,750)*0.05*AK49</f>
        <v/>
      </c>
      <c r="AM49" s="39" t="n">
        <v>9</v>
      </c>
      <c r="AN49" s="34">
        <f>IF(AI49&gt;AM49*1.05,AI49-AM49*1.05,IF(AI49&lt;AM49*0.95,AM49*0.95-AI49,0))</f>
        <v/>
      </c>
      <c r="AO49" s="34">
        <f>MAX(F49,G49,750)*0.05*AN49</f>
        <v/>
      </c>
      <c r="AP49" s="34" t="n">
        <v>12.02</v>
      </c>
      <c r="AQ49" s="34" t="n">
        <v>9</v>
      </c>
      <c r="AR49" s="34">
        <f>IF(AP49&gt;AQ49*1.05,AP49-AQ49*1.05,IF(AP49&lt;AQ49*0.95,AQ49*0.95-AP49,0))</f>
        <v/>
      </c>
      <c r="AS49" s="34">
        <f>MAX(F49:G49,750)*0.05*AR49</f>
        <v/>
      </c>
      <c r="AT49" t="n">
        <v>12</v>
      </c>
      <c r="AU49" s="34">
        <f>IF(AP49&gt;AT49*1.05,AP49-AT49*1.05,IF(AP49&lt;AT49*0.95,AT49*0.95-AP49,0))</f>
        <v/>
      </c>
      <c r="AV49" s="34">
        <f>MAX(F49:G49,750)*0.05*AU49</f>
        <v/>
      </c>
      <c r="AW49" s="34">
        <f>AC49+AJ49+AQ49</f>
        <v/>
      </c>
      <c r="AX49" s="34">
        <f>AF49+AM49+AT49</f>
        <v/>
      </c>
      <c r="AY49" s="34">
        <f>AB49+AI49+AP49</f>
        <v/>
      </c>
      <c r="AZ49" s="34" t="n">
        <v>0</v>
      </c>
      <c r="BA49" s="34">
        <f>AD49+AK49+AR49</f>
        <v/>
      </c>
      <c r="BB49" s="34">
        <f>MAX(F49:G49,750)*0.05*BA49</f>
        <v/>
      </c>
      <c r="BC49" s="34">
        <f>AG49+AN49+AU49</f>
        <v/>
      </c>
      <c r="BD49" s="34">
        <f>MAX(F49:G49,750)*0.05*BC49</f>
        <v/>
      </c>
      <c r="BE49" s="34">
        <f>F49*AY49</f>
        <v/>
      </c>
      <c r="BF49" s="34">
        <f>K49-M49</f>
        <v/>
      </c>
      <c r="BG49" s="34">
        <f>P49-S49</f>
        <v/>
      </c>
      <c r="BH49" s="34">
        <f>W49-AA49</f>
        <v/>
      </c>
      <c r="BI49" s="34">
        <f>BF49+BG49+BL49-BN49</f>
        <v/>
      </c>
      <c r="BJ49" s="34">
        <f>ABS(BK49)</f>
        <v/>
      </c>
      <c r="BK49" s="34">
        <f>AY49-(J49-L49+N49-Q49)</f>
        <v/>
      </c>
      <c r="BL49" s="34">
        <f>IF(AND(BK49&gt;0,MIN($F49:$G49)&lt;150,$E49="Enerji Açığı"),-100*BK49*1.03,IF(AND(BK49&gt;0,MIN($F49:$G49)&lt;150,$E49="Enerji Fazlası"),-100*BK49*1.06,IF(AND(BK49&gt;0,MIN($F49:$G49)&gt;=150,$E49="Enerji Açığı"),BK49*MIN($F49:$G49)*0.97,IF(AND(BK49&gt;0,MIN($F49:$G49)&gt;=150,$E49="Enerji Fazlası"),BK49*MIN($F49:$G49)*0.94,IF(AND(BK49&lt;0,MAX($F49:$G49)=4500,$E49="Enerji Açığı"),4500*1.05*1.06*BK49,IF(AND(BK49&lt;0,MAX($F49:$G49)=4500,$E49="Enerji Fazlası"),4500*1.05*1.03*BK49,IF(AND(BK49&lt;0,$E49="Enerji Açığı"),MAX($F49,$G49,150)*BK49*1.06,IF(AND(BK49&lt;0,$E49="Enerji Fazlası"),MAX($F49,$G49,150)*BK49*1.03,IF(AND(BK49&lt;0,$E49="Dengede"),MAX($F49:$G49,150)*1.03*BK49,MIN($F49:$G49)*0.97*BK49)))))))))</f>
        <v/>
      </c>
      <c r="BM49" s="34">
        <f>BE49-BI49-BN49</f>
        <v/>
      </c>
      <c r="BN49" s="34">
        <f>BB49</f>
        <v/>
      </c>
      <c r="BO49" s="34">
        <f>BE49-BI49</f>
        <v/>
      </c>
      <c r="BP49" s="34">
        <f>IF(AY49=0,0,BO49/AY49)</f>
        <v/>
      </c>
      <c r="BQ49" s="34">
        <f>MAX((AY49+MAX((-J49+L49-N49+Q49),0)),(MAX((J49-L49+N49-Q49),0)))</f>
        <v/>
      </c>
      <c r="BR49" s="82">
        <f>IFERROR(ABS(BK49/BQ49),0)</f>
        <v/>
      </c>
      <c r="BS49" s="34">
        <f>IF(BR49&lt;=0.1,0,BK49/BR49*(BR49-0.1))</f>
        <v/>
      </c>
      <c r="BT49" s="34">
        <f>IF((BS49)&lt;0,MAX(F49:G49)*(BS49)*1.03,MIN(F49:G49)*(BS49)*0.97)</f>
        <v/>
      </c>
      <c r="BU49" s="34">
        <f>IF(BR49&gt;0.1,1,0)</f>
        <v/>
      </c>
      <c r="BV49" s="34">
        <f>BF49+BG49+BH49+BY49-CA49</f>
        <v/>
      </c>
      <c r="BW49" s="34">
        <f>ABS(BX49)</f>
        <v/>
      </c>
      <c r="BX49" s="34">
        <f>AY49-(J49-L49+N49-Q49+T49-X49)</f>
        <v/>
      </c>
      <c r="BY49" s="34">
        <f>IF(AND(BX49&gt;0,MIN($F49:$G49)&lt;150,$E49="Enerji Açığı"),-100*BX49*1.03,IF(AND(BX49&gt;0,MIN($F49:$G49)&lt;150,$E49="Enerji Fazlası"),-100*BX49*1.06,IF(AND(BX49&gt;0,MIN($F49:$G49)&gt;=150,$E49="Enerji Açığı"),BX49*MIN($F49:$G49)*0.97,IF(AND(BX49&gt;0,MIN($F49:$G49)&gt;=150,$E49="Enerji Fazlası"),BX49*MIN($F49:$G49)*0.94,IF(AND(BX49&lt;0,MAX($F49:$G49)=4500,$E49="Enerji Açığı"),4500*1.05*1.06*BX49,IF(AND(BX49&lt;0,MAX($F49:$G49)=4500,$E49="Enerji Fazlası"),4500*1.05*1.03*BX49,IF(AND(BX49&lt;0,$E49="Enerji Açığı"),MAX($F49,$G49,150)*BX49*1.06,IF(AND(BX49&lt;0,$E49="Enerji Fazlası"),MAX($F49,$G49,150)*BX49*1.03,IF(AND(BX49&lt;0,$E49="Dengede"),MAX($F49:$G49,150)*1.03*BX49,MIN($F49:$G49)*0.97*BX49)))))))))</f>
        <v/>
      </c>
      <c r="BZ49" s="34">
        <f>BE49-BV49-CA49</f>
        <v/>
      </c>
      <c r="CA49" s="34">
        <f>BD49</f>
        <v/>
      </c>
      <c r="CB49" s="33">
        <f>BE49-BV49</f>
        <v/>
      </c>
      <c r="CC49" s="34">
        <f>IF(AY49=0,0,CB49/AY49)</f>
        <v/>
      </c>
      <c r="CD49" s="34">
        <f>MAX((AY49+MAX((-J49+L49-N49+Q49-T49+X49),0)),(MAX((J49-L49+N49-Q49+T49-X49),0)))</f>
        <v/>
      </c>
      <c r="CE49" s="82">
        <f>IFERROR(ABS(BX49/CD49),0)</f>
        <v/>
      </c>
      <c r="CF49" s="34">
        <f>IF(CE49&lt;=0.1,0,BX49/CE49*(CE49-0.1))</f>
        <v/>
      </c>
      <c r="CG49" s="34">
        <f>IF((CF49)&lt;0,MAX(F49:G49)*(CF49)*1.03,MIN(F49:G49)*(CF49)*0.97)</f>
        <v/>
      </c>
      <c r="CH49" s="34">
        <f>IF(CE49&gt;0.1,1,0)</f>
        <v/>
      </c>
      <c r="CI49" s="34">
        <f>(F49*BX49)-BY49</f>
        <v/>
      </c>
      <c r="CJ49" s="34">
        <f>IF(AY49=0,0,CI49/AY49)</f>
        <v/>
      </c>
      <c r="CK49" t="inlineStr">
        <is>
          <t>l</t>
        </is>
      </c>
    </row>
    <row r="50">
      <c r="A50" s="29" t="n">
        <v>46205.95833333334</v>
      </c>
      <c r="B50" s="29" t="inlineStr">
        <is>
          <t>23:00</t>
        </is>
      </c>
      <c r="C50" s="35">
        <f>INT(A50)</f>
        <v/>
      </c>
      <c r="D50" s="36">
        <f>MONTH(A50)</f>
        <v/>
      </c>
      <c r="E50" s="147" t="inlineStr">
        <is>
          <t>Enerji Açığı</t>
        </is>
      </c>
      <c r="F50" s="30" t="n">
        <v>3499.4</v>
      </c>
      <c r="G50" s="30" t="n">
        <v>3499.4</v>
      </c>
      <c r="H50" s="30" t="n">
        <v>75.14</v>
      </c>
      <c r="I50" s="30" t="n">
        <v>3256.81</v>
      </c>
      <c r="J50" s="119" t="n">
        <v>0</v>
      </c>
      <c r="K50" s="34">
        <f>F50*J50</f>
        <v/>
      </c>
      <c r="L50" s="119" t="n">
        <v>0</v>
      </c>
      <c r="M50" s="34">
        <f>L50*F50</f>
        <v/>
      </c>
      <c r="N50" s="119" t="n">
        <v>16</v>
      </c>
      <c r="O50" s="34">
        <f>F50</f>
        <v/>
      </c>
      <c r="P50" s="34">
        <f>N50*O50</f>
        <v/>
      </c>
      <c r="Q50" s="119" t="n">
        <v>0</v>
      </c>
      <c r="R50" s="34">
        <f>F50</f>
        <v/>
      </c>
      <c r="S50" s="34">
        <f>R50*Q50</f>
        <v/>
      </c>
      <c r="T50" s="34" t="n"/>
      <c r="U50" s="34">
        <f>IFERROR(W50/T50,0)</f>
        <v/>
      </c>
      <c r="V50" s="34">
        <f>IF(U50=0,0,U50-F50)</f>
        <v/>
      </c>
      <c r="W50" s="34" t="n"/>
      <c r="X50" s="34" t="n"/>
      <c r="Y50" s="34">
        <f>IFERROR(AA50/X50,0)</f>
        <v/>
      </c>
      <c r="Z50" s="34">
        <f>IF(Y50=0,0,F50-Y50)</f>
        <v/>
      </c>
      <c r="AA50" s="34" t="n"/>
      <c r="AB50" s="34" t="n">
        <v>0</v>
      </c>
      <c r="AC50" s="34" t="n">
        <v>0</v>
      </c>
      <c r="AD50" s="34">
        <f>IF(AB50&gt;AC50*1.05,AB50-AC50*1.05,IF(AB50&lt;AC50*0.95,AC50*0.95-AB50,0))</f>
        <v/>
      </c>
      <c r="AE50" s="34">
        <f>MAX(F50,G50,750)*0.05*AD50</f>
        <v/>
      </c>
      <c r="AF50" s="34" t="n">
        <v>0</v>
      </c>
      <c r="AG50" s="34">
        <f>IF(AB50&gt;AF50*1.05,AB50-AF50*1.05,IF(AB50&lt;AF50*0.95,AF50*0.95-AB50,0))</f>
        <v/>
      </c>
      <c r="AH50" s="34">
        <f>MAX(I50,J50,750)*0.05*AG50</f>
        <v/>
      </c>
      <c r="AI50" t="n">
        <v>10.16</v>
      </c>
      <c r="AJ50" t="n">
        <v>7</v>
      </c>
      <c r="AK50" s="34">
        <f>IF(AI50&gt;AJ50*1.05,AI50-AJ50*1.05,IF(AI50&lt;AJ50*0.95,AJ50*0.95-AI50,0))</f>
        <v/>
      </c>
      <c r="AL50" s="34">
        <f>MAX(F50,G50,750)*0.05*AK50</f>
        <v/>
      </c>
      <c r="AM50" s="39" t="n">
        <v>10</v>
      </c>
      <c r="AN50" s="34">
        <f>IF(AI50&gt;AM50*1.05,AI50-AM50*1.05,IF(AI50&lt;AM50*0.95,AM50*0.95-AI50,0))</f>
        <v/>
      </c>
      <c r="AO50" s="34">
        <f>MAX(F50,G50,750)*0.05*AN50</f>
        <v/>
      </c>
      <c r="AP50" s="34" t="n">
        <v>12.05</v>
      </c>
      <c r="AQ50" s="34" t="n">
        <v>9</v>
      </c>
      <c r="AR50" s="34">
        <f>IF(AP50&gt;AQ50*1.05,AP50-AQ50*1.05,IF(AP50&lt;AQ50*0.95,AQ50*0.95-AP50,0))</f>
        <v/>
      </c>
      <c r="AS50" s="34">
        <f>MAX(F50:G50,750)*0.05*AR50</f>
        <v/>
      </c>
      <c r="AT50" t="n">
        <v>12</v>
      </c>
      <c r="AU50" s="34">
        <f>IF(AP50&gt;AT50*1.05,AP50-AT50*1.05,IF(AP50&lt;AT50*0.95,AT50*0.95-AP50,0))</f>
        <v/>
      </c>
      <c r="AV50" s="34">
        <f>MAX(F50:G50,750)*0.05*AU50</f>
        <v/>
      </c>
      <c r="AW50" s="34">
        <f>AC50+AJ50+AQ50</f>
        <v/>
      </c>
      <c r="AX50" s="34">
        <f>AF50+AM50+AT50</f>
        <v/>
      </c>
      <c r="AY50" s="34">
        <f>AB50+AI50+AP50</f>
        <v/>
      </c>
      <c r="AZ50" s="34" t="n">
        <v>0</v>
      </c>
      <c r="BA50" s="34">
        <f>AD50+AK50+AR50</f>
        <v/>
      </c>
      <c r="BB50" s="34">
        <f>MAX(F50:G50,750)*0.05*BA50</f>
        <v/>
      </c>
      <c r="BC50" s="34">
        <f>AG50+AN50+AU50</f>
        <v/>
      </c>
      <c r="BD50" s="34">
        <f>MAX(F50:G50,750)*0.05*BC50</f>
        <v/>
      </c>
      <c r="BE50" s="34">
        <f>F50*AY50</f>
        <v/>
      </c>
      <c r="BF50" s="34">
        <f>K50-M50</f>
        <v/>
      </c>
      <c r="BG50" s="34">
        <f>P50-S50</f>
        <v/>
      </c>
      <c r="BH50" s="34">
        <f>W50-AA50</f>
        <v/>
      </c>
      <c r="BI50" s="34">
        <f>BF50+BG50+BL50-BN50</f>
        <v/>
      </c>
      <c r="BJ50" s="34">
        <f>ABS(BK50)</f>
        <v/>
      </c>
      <c r="BK50" s="34">
        <f>AY50-(J50-L50+N50-Q50)</f>
        <v/>
      </c>
      <c r="BL50" s="34">
        <f>IF(AND(BK50&gt;0,MIN($F50:$G50)&lt;150,$E50="Enerji Açığı"),-100*BK50*1.03,IF(AND(BK50&gt;0,MIN($F50:$G50)&lt;150,$E50="Enerji Fazlası"),-100*BK50*1.06,IF(AND(BK50&gt;0,MIN($F50:$G50)&gt;=150,$E50="Enerji Açığı"),BK50*MIN($F50:$G50)*0.97,IF(AND(BK50&gt;0,MIN($F50:$G50)&gt;=150,$E50="Enerji Fazlası"),BK50*MIN($F50:$G50)*0.94,IF(AND(BK50&lt;0,MAX($F50:$G50)=4500,$E50="Enerji Açığı"),4500*1.05*1.06*BK50,IF(AND(BK50&lt;0,MAX($F50:$G50)=4500,$E50="Enerji Fazlası"),4500*1.05*1.03*BK50,IF(AND(BK50&lt;0,$E50="Enerji Açığı"),MAX($F50,$G50,150)*BK50*1.06,IF(AND(BK50&lt;0,$E50="Enerji Fazlası"),MAX($F50,$G50,150)*BK50*1.03,IF(AND(BK50&lt;0,$E50="Dengede"),MAX($F50:$G50,150)*1.03*BK50,MIN($F50:$G50)*0.97*BK50)))))))))</f>
        <v/>
      </c>
      <c r="BM50" s="34">
        <f>BE50-BI50-BN50</f>
        <v/>
      </c>
      <c r="BN50" s="34">
        <f>BB50</f>
        <v/>
      </c>
      <c r="BO50" s="34">
        <f>BE50-BI50</f>
        <v/>
      </c>
      <c r="BP50" s="34">
        <f>IF(AY50=0,0,BO50/AY50)</f>
        <v/>
      </c>
      <c r="BQ50" s="34">
        <f>MAX((AY50+MAX((-J50+L50-N50+Q50),0)),(MAX((J50-L50+N50-Q50),0)))</f>
        <v/>
      </c>
      <c r="BR50" s="82">
        <f>IFERROR(ABS(BK50/BQ50),0)</f>
        <v/>
      </c>
      <c r="BS50" s="34">
        <f>IF(BR50&lt;=0.1,0,BK50/BR50*(BR50-0.1))</f>
        <v/>
      </c>
      <c r="BT50" s="34">
        <f>IF((BS50)&lt;0,MAX(F50:G50)*(BS50)*1.03,MIN(F50:G50)*(BS50)*0.97)</f>
        <v/>
      </c>
      <c r="BU50" s="34">
        <f>IF(BR50&gt;0.1,1,0)</f>
        <v/>
      </c>
      <c r="BV50" s="34">
        <f>BF50+BG50+BH50+BY50-CA50</f>
        <v/>
      </c>
      <c r="BW50" s="34">
        <f>ABS(BX50)</f>
        <v/>
      </c>
      <c r="BX50" s="34">
        <f>AY50-(J50-L50+N50-Q50+T50-X50)</f>
        <v/>
      </c>
      <c r="BY50" s="34">
        <f>IF(AND(BX50&gt;0,MIN($F50:$G50)&lt;150,$E50="Enerji Açığı"),-100*BX50*1.03,IF(AND(BX50&gt;0,MIN($F50:$G50)&lt;150,$E50="Enerji Fazlası"),-100*BX50*1.06,IF(AND(BX50&gt;0,MIN($F50:$G50)&gt;=150,$E50="Enerji Açığı"),BX50*MIN($F50:$G50)*0.97,IF(AND(BX50&gt;0,MIN($F50:$G50)&gt;=150,$E50="Enerji Fazlası"),BX50*MIN($F50:$G50)*0.94,IF(AND(BX50&lt;0,MAX($F50:$G50)=4500,$E50="Enerji Açığı"),4500*1.05*1.06*BX50,IF(AND(BX50&lt;0,MAX($F50:$G50)=4500,$E50="Enerji Fazlası"),4500*1.05*1.03*BX50,IF(AND(BX50&lt;0,$E50="Enerji Açığı"),MAX($F50,$G50,150)*BX50*1.06,IF(AND(BX50&lt;0,$E50="Enerji Fazlası"),MAX($F50,$G50,150)*BX50*1.03,IF(AND(BX50&lt;0,$E50="Dengede"),MAX($F50:$G50,150)*1.03*BX50,MIN($F50:$G50)*0.97*BX50)))))))))</f>
        <v/>
      </c>
      <c r="BZ50" s="34">
        <f>BE50-BV50-CA50</f>
        <v/>
      </c>
      <c r="CA50" s="34">
        <f>BD50</f>
        <v/>
      </c>
      <c r="CB50" s="33">
        <f>BE50-BV50</f>
        <v/>
      </c>
      <c r="CC50" s="34">
        <f>IF(AY50=0,0,CB50/AY50)</f>
        <v/>
      </c>
      <c r="CD50" s="34">
        <f>MAX((AY50+MAX((-J50+L50-N50+Q50-T50+X50),0)),(MAX((J50-L50+N50-Q50+T50-X50),0)))</f>
        <v/>
      </c>
      <c r="CE50" s="82">
        <f>IFERROR(ABS(BX50/CD50),0)</f>
        <v/>
      </c>
      <c r="CF50" s="34">
        <f>IF(CE50&lt;=0.1,0,BX50/CE50*(CE50-0.1))</f>
        <v/>
      </c>
      <c r="CG50" s="34">
        <f>IF((CF50)&lt;0,MAX(F50:G50)*(CF50)*1.03,MIN(F50:G50)*(CF50)*0.97)</f>
        <v/>
      </c>
      <c r="CH50" s="34">
        <f>IF(CE50&gt;0.1,1,0)</f>
        <v/>
      </c>
      <c r="CI50" s="34">
        <f>(F50*BX50)-BY50</f>
        <v/>
      </c>
      <c r="CJ50" s="34">
        <f>IF(AY50=0,0,CI50/AY50)</f>
        <v/>
      </c>
    </row>
    <row r="51">
      <c r="A51" s="29" t="n">
        <v>46206</v>
      </c>
      <c r="B51" s="29" t="inlineStr">
        <is>
          <t>00:00</t>
        </is>
      </c>
      <c r="C51" s="35">
        <f>INT(A51)</f>
        <v/>
      </c>
      <c r="D51" s="36">
        <f>MONTH(A51)</f>
        <v/>
      </c>
      <c r="E51" s="147" t="inlineStr">
        <is>
          <t>Enerji Açığı</t>
        </is>
      </c>
      <c r="F51" s="30" t="n">
        <v>3500.99</v>
      </c>
      <c r="G51" s="30" t="n">
        <v>3600</v>
      </c>
      <c r="H51" s="30" t="n">
        <v>75.15000000000001</v>
      </c>
      <c r="I51" s="30" t="n">
        <v>3407.05</v>
      </c>
      <c r="J51" s="119" t="n">
        <v>0</v>
      </c>
      <c r="K51" s="34">
        <f>F51*J51</f>
        <v/>
      </c>
      <c r="L51" s="119" t="n">
        <v>0</v>
      </c>
      <c r="M51" s="34">
        <f>L51*F51</f>
        <v/>
      </c>
      <c r="N51" s="119" t="n">
        <v>19</v>
      </c>
      <c r="O51" s="34">
        <f>F51</f>
        <v/>
      </c>
      <c r="P51" s="34">
        <f>N51*O51</f>
        <v/>
      </c>
      <c r="Q51" s="119" t="n">
        <v>0</v>
      </c>
      <c r="R51" s="34">
        <f>F51</f>
        <v/>
      </c>
      <c r="S51" s="34">
        <f>R51*Q51</f>
        <v/>
      </c>
      <c r="T51" s="34" t="n"/>
      <c r="U51" s="34">
        <f>IFERROR(W51/T51,0)</f>
        <v/>
      </c>
      <c r="V51" s="34">
        <f>IF(U51=0,0,U51-F51)</f>
        <v/>
      </c>
      <c r="W51" s="34" t="n"/>
      <c r="X51" s="34" t="n"/>
      <c r="Y51" s="34">
        <f>IFERROR(AA51/X51,0)</f>
        <v/>
      </c>
      <c r="Z51" s="34">
        <f>IF(Y51=0,0,F51-Y51)</f>
        <v/>
      </c>
      <c r="AA51" s="34" t="n"/>
      <c r="AB51" s="34" t="n">
        <v>0</v>
      </c>
      <c r="AC51" s="34" t="n">
        <v>0</v>
      </c>
      <c r="AD51" s="34">
        <f>IF(AB51&gt;AC51*1.05,AB51-AC51*1.05,IF(AB51&lt;AC51*0.95,AC51*0.95-AB51,0))</f>
        <v/>
      </c>
      <c r="AE51" s="34">
        <f>MAX(F51,G51,750)*0.05*AD51</f>
        <v/>
      </c>
      <c r="AF51" s="34" t="n">
        <v>0</v>
      </c>
      <c r="AG51" s="34">
        <f>IF(AB51&gt;AF51*1.05,AB51-AF51*1.05,IF(AB51&lt;AF51*0.95,AF51*0.95-AB51,0))</f>
        <v/>
      </c>
      <c r="AH51" s="34">
        <f>MAX(I51,J51,750)*0.05*AG51</f>
        <v/>
      </c>
      <c r="AI51" t="n">
        <v>10.15</v>
      </c>
      <c r="AJ51" t="n">
        <v>8</v>
      </c>
      <c r="AK51" s="34">
        <f>IF(AI51&gt;AJ51*1.05,AI51-AJ51*1.05,IF(AI51&lt;AJ51*0.95,AJ51*0.95-AI51,0))</f>
        <v/>
      </c>
      <c r="AL51" s="34">
        <f>MAX(F51,G51,750)*0.05*AK51</f>
        <v/>
      </c>
      <c r="AM51" s="39" t="n">
        <v>10</v>
      </c>
      <c r="AN51" s="34">
        <f>IF(AI51&gt;AM51*1.05,AI51-AM51*1.05,IF(AI51&lt;AM51*0.95,AM51*0.95-AI51,0))</f>
        <v/>
      </c>
      <c r="AO51" s="34">
        <f>MAX(F51,G51,750)*0.05*AN51</f>
        <v/>
      </c>
      <c r="AP51" s="34" t="n">
        <v>12.1</v>
      </c>
      <c r="AQ51" s="34" t="n">
        <v>11</v>
      </c>
      <c r="AR51" s="34">
        <f>IF(AP51&gt;AQ51*1.05,AP51-AQ51*1.05,IF(AP51&lt;AQ51*0.95,AQ51*0.95-AP51,0))</f>
        <v/>
      </c>
      <c r="AS51" s="34">
        <f>MAX(F51:G51,750)*0.05*AR51</f>
        <v/>
      </c>
      <c r="AT51" t="n">
        <v>12</v>
      </c>
      <c r="AU51" s="34">
        <f>IF(AP51&gt;AT51*1.05,AP51-AT51*1.05,IF(AP51&lt;AT51*0.95,AT51*0.95-AP51,0))</f>
        <v/>
      </c>
      <c r="AV51" s="34">
        <f>MAX(F51:G51,750)*0.05*AU51</f>
        <v/>
      </c>
      <c r="AW51" s="34">
        <f>AC51+AJ51+AQ51</f>
        <v/>
      </c>
      <c r="AX51" s="34">
        <f>AF51+AM51+AT51</f>
        <v/>
      </c>
      <c r="AY51" s="34">
        <f>AB51+AI51+AP51</f>
        <v/>
      </c>
      <c r="AZ51" s="34" t="n">
        <v>0</v>
      </c>
      <c r="BA51" s="34">
        <f>AD51+AK51+AR51</f>
        <v/>
      </c>
      <c r="BB51" s="34">
        <f>MAX(F51:G51,750)*0.05*BA51</f>
        <v/>
      </c>
      <c r="BC51" s="34">
        <f>AG51+AN51+AU51</f>
        <v/>
      </c>
      <c r="BD51" s="34">
        <f>MAX(F51:G51,750)*0.05*BC51</f>
        <v/>
      </c>
      <c r="BE51" s="34">
        <f>F51*AY51</f>
        <v/>
      </c>
      <c r="BF51" s="34">
        <f>K51-M51</f>
        <v/>
      </c>
      <c r="BG51" s="34">
        <f>P51-S51</f>
        <v/>
      </c>
      <c r="BH51" s="34">
        <f>W51-AA51</f>
        <v/>
      </c>
      <c r="BI51" s="34">
        <f>BF51+BG51+BL51-BN51</f>
        <v/>
      </c>
      <c r="BJ51" s="34">
        <f>ABS(BK51)</f>
        <v/>
      </c>
      <c r="BK51" s="34">
        <f>AY51-(J51-L51+N51-Q51)</f>
        <v/>
      </c>
      <c r="BL51" s="34">
        <f>IF(AND(BK51&gt;0,MIN($F51:$G51)&lt;150,$E51="Enerji Açığı"),-100*BK51*1.03,IF(AND(BK51&gt;0,MIN($F51:$G51)&lt;150,$E51="Enerji Fazlası"),-100*BK51*1.06,IF(AND(BK51&gt;0,MIN($F51:$G51)&gt;=150,$E51="Enerji Açığı"),BK51*MIN($F51:$G51)*0.97,IF(AND(BK51&gt;0,MIN($F51:$G51)&gt;=150,$E51="Enerji Fazlası"),BK51*MIN($F51:$G51)*0.94,IF(AND(BK51&lt;0,MAX($F51:$G51)=4500,$E51="Enerji Açığı"),4500*1.05*1.06*BK51,IF(AND(BK51&lt;0,MAX($F51:$G51)=4500,$E51="Enerji Fazlası"),4500*1.05*1.03*BK51,IF(AND(BK51&lt;0,$E51="Enerji Açığı"),MAX($F51,$G51,150)*BK51*1.06,IF(AND(BK51&lt;0,$E51="Enerji Fazlası"),MAX($F51,$G51,150)*BK51*1.03,IF(AND(BK51&lt;0,$E51="Dengede"),MAX($F51:$G51,150)*1.03*BK51,MIN($F51:$G51)*0.97*BK51)))))))))</f>
        <v/>
      </c>
      <c r="BM51" s="34">
        <f>BE51-BI51-BN51</f>
        <v/>
      </c>
      <c r="BN51" s="34">
        <f>BB51</f>
        <v/>
      </c>
      <c r="BO51" s="34">
        <f>BE51-BI51</f>
        <v/>
      </c>
      <c r="BP51" s="34">
        <f>IF(AY51=0,0,BO51/AY51)</f>
        <v/>
      </c>
      <c r="BQ51" s="34">
        <f>MAX((AY51+MAX((-J51+L51-N51+Q51),0)),(MAX((J51-L51+N51-Q51),0)))</f>
        <v/>
      </c>
      <c r="BR51" s="82">
        <f>IFERROR(ABS(BK51/BQ51),0)</f>
        <v/>
      </c>
      <c r="BS51" s="34">
        <f>IF(BR51&lt;=0.1,0,BK51/BR51*(BR51-0.1))</f>
        <v/>
      </c>
      <c r="BT51" s="34">
        <f>IF((BS51)&lt;0,MAX(F51:G51)*(BS51)*1.03,MIN(F51:G51)*(BS51)*0.97)</f>
        <v/>
      </c>
      <c r="BU51" s="34">
        <f>IF(BR51&gt;0.1,1,0)</f>
        <v/>
      </c>
      <c r="BV51" s="34">
        <f>BF51+BG51+BH51+BY51-CA51</f>
        <v/>
      </c>
      <c r="BW51" s="34">
        <f>ABS(BX51)</f>
        <v/>
      </c>
      <c r="BX51" s="34">
        <f>AY51-(J51-L51+N51-Q51+T51-X51)</f>
        <v/>
      </c>
      <c r="BY51" s="34">
        <f>IF(AND(BX51&gt;0,MIN($F51:$G51)&lt;150,$E51="Enerji Açığı"),-100*BX51*1.03,IF(AND(BX51&gt;0,MIN($F51:$G51)&lt;150,$E51="Enerji Fazlası"),-100*BX51*1.06,IF(AND(BX51&gt;0,MIN($F51:$G51)&gt;=150,$E51="Enerji Açığı"),BX51*MIN($F51:$G51)*0.97,IF(AND(BX51&gt;0,MIN($F51:$G51)&gt;=150,$E51="Enerji Fazlası"),BX51*MIN($F51:$G51)*0.94,IF(AND(BX51&lt;0,MAX($F51:$G51)=4500,$E51="Enerji Açığı"),4500*1.05*1.06*BX51,IF(AND(BX51&lt;0,MAX($F51:$G51)=4500,$E51="Enerji Fazlası"),4500*1.05*1.03*BX51,IF(AND(BX51&lt;0,$E51="Enerji Açığı"),MAX($F51,$G51,150)*BX51*1.06,IF(AND(BX51&lt;0,$E51="Enerji Fazlası"),MAX($F51,$G51,150)*BX51*1.03,IF(AND(BX51&lt;0,$E51="Dengede"),MAX($F51:$G51,150)*1.03*BX51,MIN($F51:$G51)*0.97*BX51)))))))))</f>
        <v/>
      </c>
      <c r="BZ51" s="34">
        <f>BE51-BV51-CA51</f>
        <v/>
      </c>
      <c r="CA51" s="34">
        <f>BD51</f>
        <v/>
      </c>
      <c r="CB51" s="33">
        <f>BE51-BV51</f>
        <v/>
      </c>
      <c r="CC51" s="34">
        <f>IF(AY51=0,0,CB51/AY51)</f>
        <v/>
      </c>
      <c r="CD51" s="34">
        <f>MAX((AY51+MAX((-J51+L51-N51+Q51-T51+X51),0)),(MAX((J51-L51+N51-Q51+T51-X51),0)))</f>
        <v/>
      </c>
      <c r="CE51" s="82">
        <f>IFERROR(ABS(BX51/CD51),0)</f>
        <v/>
      </c>
      <c r="CF51" s="34">
        <f>IF(CE51&lt;=0.1,0,BX51/CE51*(CE51-0.1))</f>
        <v/>
      </c>
      <c r="CG51" s="34">
        <f>IF((CF51)&lt;0,MAX(F51:G51)*(CF51)*1.03,MIN(F51:G51)*(CF51)*0.97)</f>
        <v/>
      </c>
      <c r="CH51" s="34">
        <f>IF(CE51&gt;0.1,1,0)</f>
        <v/>
      </c>
      <c r="CI51" s="34">
        <f>(F51*BX51)-BY51</f>
        <v/>
      </c>
      <c r="CJ51" s="34">
        <f>IF(AY51=0,0,CI51/AY51)</f>
        <v/>
      </c>
    </row>
    <row r="52">
      <c r="A52" s="29" t="n">
        <v>46206.04166666666</v>
      </c>
      <c r="B52" s="29" t="inlineStr">
        <is>
          <t>01:00</t>
        </is>
      </c>
      <c r="C52" s="35">
        <f>INT(A52)</f>
        <v/>
      </c>
      <c r="D52" s="36">
        <f>MONTH(A52)</f>
        <v/>
      </c>
      <c r="E52" s="147" t="inlineStr">
        <is>
          <t>Enerji Açığı</t>
        </is>
      </c>
      <c r="F52" s="30" t="n">
        <v>3000</v>
      </c>
      <c r="G52" s="30" t="n">
        <v>3101</v>
      </c>
      <c r="H52" s="30" t="n">
        <v>64.40000000000001</v>
      </c>
      <c r="I52" s="30" t="n">
        <v>3123.55</v>
      </c>
      <c r="J52" s="119" t="n">
        <v>0</v>
      </c>
      <c r="K52" s="34">
        <f>F52*J52</f>
        <v/>
      </c>
      <c r="L52" s="119" t="n">
        <v>0</v>
      </c>
      <c r="M52" s="34">
        <f>L52*F52</f>
        <v/>
      </c>
      <c r="N52" s="119" t="n">
        <v>19</v>
      </c>
      <c r="O52" s="34">
        <f>F52</f>
        <v/>
      </c>
      <c r="P52" s="34">
        <f>N52*O52</f>
        <v/>
      </c>
      <c r="Q52" s="119" t="n">
        <v>0</v>
      </c>
      <c r="R52" s="34">
        <f>F52</f>
        <v/>
      </c>
      <c r="S52" s="34">
        <f>R52*Q52</f>
        <v/>
      </c>
      <c r="T52" s="34" t="n"/>
      <c r="U52" s="34">
        <f>IFERROR(W52/T52,0)</f>
        <v/>
      </c>
      <c r="V52" s="34">
        <f>IF(U52=0,0,U52-F52)</f>
        <v/>
      </c>
      <c r="W52" s="34" t="n"/>
      <c r="X52" s="34" t="n"/>
      <c r="Y52" s="34">
        <f>IFERROR(AA52/X52,0)</f>
        <v/>
      </c>
      <c r="Z52" s="34">
        <f>IF(Y52=0,0,F52-Y52)</f>
        <v/>
      </c>
      <c r="AA52" s="34" t="n"/>
      <c r="AB52" s="34" t="n">
        <v>0</v>
      </c>
      <c r="AC52" s="34" t="n">
        <v>0</v>
      </c>
      <c r="AD52" s="34">
        <f>IF(AB52&gt;AC52*1.05,AB52-AC52*1.05,IF(AB52&lt;AC52*0.95,AC52*0.95-AB52,0))</f>
        <v/>
      </c>
      <c r="AE52" s="34">
        <f>MAX(F52,G52,750)*0.05*AD52</f>
        <v/>
      </c>
      <c r="AF52" s="34" t="n">
        <v>0</v>
      </c>
      <c r="AG52" s="34">
        <f>IF(AB52&gt;AF52*1.05,AB52-AF52*1.05,IF(AB52&lt;AF52*0.95,AF52*0.95-AB52,0))</f>
        <v/>
      </c>
      <c r="AH52" s="34">
        <f>MAX(I52,J52,750)*0.05*AG52</f>
        <v/>
      </c>
      <c r="AI52" t="n">
        <v>8.16</v>
      </c>
      <c r="AJ52" t="n">
        <v>8</v>
      </c>
      <c r="AK52" s="34">
        <f>IF(AI52&gt;AJ52*1.05,AI52-AJ52*1.05,IF(AI52&lt;AJ52*0.95,AJ52*0.95-AI52,0))</f>
        <v/>
      </c>
      <c r="AL52" s="34">
        <f>MAX(F52,G52,750)*0.05*AK52</f>
        <v/>
      </c>
      <c r="AM52" s="39" t="n">
        <v>8</v>
      </c>
      <c r="AN52" s="34">
        <f>IF(AI52&gt;AM52*1.05,AI52-AM52*1.05,IF(AI52&lt;AM52*0.95,AM52*0.95-AI52,0))</f>
        <v/>
      </c>
      <c r="AO52" s="34">
        <f>MAX(F52,G52,750)*0.05*AN52</f>
        <v/>
      </c>
      <c r="AP52" s="34" t="n">
        <v>12.12</v>
      </c>
      <c r="AQ52" s="34" t="n">
        <v>11</v>
      </c>
      <c r="AR52" s="34">
        <f>IF(AP52&gt;AQ52*1.05,AP52-AQ52*1.05,IF(AP52&lt;AQ52*0.95,AQ52*0.95-AP52,0))</f>
        <v/>
      </c>
      <c r="AS52" s="34">
        <f>MAX(F52:G52,750)*0.05*AR52</f>
        <v/>
      </c>
      <c r="AT52" t="n">
        <v>12</v>
      </c>
      <c r="AU52" s="34">
        <f>IF(AP52&gt;AT52*1.05,AP52-AT52*1.05,IF(AP52&lt;AT52*0.95,AT52*0.95-AP52,0))</f>
        <v/>
      </c>
      <c r="AV52" s="34">
        <f>MAX(F52:G52,750)*0.05*AU52</f>
        <v/>
      </c>
      <c r="AW52" s="34">
        <f>AC52+AJ52+AQ52</f>
        <v/>
      </c>
      <c r="AX52" s="34">
        <f>AF52+AM52+AT52</f>
        <v/>
      </c>
      <c r="AY52" s="34">
        <f>AB52+AI52+AP52</f>
        <v/>
      </c>
      <c r="AZ52" s="34" t="n">
        <v>0</v>
      </c>
      <c r="BA52" s="34">
        <f>AD52+AK52+AR52</f>
        <v/>
      </c>
      <c r="BB52" s="34">
        <f>MAX(F52:G52,750)*0.05*BA52</f>
        <v/>
      </c>
      <c r="BC52" s="34">
        <f>AG52+AN52+AU52</f>
        <v/>
      </c>
      <c r="BD52" s="34">
        <f>MAX(F52:G52,750)*0.05*BC52</f>
        <v/>
      </c>
      <c r="BE52" s="34">
        <f>F52*AY52</f>
        <v/>
      </c>
      <c r="BF52" s="34">
        <f>K52-M52</f>
        <v/>
      </c>
      <c r="BG52" s="34">
        <f>P52-S52</f>
        <v/>
      </c>
      <c r="BH52" s="34">
        <f>W52-AA52</f>
        <v/>
      </c>
      <c r="BI52" s="34">
        <f>BF52+BG52+BL52-BN52</f>
        <v/>
      </c>
      <c r="BJ52" s="34">
        <f>ABS(BK52)</f>
        <v/>
      </c>
      <c r="BK52" s="34">
        <f>AY52-(J52-L52+N52-Q52)</f>
        <v/>
      </c>
      <c r="BL52" s="34">
        <f>IF(AND(BK52&gt;0,MIN($F52:$G52)&lt;150,$E52="Enerji Açığı"),-100*BK52*1.03,IF(AND(BK52&gt;0,MIN($F52:$G52)&lt;150,$E52="Enerji Fazlası"),-100*BK52*1.06,IF(AND(BK52&gt;0,MIN($F52:$G52)&gt;=150,$E52="Enerji Açığı"),BK52*MIN($F52:$G52)*0.97,IF(AND(BK52&gt;0,MIN($F52:$G52)&gt;=150,$E52="Enerji Fazlası"),BK52*MIN($F52:$G52)*0.94,IF(AND(BK52&lt;0,MAX($F52:$G52)=4500,$E52="Enerji Açığı"),4500*1.05*1.06*BK52,IF(AND(BK52&lt;0,MAX($F52:$G52)=4500,$E52="Enerji Fazlası"),4500*1.05*1.03*BK52,IF(AND(BK52&lt;0,$E52="Enerji Açığı"),MAX($F52,$G52,150)*BK52*1.06,IF(AND(BK52&lt;0,$E52="Enerji Fazlası"),MAX($F52,$G52,150)*BK52*1.03,IF(AND(BK52&lt;0,$E52="Dengede"),MAX($F52:$G52,150)*1.03*BK52,MIN($F52:$G52)*0.97*BK52)))))))))</f>
        <v/>
      </c>
      <c r="BM52" s="34">
        <f>BE52-BI52-BN52</f>
        <v/>
      </c>
      <c r="BN52" s="34">
        <f>BB52</f>
        <v/>
      </c>
      <c r="BO52" s="34">
        <f>BE52-BI52</f>
        <v/>
      </c>
      <c r="BP52" s="34">
        <f>IF(AY52=0,0,BO52/AY52)</f>
        <v/>
      </c>
      <c r="BQ52" s="34">
        <f>MAX((AY52+MAX((-J52+L52-N52+Q52),0)),(MAX((J52-L52+N52-Q52),0)))</f>
        <v/>
      </c>
      <c r="BR52" s="82">
        <f>IFERROR(ABS(BK52/BQ52),0)</f>
        <v/>
      </c>
      <c r="BS52" s="34">
        <f>IF(BR52&lt;=0.1,0,BK52/BR52*(BR52-0.1))</f>
        <v/>
      </c>
      <c r="BT52" s="34">
        <f>IF((BS52)&lt;0,MAX(F52:G52)*(BS52)*1.03,MIN(F52:G52)*(BS52)*0.97)</f>
        <v/>
      </c>
      <c r="BU52" s="34">
        <f>IF(BR52&gt;0.1,1,0)</f>
        <v/>
      </c>
      <c r="BV52" s="34">
        <f>BF52+BG52+BH52+BY52-CA52</f>
        <v/>
      </c>
      <c r="BW52" s="34">
        <f>ABS(BX52)</f>
        <v/>
      </c>
      <c r="BX52" s="34">
        <f>AY52-(J52-L52+N52-Q52+T52-X52)</f>
        <v/>
      </c>
      <c r="BY52" s="34">
        <f>IF(AND(BX52&gt;0,MIN($F52:$G52)&lt;150,$E52="Enerji Açığı"),-100*BX52*1.03,IF(AND(BX52&gt;0,MIN($F52:$G52)&lt;150,$E52="Enerji Fazlası"),-100*BX52*1.06,IF(AND(BX52&gt;0,MIN($F52:$G52)&gt;=150,$E52="Enerji Açığı"),BX52*MIN($F52:$G52)*0.97,IF(AND(BX52&gt;0,MIN($F52:$G52)&gt;=150,$E52="Enerji Fazlası"),BX52*MIN($F52:$G52)*0.94,IF(AND(BX52&lt;0,MAX($F52:$G52)=4500,$E52="Enerji Açığı"),4500*1.05*1.06*BX52,IF(AND(BX52&lt;0,MAX($F52:$G52)=4500,$E52="Enerji Fazlası"),4500*1.05*1.03*BX52,IF(AND(BX52&lt;0,$E52="Enerji Açığı"),MAX($F52,$G52,150)*BX52*1.06,IF(AND(BX52&lt;0,$E52="Enerji Fazlası"),MAX($F52,$G52,150)*BX52*1.03,IF(AND(BX52&lt;0,$E52="Dengede"),MAX($F52:$G52,150)*1.03*BX52,MIN($F52:$G52)*0.97*BX52)))))))))</f>
        <v/>
      </c>
      <c r="BZ52" s="34">
        <f>BE52-BV52-CA52</f>
        <v/>
      </c>
      <c r="CA52" s="34">
        <f>BD52</f>
        <v/>
      </c>
      <c r="CB52" s="33">
        <f>BE52-BV52</f>
        <v/>
      </c>
      <c r="CC52" s="34">
        <f>IF(AY52=0,0,CB52/AY52)</f>
        <v/>
      </c>
      <c r="CD52" s="34">
        <f>MAX((AY52+MAX((-J52+L52-N52+Q52-T52+X52),0)),(MAX((J52-L52+N52-Q52+T52-X52),0)))</f>
        <v/>
      </c>
      <c r="CE52" s="82">
        <f>IFERROR(ABS(BX52/CD52),0)</f>
        <v/>
      </c>
      <c r="CF52" s="34">
        <f>IF(CE52&lt;=0.1,0,BX52/CE52*(CE52-0.1))</f>
        <v/>
      </c>
      <c r="CG52" s="34">
        <f>IF((CF52)&lt;0,MAX(F52:G52)*(CF52)*1.03,MIN(F52:G52)*(CF52)*0.97)</f>
        <v/>
      </c>
      <c r="CH52" s="34">
        <f>IF(CE52&gt;0.1,1,0)</f>
        <v/>
      </c>
      <c r="CI52" s="34">
        <f>(F52*BX52)-BY52</f>
        <v/>
      </c>
      <c r="CJ52" s="34">
        <f>IF(AY52=0,0,CI52/AY52)</f>
        <v/>
      </c>
    </row>
    <row r="53">
      <c r="A53" s="29" t="n">
        <v>46206.08333333334</v>
      </c>
      <c r="B53" s="29" t="inlineStr">
        <is>
          <t>02:00</t>
        </is>
      </c>
      <c r="C53" s="35">
        <f>INT(A53)</f>
        <v/>
      </c>
      <c r="D53" s="36">
        <f>MONTH(A53)</f>
        <v/>
      </c>
      <c r="E53" s="147" t="inlineStr">
        <is>
          <t>Enerji Açığı</t>
        </is>
      </c>
      <c r="F53" s="30" t="n">
        <v>3499.99</v>
      </c>
      <c r="G53" s="30" t="n">
        <v>3800</v>
      </c>
      <c r="H53" s="30" t="n">
        <v>75.13</v>
      </c>
      <c r="I53" s="30" t="n">
        <v>3584.52</v>
      </c>
      <c r="J53" s="119" t="n">
        <v>0</v>
      </c>
      <c r="K53" s="34">
        <f>F53*J53</f>
        <v/>
      </c>
      <c r="L53" s="119" t="n">
        <v>0</v>
      </c>
      <c r="M53" s="34">
        <f>L53*F53</f>
        <v/>
      </c>
      <c r="N53" s="119" t="n">
        <v>19</v>
      </c>
      <c r="O53" s="34">
        <f>F53</f>
        <v/>
      </c>
      <c r="P53" s="34">
        <f>N53*O53</f>
        <v/>
      </c>
      <c r="Q53" s="119" t="n">
        <v>0</v>
      </c>
      <c r="R53" s="34">
        <f>F53</f>
        <v/>
      </c>
      <c r="S53" s="34">
        <f>R53*Q53</f>
        <v/>
      </c>
      <c r="T53" s="34" t="n"/>
      <c r="U53" s="34">
        <f>IFERROR(W53/T53,0)</f>
        <v/>
      </c>
      <c r="V53" s="34">
        <f>IF(U53=0,0,U53-F53)</f>
        <v/>
      </c>
      <c r="W53" s="34" t="n"/>
      <c r="X53" s="34" t="n"/>
      <c r="Y53" s="34">
        <f>IFERROR(AA53/X53,0)</f>
        <v/>
      </c>
      <c r="Z53" s="34">
        <f>IF(Y53=0,0,F53-Y53)</f>
        <v/>
      </c>
      <c r="AA53" s="34" t="n"/>
      <c r="AB53" s="34" t="n">
        <v>0</v>
      </c>
      <c r="AC53" s="34" t="n">
        <v>0</v>
      </c>
      <c r="AD53" s="34">
        <f>IF(AB53&gt;AC53*1.05,AB53-AC53*1.05,IF(AB53&lt;AC53*0.95,AC53*0.95-AB53,0))</f>
        <v/>
      </c>
      <c r="AE53" s="34">
        <f>MAX(F53,G53,750)*0.05*AD53</f>
        <v/>
      </c>
      <c r="AF53" s="34" t="n">
        <v>0</v>
      </c>
      <c r="AG53" s="34">
        <f>IF(AB53&gt;AF53*1.05,AB53-AF53*1.05,IF(AB53&lt;AF53*0.95,AF53*0.95-AB53,0))</f>
        <v/>
      </c>
      <c r="AH53" s="34">
        <f>MAX(I53,J53,750)*0.05*AG53</f>
        <v/>
      </c>
      <c r="AI53" t="n">
        <v>9.18</v>
      </c>
      <c r="AJ53" t="n">
        <v>8</v>
      </c>
      <c r="AK53" s="34">
        <f>IF(AI53&gt;AJ53*1.05,AI53-AJ53*1.05,IF(AI53&lt;AJ53*0.95,AJ53*0.95-AI53,0))</f>
        <v/>
      </c>
      <c r="AL53" s="34">
        <f>MAX(F53,G53,750)*0.05*AK53</f>
        <v/>
      </c>
      <c r="AM53" s="39" t="n">
        <v>9</v>
      </c>
      <c r="AN53" s="34">
        <f>IF(AI53&gt;AM53*1.05,AI53-AM53*1.05,IF(AI53&lt;AM53*0.95,AM53*0.95-AI53,0))</f>
        <v/>
      </c>
      <c r="AO53" s="34">
        <f>MAX(F53,G53,750)*0.05*AN53</f>
        <v/>
      </c>
      <c r="AP53" s="34" t="n">
        <v>12.1</v>
      </c>
      <c r="AQ53" s="34" t="n">
        <v>11</v>
      </c>
      <c r="AR53" s="34">
        <f>IF(AP53&gt;AQ53*1.05,AP53-AQ53*1.05,IF(AP53&lt;AQ53*0.95,AQ53*0.95-AP53,0))</f>
        <v/>
      </c>
      <c r="AS53" s="34">
        <f>MAX(F53:G53,750)*0.05*AR53</f>
        <v/>
      </c>
      <c r="AT53" t="n">
        <v>12</v>
      </c>
      <c r="AU53" s="34">
        <f>IF(AP53&gt;AT53*1.05,AP53-AT53*1.05,IF(AP53&lt;AT53*0.95,AT53*0.95-AP53,0))</f>
        <v/>
      </c>
      <c r="AV53" s="34">
        <f>MAX(F53:G53,750)*0.05*AU53</f>
        <v/>
      </c>
      <c r="AW53" s="34">
        <f>AC53+AJ53+AQ53</f>
        <v/>
      </c>
      <c r="AX53" s="34">
        <f>AF53+AM53+AT53</f>
        <v/>
      </c>
      <c r="AY53" s="34">
        <f>AB53+AI53+AP53</f>
        <v/>
      </c>
      <c r="AZ53" s="34" t="n">
        <v>0</v>
      </c>
      <c r="BA53" s="34">
        <f>AD53+AK53+AR53</f>
        <v/>
      </c>
      <c r="BB53" s="34">
        <f>MAX(F53:G53,750)*0.05*BA53</f>
        <v/>
      </c>
      <c r="BC53" s="34">
        <f>AG53+AN53+AU53</f>
        <v/>
      </c>
      <c r="BD53" s="34">
        <f>MAX(F53:G53,750)*0.05*BC53</f>
        <v/>
      </c>
      <c r="BE53" s="34">
        <f>F53*AY53</f>
        <v/>
      </c>
      <c r="BF53" s="34">
        <f>K53-M53</f>
        <v/>
      </c>
      <c r="BG53" s="34">
        <f>P53-S53</f>
        <v/>
      </c>
      <c r="BH53" s="34">
        <f>W53-AA53</f>
        <v/>
      </c>
      <c r="BI53" s="34">
        <f>BF53+BG53+BL53-BN53</f>
        <v/>
      </c>
      <c r="BJ53" s="34">
        <f>ABS(BK53)</f>
        <v/>
      </c>
      <c r="BK53" s="34">
        <f>AY53-(J53-L53+N53-Q53)</f>
        <v/>
      </c>
      <c r="BL53" s="34">
        <f>IF(AND(BK53&gt;0,MIN($F53:$G53)&lt;150,$E53="Enerji Açığı"),-100*BK53*1.03,IF(AND(BK53&gt;0,MIN($F53:$G53)&lt;150,$E53="Enerji Fazlası"),-100*BK53*1.06,IF(AND(BK53&gt;0,MIN($F53:$G53)&gt;=150,$E53="Enerji Açığı"),BK53*MIN($F53:$G53)*0.97,IF(AND(BK53&gt;0,MIN($F53:$G53)&gt;=150,$E53="Enerji Fazlası"),BK53*MIN($F53:$G53)*0.94,IF(AND(BK53&lt;0,MAX($F53:$G53)=4500,$E53="Enerji Açığı"),4500*1.05*1.06*BK53,IF(AND(BK53&lt;0,MAX($F53:$G53)=4500,$E53="Enerji Fazlası"),4500*1.05*1.03*BK53,IF(AND(BK53&lt;0,$E53="Enerji Açığı"),MAX($F53,$G53,150)*BK53*1.06,IF(AND(BK53&lt;0,$E53="Enerji Fazlası"),MAX($F53,$G53,150)*BK53*1.03,IF(AND(BK53&lt;0,$E53="Dengede"),MAX($F53:$G53,150)*1.03*BK53,MIN($F53:$G53)*0.97*BK53)))))))))</f>
        <v/>
      </c>
      <c r="BM53" s="34">
        <f>BE53-BI53-BN53</f>
        <v/>
      </c>
      <c r="BN53" s="34">
        <f>BB53</f>
        <v/>
      </c>
      <c r="BO53" s="34">
        <f>BE53-BI53</f>
        <v/>
      </c>
      <c r="BP53" s="34">
        <f>IF(AY53=0,0,BO53/AY53)</f>
        <v/>
      </c>
      <c r="BQ53" s="34">
        <f>MAX((AY53+MAX((-J53+L53-N53+Q53),0)),(MAX((J53-L53+N53-Q53),0)))</f>
        <v/>
      </c>
      <c r="BR53" s="82">
        <f>IFERROR(ABS(BK53/BQ53),0)</f>
        <v/>
      </c>
      <c r="BS53" s="34">
        <f>IF(BR53&lt;=0.1,0,BK53/BR53*(BR53-0.1))</f>
        <v/>
      </c>
      <c r="BT53" s="34">
        <f>IF((BS53)&lt;0,MAX(F53:G53)*(BS53)*1.03,MIN(F53:G53)*(BS53)*0.97)</f>
        <v/>
      </c>
      <c r="BU53" s="34">
        <f>IF(BR53&gt;0.1,1,0)</f>
        <v/>
      </c>
      <c r="BV53" s="34">
        <f>BF53+BG53+BH53+BY53-CA53</f>
        <v/>
      </c>
      <c r="BW53" s="34">
        <f>ABS(BX53)</f>
        <v/>
      </c>
      <c r="BX53" s="34">
        <f>AY53-(J53-L53+N53-Q53+T53-X53)</f>
        <v/>
      </c>
      <c r="BY53" s="34">
        <f>IF(AND(BX53&gt;0,MIN($F53:$G53)&lt;150,$E53="Enerji Açığı"),-100*BX53*1.03,IF(AND(BX53&gt;0,MIN($F53:$G53)&lt;150,$E53="Enerji Fazlası"),-100*BX53*1.06,IF(AND(BX53&gt;0,MIN($F53:$G53)&gt;=150,$E53="Enerji Açığı"),BX53*MIN($F53:$G53)*0.97,IF(AND(BX53&gt;0,MIN($F53:$G53)&gt;=150,$E53="Enerji Fazlası"),BX53*MIN($F53:$G53)*0.94,IF(AND(BX53&lt;0,MAX($F53:$G53)=4500,$E53="Enerji Açığı"),4500*1.05*1.06*BX53,IF(AND(BX53&lt;0,MAX($F53:$G53)=4500,$E53="Enerji Fazlası"),4500*1.05*1.03*BX53,IF(AND(BX53&lt;0,$E53="Enerji Açığı"),MAX($F53,$G53,150)*BX53*1.06,IF(AND(BX53&lt;0,$E53="Enerji Fazlası"),MAX($F53,$G53,150)*BX53*1.03,IF(AND(BX53&lt;0,$E53="Dengede"),MAX($F53:$G53,150)*1.03*BX53,MIN($F53:$G53)*0.97*BX53)))))))))</f>
        <v/>
      </c>
      <c r="BZ53" s="34">
        <f>BE53-BV53-CA53</f>
        <v/>
      </c>
      <c r="CA53" s="34">
        <f>BD53</f>
        <v/>
      </c>
      <c r="CB53" s="33">
        <f>BE53-BV53</f>
        <v/>
      </c>
      <c r="CC53" s="34">
        <f>IF(AY53=0,0,CB53/AY53)</f>
        <v/>
      </c>
      <c r="CD53" s="34">
        <f>MAX((AY53+MAX((-J53+L53-N53+Q53-T53+X53),0)),(MAX((J53-L53+N53-Q53+T53-X53),0)))</f>
        <v/>
      </c>
      <c r="CE53" s="82">
        <f>IFERROR(ABS(BX53/CD53),0)</f>
        <v/>
      </c>
      <c r="CF53" s="34">
        <f>IF(CE53&lt;=0.1,0,BX53/CE53*(CE53-0.1))</f>
        <v/>
      </c>
      <c r="CG53" s="34">
        <f>IF((CF53)&lt;0,MAX(F53:G53)*(CF53)*1.03,MIN(F53:G53)*(CF53)*0.97)</f>
        <v/>
      </c>
      <c r="CH53" s="34">
        <f>IF(CE53&gt;0.1,1,0)</f>
        <v/>
      </c>
      <c r="CI53" s="34">
        <f>(F53*BX53)-BY53</f>
        <v/>
      </c>
      <c r="CJ53" s="34">
        <f>IF(AY53=0,0,CI53/AY53)</f>
        <v/>
      </c>
    </row>
    <row r="54">
      <c r="A54" s="29" t="n">
        <v>46206.125</v>
      </c>
      <c r="B54" s="29" t="inlineStr">
        <is>
          <t>03:00</t>
        </is>
      </c>
      <c r="C54" s="35">
        <f>INT(A54)</f>
        <v/>
      </c>
      <c r="D54" s="36">
        <f>MONTH(A54)</f>
        <v/>
      </c>
      <c r="E54" s="147" t="inlineStr">
        <is>
          <t>Enerji Fazlası</t>
        </is>
      </c>
      <c r="F54" s="30" t="n">
        <v>3500</v>
      </c>
      <c r="G54" s="30" t="n">
        <v>2222</v>
      </c>
      <c r="H54" s="30" t="n">
        <v>75.13</v>
      </c>
      <c r="I54" s="30" t="n">
        <v>3115.75</v>
      </c>
      <c r="J54" s="119" t="n">
        <v>0</v>
      </c>
      <c r="K54" s="34">
        <f>F54*J54</f>
        <v/>
      </c>
      <c r="L54" s="119" t="n">
        <v>0</v>
      </c>
      <c r="M54" s="34">
        <f>L54*F54</f>
        <v/>
      </c>
      <c r="N54" s="119" t="n">
        <v>19</v>
      </c>
      <c r="O54" s="34">
        <f>F54</f>
        <v/>
      </c>
      <c r="P54" s="34">
        <f>N54*O54</f>
        <v/>
      </c>
      <c r="Q54" s="119" t="n">
        <v>0</v>
      </c>
      <c r="R54" s="34">
        <f>F54</f>
        <v/>
      </c>
      <c r="S54" s="34">
        <f>R54*Q54</f>
        <v/>
      </c>
      <c r="T54" s="34" t="n"/>
      <c r="U54" s="34">
        <f>IFERROR(W54/T54,0)</f>
        <v/>
      </c>
      <c r="V54" s="34">
        <f>IF(U54=0,0,U54-F54)</f>
        <v/>
      </c>
      <c r="W54" s="34" t="n"/>
      <c r="X54" s="34" t="n"/>
      <c r="Y54" s="34">
        <f>IFERROR(AA54/X54,0)</f>
        <v/>
      </c>
      <c r="Z54" s="34">
        <f>IF(Y54=0,0,F54-Y54)</f>
        <v/>
      </c>
      <c r="AA54" s="34" t="n"/>
      <c r="AB54" s="34" t="n">
        <v>0</v>
      </c>
      <c r="AC54" s="34" t="n">
        <v>0</v>
      </c>
      <c r="AD54" s="34">
        <f>IF(AB54&gt;AC54*1.05,AB54-AC54*1.05,IF(AB54&lt;AC54*0.95,AC54*0.95-AB54,0))</f>
        <v/>
      </c>
      <c r="AE54" s="34">
        <f>MAX(F54,G54,750)*0.05*AD54</f>
        <v/>
      </c>
      <c r="AF54" s="34" t="n">
        <v>0</v>
      </c>
      <c r="AG54" s="34">
        <f>IF(AB54&gt;AF54*1.05,AB54-AF54*1.05,IF(AB54&lt;AF54*0.95,AF54*0.95-AB54,0))</f>
        <v/>
      </c>
      <c r="AH54" s="34">
        <f>MAX(I54,J54,750)*0.05*AG54</f>
        <v/>
      </c>
      <c r="AI54" t="n">
        <v>8.23</v>
      </c>
      <c r="AJ54" t="n">
        <v>8</v>
      </c>
      <c r="AK54" s="34">
        <f>IF(AI54&gt;AJ54*1.05,AI54-AJ54*1.05,IF(AI54&lt;AJ54*0.95,AJ54*0.95-AI54,0))</f>
        <v/>
      </c>
      <c r="AL54" s="34">
        <f>MAX(F54,G54,750)*0.05*AK54</f>
        <v/>
      </c>
      <c r="AM54" s="39" t="n">
        <v>8</v>
      </c>
      <c r="AN54" s="34">
        <f>IF(AI54&gt;AM54*1.05,AI54-AM54*1.05,IF(AI54&lt;AM54*0.95,AM54*0.95-AI54,0))</f>
        <v/>
      </c>
      <c r="AO54" s="34">
        <f>MAX(F54,G54,750)*0.05*AN54</f>
        <v/>
      </c>
      <c r="AP54" s="34" t="n">
        <v>12.1</v>
      </c>
      <c r="AQ54" s="34" t="n">
        <v>11</v>
      </c>
      <c r="AR54" s="34">
        <f>IF(AP54&gt;AQ54*1.05,AP54-AQ54*1.05,IF(AP54&lt;AQ54*0.95,AQ54*0.95-AP54,0))</f>
        <v/>
      </c>
      <c r="AS54" s="34">
        <f>MAX(F54:G54,750)*0.05*AR54</f>
        <v/>
      </c>
      <c r="AT54" t="n">
        <v>12</v>
      </c>
      <c r="AU54" s="34">
        <f>IF(AP54&gt;AT54*1.05,AP54-AT54*1.05,IF(AP54&lt;AT54*0.95,AT54*0.95-AP54,0))</f>
        <v/>
      </c>
      <c r="AV54" s="34">
        <f>MAX(F54:G54,750)*0.05*AU54</f>
        <v/>
      </c>
      <c r="AW54" s="34">
        <f>AC54+AJ54+AQ54</f>
        <v/>
      </c>
      <c r="AX54" s="34">
        <f>AF54+AM54+AT54</f>
        <v/>
      </c>
      <c r="AY54" s="34">
        <f>AB54+AI54+AP54</f>
        <v/>
      </c>
      <c r="AZ54" s="34" t="n">
        <v>0</v>
      </c>
      <c r="BA54" s="34">
        <f>AD54+AK54+AR54</f>
        <v/>
      </c>
      <c r="BB54" s="34">
        <f>MAX(F54:G54,750)*0.05*BA54</f>
        <v/>
      </c>
      <c r="BC54" s="34">
        <f>AG54+AN54+AU54</f>
        <v/>
      </c>
      <c r="BD54" s="34">
        <f>MAX(F54:G54,750)*0.05*BC54</f>
        <v/>
      </c>
      <c r="BE54" s="34">
        <f>F54*AY54</f>
        <v/>
      </c>
      <c r="BF54" s="34">
        <f>K54-M54</f>
        <v/>
      </c>
      <c r="BG54" s="34">
        <f>P54-S54</f>
        <v/>
      </c>
      <c r="BH54" s="34">
        <f>W54-AA54</f>
        <v/>
      </c>
      <c r="BI54" s="34">
        <f>BF54+BG54+BL54-BN54</f>
        <v/>
      </c>
      <c r="BJ54" s="34">
        <f>ABS(BK54)</f>
        <v/>
      </c>
      <c r="BK54" s="34">
        <f>AY54-(J54-L54+N54-Q54)</f>
        <v/>
      </c>
      <c r="BL54" s="34">
        <f>IF(AND(BK54&gt;0,MIN($F54:$G54)&lt;150,$E54="Enerji Açığı"),-100*BK54*1.03,IF(AND(BK54&gt;0,MIN($F54:$G54)&lt;150,$E54="Enerji Fazlası"),-100*BK54*1.06,IF(AND(BK54&gt;0,MIN($F54:$G54)&gt;=150,$E54="Enerji Açığı"),BK54*MIN($F54:$G54)*0.97,IF(AND(BK54&gt;0,MIN($F54:$G54)&gt;=150,$E54="Enerji Fazlası"),BK54*MIN($F54:$G54)*0.94,IF(AND(BK54&lt;0,MAX($F54:$G54)=4500,$E54="Enerji Açığı"),4500*1.05*1.06*BK54,IF(AND(BK54&lt;0,MAX($F54:$G54)=4500,$E54="Enerji Fazlası"),4500*1.05*1.03*BK54,IF(AND(BK54&lt;0,$E54="Enerji Açığı"),MAX($F54,$G54,150)*BK54*1.06,IF(AND(BK54&lt;0,$E54="Enerji Fazlası"),MAX($F54,$G54,150)*BK54*1.03,IF(AND(BK54&lt;0,$E54="Dengede"),MAX($F54:$G54,150)*1.03*BK54,MIN($F54:$G54)*0.97*BK54)))))))))</f>
        <v/>
      </c>
      <c r="BM54" s="34">
        <f>BE54-BI54-BN54</f>
        <v/>
      </c>
      <c r="BN54" s="34">
        <f>BB54</f>
        <v/>
      </c>
      <c r="BO54" s="34">
        <f>BE54-BI54</f>
        <v/>
      </c>
      <c r="BP54" s="34">
        <f>IF(AY54=0,0,BO54/AY54)</f>
        <v/>
      </c>
      <c r="BQ54" s="34">
        <f>MAX((AY54+MAX((-J54+L54-N54+Q54),0)),(MAX((J54-L54+N54-Q54),0)))</f>
        <v/>
      </c>
      <c r="BR54" s="82">
        <f>IFERROR(ABS(BK54/BQ54),0)</f>
        <v/>
      </c>
      <c r="BS54" s="34">
        <f>IF(BR54&lt;=0.1,0,BK54/BR54*(BR54-0.1))</f>
        <v/>
      </c>
      <c r="BT54" s="34">
        <f>IF((BS54)&lt;0,MAX(F54:G54)*(BS54)*1.03,MIN(F54:G54)*(BS54)*0.97)</f>
        <v/>
      </c>
      <c r="BU54" s="34">
        <f>IF(BR54&gt;0.1,1,0)</f>
        <v/>
      </c>
      <c r="BV54" s="34">
        <f>BF54+BG54+BH54+BY54-CA54</f>
        <v/>
      </c>
      <c r="BW54" s="34">
        <f>ABS(BX54)</f>
        <v/>
      </c>
      <c r="BX54" s="34">
        <f>AY54-(J54-L54+N54-Q54+T54-X54)</f>
        <v/>
      </c>
      <c r="BY54" s="34">
        <f>IF(AND(BX54&gt;0,MIN($F54:$G54)&lt;150,$E54="Enerji Açığı"),-100*BX54*1.03,IF(AND(BX54&gt;0,MIN($F54:$G54)&lt;150,$E54="Enerji Fazlası"),-100*BX54*1.06,IF(AND(BX54&gt;0,MIN($F54:$G54)&gt;=150,$E54="Enerji Açığı"),BX54*MIN($F54:$G54)*0.97,IF(AND(BX54&gt;0,MIN($F54:$G54)&gt;=150,$E54="Enerji Fazlası"),BX54*MIN($F54:$G54)*0.94,IF(AND(BX54&lt;0,MAX($F54:$G54)=4500,$E54="Enerji Açığı"),4500*1.05*1.06*BX54,IF(AND(BX54&lt;0,MAX($F54:$G54)=4500,$E54="Enerji Fazlası"),4500*1.05*1.03*BX54,IF(AND(BX54&lt;0,$E54="Enerji Açığı"),MAX($F54,$G54,150)*BX54*1.06,IF(AND(BX54&lt;0,$E54="Enerji Fazlası"),MAX($F54,$G54,150)*BX54*1.03,IF(AND(BX54&lt;0,$E54="Dengede"),MAX($F54:$G54,150)*1.03*BX54,MIN($F54:$G54)*0.97*BX54)))))))))</f>
        <v/>
      </c>
      <c r="BZ54" s="34">
        <f>BE54-BV54-CA54</f>
        <v/>
      </c>
      <c r="CA54" s="34">
        <f>BD54</f>
        <v/>
      </c>
      <c r="CB54" s="33">
        <f>BE54-BV54</f>
        <v/>
      </c>
      <c r="CC54" s="34">
        <f>IF(AY54=0,0,CB54/AY54)</f>
        <v/>
      </c>
      <c r="CD54" s="34">
        <f>MAX((AY54+MAX((-J54+L54-N54+Q54-T54+X54),0)),(MAX((J54-L54+N54-Q54+T54-X54),0)))</f>
        <v/>
      </c>
      <c r="CE54" s="82">
        <f>IFERROR(ABS(BX54/CD54),0)</f>
        <v/>
      </c>
      <c r="CF54" s="34">
        <f>IF(CE54&lt;=0.1,0,BX54/CE54*(CE54-0.1))</f>
        <v/>
      </c>
      <c r="CG54" s="34">
        <f>IF((CF54)&lt;0,MAX(F54:G54)*(CF54)*1.03,MIN(F54:G54)*(CF54)*0.97)</f>
        <v/>
      </c>
      <c r="CH54" s="34">
        <f>IF(CE54&gt;0.1,1,0)</f>
        <v/>
      </c>
      <c r="CI54" s="34">
        <f>(F54*BX54)-BY54</f>
        <v/>
      </c>
      <c r="CJ54" s="34">
        <f>IF(AY54=0,0,CI54/AY54)</f>
        <v/>
      </c>
    </row>
    <row r="55">
      <c r="A55" s="29" t="n">
        <v>46206.16666666666</v>
      </c>
      <c r="B55" s="29" t="inlineStr">
        <is>
          <t>04:00</t>
        </is>
      </c>
      <c r="C55" s="35">
        <f>INT(A55)</f>
        <v/>
      </c>
      <c r="D55" s="36">
        <f>MONTH(A55)</f>
        <v/>
      </c>
      <c r="E55" s="147" t="inlineStr">
        <is>
          <t>Enerji Fazlası</t>
        </is>
      </c>
      <c r="F55" s="30" t="n">
        <v>4090.79</v>
      </c>
      <c r="G55" s="30" t="n">
        <v>1500</v>
      </c>
      <c r="H55" s="30" t="n">
        <v>87.81</v>
      </c>
      <c r="I55" s="30" t="n">
        <v>3896.97</v>
      </c>
      <c r="J55" s="119" t="n">
        <v>0</v>
      </c>
      <c r="K55" s="34">
        <f>F55*J55</f>
        <v/>
      </c>
      <c r="L55" s="119" t="n">
        <v>0</v>
      </c>
      <c r="M55" s="34">
        <f>L55*F55</f>
        <v/>
      </c>
      <c r="N55" s="119" t="n">
        <v>19</v>
      </c>
      <c r="O55" s="34">
        <f>F55</f>
        <v/>
      </c>
      <c r="P55" s="34">
        <f>N55*O55</f>
        <v/>
      </c>
      <c r="Q55" s="119" t="n">
        <v>0</v>
      </c>
      <c r="R55" s="34">
        <f>F55</f>
        <v/>
      </c>
      <c r="S55" s="34">
        <f>R55*Q55</f>
        <v/>
      </c>
      <c r="T55" s="34" t="n"/>
      <c r="U55" s="34">
        <f>IFERROR(W55/T55,0)</f>
        <v/>
      </c>
      <c r="V55" s="34">
        <f>IF(U55=0,0,U55-F55)</f>
        <v/>
      </c>
      <c r="W55" s="34" t="n"/>
      <c r="X55" s="34" t="n"/>
      <c r="Y55" s="34">
        <f>IFERROR(AA55/X55,0)</f>
        <v/>
      </c>
      <c r="Z55" s="34">
        <f>IF(Y55=0,0,F55-Y55)</f>
        <v/>
      </c>
      <c r="AA55" s="34" t="n"/>
      <c r="AB55" s="34" t="n">
        <v>0</v>
      </c>
      <c r="AC55" s="34" t="n">
        <v>0</v>
      </c>
      <c r="AD55" s="34">
        <f>IF(AB55&gt;AC55*1.05,AB55-AC55*1.05,IF(AB55&lt;AC55*0.95,AC55*0.95-AB55,0))</f>
        <v/>
      </c>
      <c r="AE55" s="34">
        <f>MAX(F55,G55,750)*0.05*AD55</f>
        <v/>
      </c>
      <c r="AF55" s="34" t="n">
        <v>0</v>
      </c>
      <c r="AG55" s="34">
        <f>IF(AB55&gt;AF55*1.05,AB55-AF55*1.05,IF(AB55&lt;AF55*0.95,AF55*0.95-AB55,0))</f>
        <v/>
      </c>
      <c r="AH55" s="34">
        <f>MAX(I55,J55,750)*0.05*AG55</f>
        <v/>
      </c>
      <c r="AI55" t="n">
        <v>9.050000000000001</v>
      </c>
      <c r="AJ55" t="n">
        <v>8</v>
      </c>
      <c r="AK55" s="34">
        <f>IF(AI55&gt;AJ55*1.05,AI55-AJ55*1.05,IF(AI55&lt;AJ55*0.95,AJ55*0.95-AI55,0))</f>
        <v/>
      </c>
      <c r="AL55" s="34">
        <f>MAX(F55,G55,750)*0.05*AK55</f>
        <v/>
      </c>
      <c r="AM55" s="39" t="n">
        <v>9</v>
      </c>
      <c r="AN55" s="34">
        <f>IF(AI55&gt;AM55*1.05,AI55-AM55*1.05,IF(AI55&lt;AM55*0.95,AM55*0.95-AI55,0))</f>
        <v/>
      </c>
      <c r="AO55" s="34">
        <f>MAX(F55,G55,750)*0.05*AN55</f>
        <v/>
      </c>
      <c r="AP55" s="34" t="n">
        <v>12.11</v>
      </c>
      <c r="AQ55" s="34" t="n">
        <v>11</v>
      </c>
      <c r="AR55" s="34">
        <f>IF(AP55&gt;AQ55*1.05,AP55-AQ55*1.05,IF(AP55&lt;AQ55*0.95,AQ55*0.95-AP55,0))</f>
        <v/>
      </c>
      <c r="AS55" s="34">
        <f>MAX(F55:G55,750)*0.05*AR55</f>
        <v/>
      </c>
      <c r="AT55" t="n">
        <v>12</v>
      </c>
      <c r="AU55" s="34">
        <f>IF(AP55&gt;AT55*1.05,AP55-AT55*1.05,IF(AP55&lt;AT55*0.95,AT55*0.95-AP55,0))</f>
        <v/>
      </c>
      <c r="AV55" s="34">
        <f>MAX(F55:G55,750)*0.05*AU55</f>
        <v/>
      </c>
      <c r="AW55" s="34">
        <f>AC55+AJ55+AQ55</f>
        <v/>
      </c>
      <c r="AX55" s="34">
        <f>AF55+AM55+AT55</f>
        <v/>
      </c>
      <c r="AY55" s="34">
        <f>AB55+AI55+AP55</f>
        <v/>
      </c>
      <c r="AZ55" s="34" t="n">
        <v>0</v>
      </c>
      <c r="BA55" s="34">
        <f>AD55+AK55+AR55</f>
        <v/>
      </c>
      <c r="BB55" s="34">
        <f>MAX(F55:G55,750)*0.05*BA55</f>
        <v/>
      </c>
      <c r="BC55" s="34">
        <f>AG55+AN55+AU55</f>
        <v/>
      </c>
      <c r="BD55" s="34">
        <f>MAX(F55:G55,750)*0.05*BC55</f>
        <v/>
      </c>
      <c r="BE55" s="34">
        <f>F55*AY55</f>
        <v/>
      </c>
      <c r="BF55" s="34">
        <f>K55-M55</f>
        <v/>
      </c>
      <c r="BG55" s="34">
        <f>P55-S55</f>
        <v/>
      </c>
      <c r="BH55" s="34">
        <f>W55-AA55</f>
        <v/>
      </c>
      <c r="BI55" s="34">
        <f>BF55+BG55+BL55-BN55</f>
        <v/>
      </c>
      <c r="BJ55" s="34">
        <f>ABS(BK55)</f>
        <v/>
      </c>
      <c r="BK55" s="34">
        <f>AY55-(J55-L55+N55-Q55)</f>
        <v/>
      </c>
      <c r="BL55" s="34">
        <f>IF(AND(BK55&gt;0,MIN($F55:$G55)&lt;150,$E55="Enerji Açığı"),-100*BK55*1.03,IF(AND(BK55&gt;0,MIN($F55:$G55)&lt;150,$E55="Enerji Fazlası"),-100*BK55*1.06,IF(AND(BK55&gt;0,MIN($F55:$G55)&gt;=150,$E55="Enerji Açığı"),BK55*MIN($F55:$G55)*0.97,IF(AND(BK55&gt;0,MIN($F55:$G55)&gt;=150,$E55="Enerji Fazlası"),BK55*MIN($F55:$G55)*0.94,IF(AND(BK55&lt;0,MAX($F55:$G55)=4500,$E55="Enerji Açığı"),4500*1.05*1.06*BK55,IF(AND(BK55&lt;0,MAX($F55:$G55)=4500,$E55="Enerji Fazlası"),4500*1.05*1.03*BK55,IF(AND(BK55&lt;0,$E55="Enerji Açığı"),MAX($F55,$G55,150)*BK55*1.06,IF(AND(BK55&lt;0,$E55="Enerji Fazlası"),MAX($F55,$G55,150)*BK55*1.03,IF(AND(BK55&lt;0,$E55="Dengede"),MAX($F55:$G55,150)*1.03*BK55,MIN($F55:$G55)*0.97*BK55)))))))))</f>
        <v/>
      </c>
      <c r="BM55" s="34">
        <f>BE55-BI55-BN55</f>
        <v/>
      </c>
      <c r="BN55" s="34">
        <f>BB55</f>
        <v/>
      </c>
      <c r="BO55" s="34">
        <f>BE55-BI55</f>
        <v/>
      </c>
      <c r="BP55" s="34">
        <f>IF(AY55=0,0,BO55/AY55)</f>
        <v/>
      </c>
      <c r="BQ55" s="34">
        <f>MAX((AY55+MAX((-J55+L55-N55+Q55),0)),(MAX((J55-L55+N55-Q55),0)))</f>
        <v/>
      </c>
      <c r="BR55" s="82">
        <f>IFERROR(ABS(BK55/BQ55),0)</f>
        <v/>
      </c>
      <c r="BS55" s="34">
        <f>IF(BR55&lt;=0.1,0,BK55/BR55*(BR55-0.1))</f>
        <v/>
      </c>
      <c r="BT55" s="34">
        <f>IF((BS55)&lt;0,MAX(F55:G55)*(BS55)*1.03,MIN(F55:G55)*(BS55)*0.97)</f>
        <v/>
      </c>
      <c r="BU55" s="34">
        <f>IF(BR55&gt;0.1,1,0)</f>
        <v/>
      </c>
      <c r="BV55" s="34">
        <f>BF55+BG55+BH55+BY55-CA55</f>
        <v/>
      </c>
      <c r="BW55" s="34">
        <f>ABS(BX55)</f>
        <v/>
      </c>
      <c r="BX55" s="34">
        <f>AY55-(J55-L55+N55-Q55+T55-X55)</f>
        <v/>
      </c>
      <c r="BY55" s="34">
        <f>IF(AND(BX55&gt;0,MIN($F55:$G55)&lt;150,$E55="Enerji Açığı"),-100*BX55*1.03,IF(AND(BX55&gt;0,MIN($F55:$G55)&lt;150,$E55="Enerji Fazlası"),-100*BX55*1.06,IF(AND(BX55&gt;0,MIN($F55:$G55)&gt;=150,$E55="Enerji Açığı"),BX55*MIN($F55:$G55)*0.97,IF(AND(BX55&gt;0,MIN($F55:$G55)&gt;=150,$E55="Enerji Fazlası"),BX55*MIN($F55:$G55)*0.94,IF(AND(BX55&lt;0,MAX($F55:$G55)=4500,$E55="Enerji Açığı"),4500*1.05*1.06*BX55,IF(AND(BX55&lt;0,MAX($F55:$G55)=4500,$E55="Enerji Fazlası"),4500*1.05*1.03*BX55,IF(AND(BX55&lt;0,$E55="Enerji Açığı"),MAX($F55,$G55,150)*BX55*1.06,IF(AND(BX55&lt;0,$E55="Enerji Fazlası"),MAX($F55,$G55,150)*BX55*1.03,IF(AND(BX55&lt;0,$E55="Dengede"),MAX($F55:$G55,150)*1.03*BX55,MIN($F55:$G55)*0.97*BX55)))))))))</f>
        <v/>
      </c>
      <c r="BZ55" s="34">
        <f>BE55-BV55-CA55</f>
        <v/>
      </c>
      <c r="CA55" s="34">
        <f>BD55</f>
        <v/>
      </c>
      <c r="CB55" s="33">
        <f>BE55-BV55</f>
        <v/>
      </c>
      <c r="CC55" s="34">
        <f>IF(AY55=0,0,CB55/AY55)</f>
        <v/>
      </c>
      <c r="CD55" s="34">
        <f>MAX((AY55+MAX((-J55+L55-N55+Q55-T55+X55),0)),(MAX((J55-L55+N55-Q55+T55-X55),0)))</f>
        <v/>
      </c>
      <c r="CE55" s="82">
        <f>IFERROR(ABS(BX55/CD55),0)</f>
        <v/>
      </c>
      <c r="CF55" s="34">
        <f>IF(CE55&lt;=0.1,0,BX55/CE55*(CE55-0.1))</f>
        <v/>
      </c>
      <c r="CG55" s="34">
        <f>IF((CF55)&lt;0,MAX(F55:G55)*(CF55)*1.03,MIN(F55:G55)*(CF55)*0.97)</f>
        <v/>
      </c>
      <c r="CH55" s="34">
        <f>IF(CE55&gt;0.1,1,0)</f>
        <v/>
      </c>
      <c r="CI55" s="34">
        <f>(F55*BX55)-BY55</f>
        <v/>
      </c>
      <c r="CJ55" s="34">
        <f>IF(AY55=0,0,CI55/AY55)</f>
        <v/>
      </c>
    </row>
    <row r="56">
      <c r="A56" s="29" t="n">
        <v>46206.20833333334</v>
      </c>
      <c r="B56" s="29" t="inlineStr">
        <is>
          <t>05:00</t>
        </is>
      </c>
      <c r="C56" s="35">
        <f>INT(A56)</f>
        <v/>
      </c>
      <c r="D56" s="36">
        <f>MONTH(A56)</f>
        <v/>
      </c>
      <c r="E56" s="147" t="inlineStr">
        <is>
          <t>Enerji Fazlası</t>
        </is>
      </c>
      <c r="F56" s="30" t="n">
        <v>3600</v>
      </c>
      <c r="G56" s="30" t="n">
        <v>2001</v>
      </c>
      <c r="H56" s="30" t="n">
        <v>77.28</v>
      </c>
      <c r="I56" s="30" t="n">
        <v>3156.57</v>
      </c>
      <c r="J56" s="119" t="n">
        <v>0</v>
      </c>
      <c r="K56" s="34">
        <f>F56*J56</f>
        <v/>
      </c>
      <c r="L56" s="119" t="n">
        <v>0</v>
      </c>
      <c r="M56" s="34">
        <f>L56*F56</f>
        <v/>
      </c>
      <c r="N56" s="119" t="n">
        <v>19</v>
      </c>
      <c r="O56" s="34">
        <f>F56</f>
        <v/>
      </c>
      <c r="P56" s="34">
        <f>N56*O56</f>
        <v/>
      </c>
      <c r="Q56" s="119" t="n">
        <v>0</v>
      </c>
      <c r="R56" s="34">
        <f>F56</f>
        <v/>
      </c>
      <c r="S56" s="34">
        <f>R56*Q56</f>
        <v/>
      </c>
      <c r="T56" s="34" t="n"/>
      <c r="U56" s="34">
        <f>IFERROR(W56/T56,0)</f>
        <v/>
      </c>
      <c r="V56" s="34">
        <f>IF(U56=0,0,U56-F56)</f>
        <v/>
      </c>
      <c r="W56" s="34" t="n"/>
      <c r="X56" s="34" t="n"/>
      <c r="Y56" s="34">
        <f>IFERROR(AA56/X56,0)</f>
        <v/>
      </c>
      <c r="Z56" s="34">
        <f>IF(Y56=0,0,F56-Y56)</f>
        <v/>
      </c>
      <c r="AA56" s="34" t="n"/>
      <c r="AB56" s="34" t="n">
        <v>0</v>
      </c>
      <c r="AC56" s="34" t="n">
        <v>0</v>
      </c>
      <c r="AD56" s="34">
        <f>IF(AB56&gt;AC56*1.05,AB56-AC56*1.05,IF(AB56&lt;AC56*0.95,AC56*0.95-AB56,0))</f>
        <v/>
      </c>
      <c r="AE56" s="34">
        <f>MAX(F56,G56,750)*0.05*AD56</f>
        <v/>
      </c>
      <c r="AF56" s="34" t="n">
        <v>0</v>
      </c>
      <c r="AG56" s="34">
        <f>IF(AB56&gt;AF56*1.05,AB56-AF56*1.05,IF(AB56&lt;AF56*0.95,AF56*0.95-AB56,0))</f>
        <v/>
      </c>
      <c r="AH56" s="34">
        <f>MAX(I56,J56,750)*0.05*AG56</f>
        <v/>
      </c>
      <c r="AI56" t="n">
        <v>9.16</v>
      </c>
      <c r="AJ56" t="n">
        <v>8</v>
      </c>
      <c r="AK56" s="34">
        <f>IF(AI56&gt;AJ56*1.05,AI56-AJ56*1.05,IF(AI56&lt;AJ56*0.95,AJ56*0.95-AI56,0))</f>
        <v/>
      </c>
      <c r="AL56" s="34">
        <f>MAX(F56,G56,750)*0.05*AK56</f>
        <v/>
      </c>
      <c r="AM56" s="39" t="n">
        <v>9</v>
      </c>
      <c r="AN56" s="34">
        <f>IF(AI56&gt;AM56*1.05,AI56-AM56*1.05,IF(AI56&lt;AM56*0.95,AM56*0.95-AI56,0))</f>
        <v/>
      </c>
      <c r="AO56" s="34">
        <f>MAX(F56,G56,750)*0.05*AN56</f>
        <v/>
      </c>
      <c r="AP56" s="34" t="n">
        <v>12.13</v>
      </c>
      <c r="AQ56" s="34" t="n">
        <v>11</v>
      </c>
      <c r="AR56" s="34">
        <f>IF(AP56&gt;AQ56*1.05,AP56-AQ56*1.05,IF(AP56&lt;AQ56*0.95,AQ56*0.95-AP56,0))</f>
        <v/>
      </c>
      <c r="AS56" s="34">
        <f>MAX(F56:G56,750)*0.05*AR56</f>
        <v/>
      </c>
      <c r="AT56" t="n">
        <v>12</v>
      </c>
      <c r="AU56" s="34">
        <f>IF(AP56&gt;AT56*1.05,AP56-AT56*1.05,IF(AP56&lt;AT56*0.95,AT56*0.95-AP56,0))</f>
        <v/>
      </c>
      <c r="AV56" s="34">
        <f>MAX(F56:G56,750)*0.05*AU56</f>
        <v/>
      </c>
      <c r="AW56" s="34">
        <f>AC56+AJ56+AQ56</f>
        <v/>
      </c>
      <c r="AX56" s="34">
        <f>AF56+AM56+AT56</f>
        <v/>
      </c>
      <c r="AY56" s="34">
        <f>AB56+AI56+AP56</f>
        <v/>
      </c>
      <c r="AZ56" s="34" t="n">
        <v>0</v>
      </c>
      <c r="BA56" s="34">
        <f>AD56+AK56+AR56</f>
        <v/>
      </c>
      <c r="BB56" s="34">
        <f>MAX(F56:G56,750)*0.05*BA56</f>
        <v/>
      </c>
      <c r="BC56" s="34">
        <f>AG56+AN56+AU56</f>
        <v/>
      </c>
      <c r="BD56" s="34">
        <f>MAX(F56:G56,750)*0.05*BC56</f>
        <v/>
      </c>
      <c r="BE56" s="34">
        <f>F56*AY56</f>
        <v/>
      </c>
      <c r="BF56" s="34">
        <f>K56-M56</f>
        <v/>
      </c>
      <c r="BG56" s="34">
        <f>P56-S56</f>
        <v/>
      </c>
      <c r="BH56" s="34">
        <f>W56-AA56</f>
        <v/>
      </c>
      <c r="BI56" s="34">
        <f>BF56+BG56+BL56-BN56</f>
        <v/>
      </c>
      <c r="BJ56" s="34">
        <f>ABS(BK56)</f>
        <v/>
      </c>
      <c r="BK56" s="34">
        <f>AY56-(J56-L56+N56-Q56)</f>
        <v/>
      </c>
      <c r="BL56" s="34">
        <f>IF(AND(BK56&gt;0,MIN($F56:$G56)&lt;150,$E56="Enerji Açığı"),-100*BK56*1.03,IF(AND(BK56&gt;0,MIN($F56:$G56)&lt;150,$E56="Enerji Fazlası"),-100*BK56*1.06,IF(AND(BK56&gt;0,MIN($F56:$G56)&gt;=150,$E56="Enerji Açığı"),BK56*MIN($F56:$G56)*0.97,IF(AND(BK56&gt;0,MIN($F56:$G56)&gt;=150,$E56="Enerji Fazlası"),BK56*MIN($F56:$G56)*0.94,IF(AND(BK56&lt;0,MAX($F56:$G56)=4500,$E56="Enerji Açığı"),4500*1.05*1.06*BK56,IF(AND(BK56&lt;0,MAX($F56:$G56)=4500,$E56="Enerji Fazlası"),4500*1.05*1.03*BK56,IF(AND(BK56&lt;0,$E56="Enerji Açığı"),MAX($F56,$G56,150)*BK56*1.06,IF(AND(BK56&lt;0,$E56="Enerji Fazlası"),MAX($F56,$G56,150)*BK56*1.03,IF(AND(BK56&lt;0,$E56="Dengede"),MAX($F56:$G56,150)*1.03*BK56,MIN($F56:$G56)*0.97*BK56)))))))))</f>
        <v/>
      </c>
      <c r="BM56" s="34">
        <f>BE56-BI56-BN56</f>
        <v/>
      </c>
      <c r="BN56" s="34">
        <f>BB56</f>
        <v/>
      </c>
      <c r="BO56" s="34">
        <f>BE56-BI56</f>
        <v/>
      </c>
      <c r="BP56" s="34">
        <f>IF(AY56=0,0,BO56/AY56)</f>
        <v/>
      </c>
      <c r="BQ56" s="34">
        <f>MAX((AY56+MAX((-J56+L56-N56+Q56),0)),(MAX((J56-L56+N56-Q56),0)))</f>
        <v/>
      </c>
      <c r="BR56" s="82">
        <f>IFERROR(ABS(BK56/BQ56),0)</f>
        <v/>
      </c>
      <c r="BS56" s="34">
        <f>IF(BR56&lt;=0.1,0,BK56/BR56*(BR56-0.1))</f>
        <v/>
      </c>
      <c r="BT56" s="34">
        <f>IF((BS56)&lt;0,MAX(F56:G56)*(BS56)*1.03,MIN(F56:G56)*(BS56)*0.97)</f>
        <v/>
      </c>
      <c r="BU56" s="34">
        <f>IF(BR56&gt;0.1,1,0)</f>
        <v/>
      </c>
      <c r="BV56" s="34">
        <f>BF56+BG56+BH56+BY56-CA56</f>
        <v/>
      </c>
      <c r="BW56" s="34">
        <f>ABS(BX56)</f>
        <v/>
      </c>
      <c r="BX56" s="34">
        <f>AY56-(J56-L56+N56-Q56+T56-X56)</f>
        <v/>
      </c>
      <c r="BY56" s="34">
        <f>IF(AND(BX56&gt;0,MIN($F56:$G56)&lt;150,$E56="Enerji Açığı"),-100*BX56*1.03,IF(AND(BX56&gt;0,MIN($F56:$G56)&lt;150,$E56="Enerji Fazlası"),-100*BX56*1.06,IF(AND(BX56&gt;0,MIN($F56:$G56)&gt;=150,$E56="Enerji Açığı"),BX56*MIN($F56:$G56)*0.97,IF(AND(BX56&gt;0,MIN($F56:$G56)&gt;=150,$E56="Enerji Fazlası"),BX56*MIN($F56:$G56)*0.94,IF(AND(BX56&lt;0,MAX($F56:$G56)=4500,$E56="Enerji Açığı"),4500*1.05*1.06*BX56,IF(AND(BX56&lt;0,MAX($F56:$G56)=4500,$E56="Enerji Fazlası"),4500*1.05*1.03*BX56,IF(AND(BX56&lt;0,$E56="Enerji Açığı"),MAX($F56,$G56,150)*BX56*1.06,IF(AND(BX56&lt;0,$E56="Enerji Fazlası"),MAX($F56,$G56,150)*BX56*1.03,IF(AND(BX56&lt;0,$E56="Dengede"),MAX($F56:$G56,150)*1.03*BX56,MIN($F56:$G56)*0.97*BX56)))))))))</f>
        <v/>
      </c>
      <c r="BZ56" s="34">
        <f>BE56-BV56-CA56</f>
        <v/>
      </c>
      <c r="CA56" s="34">
        <f>BD56</f>
        <v/>
      </c>
      <c r="CB56" s="33">
        <f>BE56-BV56</f>
        <v/>
      </c>
      <c r="CC56" s="34">
        <f>IF(AY56=0,0,CB56/AY56)</f>
        <v/>
      </c>
      <c r="CD56" s="34">
        <f>MAX((AY56+MAX((-J56+L56-N56+Q56-T56+X56),0)),(MAX((J56-L56+N56-Q56+T56-X56),0)))</f>
        <v/>
      </c>
      <c r="CE56" s="82">
        <f>IFERROR(ABS(BX56/CD56),0)</f>
        <v/>
      </c>
      <c r="CF56" s="34">
        <f>IF(CE56&lt;=0.1,0,BX56/CE56*(CE56-0.1))</f>
        <v/>
      </c>
      <c r="CG56" s="34">
        <f>IF((CF56)&lt;0,MAX(F56:G56)*(CF56)*1.03,MIN(F56:G56)*(CF56)*0.97)</f>
        <v/>
      </c>
      <c r="CH56" s="34">
        <f>IF(CE56&gt;0.1,1,0)</f>
        <v/>
      </c>
      <c r="CI56" s="34">
        <f>(F56*BX56)-BY56</f>
        <v/>
      </c>
      <c r="CJ56" s="34">
        <f>IF(AY56=0,0,CI56/AY56)</f>
        <v/>
      </c>
    </row>
    <row r="57">
      <c r="A57" s="29" t="n">
        <v>46206.25</v>
      </c>
      <c r="B57" s="29" t="inlineStr">
        <is>
          <t>06:00</t>
        </is>
      </c>
      <c r="C57" s="35">
        <f>INT(A57)</f>
        <v/>
      </c>
      <c r="D57" s="36">
        <f>MONTH(A57)</f>
        <v/>
      </c>
      <c r="E57" s="147" t="inlineStr">
        <is>
          <t>Enerji Fazlası</t>
        </is>
      </c>
      <c r="F57" s="30" t="n">
        <v>2450.99</v>
      </c>
      <c r="G57" s="30" t="n">
        <v>2302.99</v>
      </c>
      <c r="H57" s="30" t="n">
        <v>52.61</v>
      </c>
      <c r="I57" s="30" t="n">
        <v>1602.82</v>
      </c>
      <c r="J57" s="119" t="n">
        <v>0</v>
      </c>
      <c r="K57" s="34">
        <f>F57*J57</f>
        <v/>
      </c>
      <c r="L57" s="119" t="n">
        <v>0</v>
      </c>
      <c r="M57" s="34">
        <f>L57*F57</f>
        <v/>
      </c>
      <c r="N57" s="119" t="n">
        <v>22.2</v>
      </c>
      <c r="O57" s="34">
        <f>F57</f>
        <v/>
      </c>
      <c r="P57" s="34">
        <f>N57*O57</f>
        <v/>
      </c>
      <c r="Q57" s="119" t="n">
        <v>0</v>
      </c>
      <c r="R57" s="34">
        <f>F57</f>
        <v/>
      </c>
      <c r="S57" s="34">
        <f>R57*Q57</f>
        <v/>
      </c>
      <c r="T57" s="34" t="n"/>
      <c r="U57" s="34">
        <f>IFERROR(W57/T57,0)</f>
        <v/>
      </c>
      <c r="V57" s="34">
        <f>IF(U57=0,0,U57-F57)</f>
        <v/>
      </c>
      <c r="W57" s="34" t="n"/>
      <c r="X57" s="34" t="n"/>
      <c r="Y57" s="34">
        <f>IFERROR(AA57/X57,0)</f>
        <v/>
      </c>
      <c r="Z57" s="34">
        <f>IF(Y57=0,0,F57-Y57)</f>
        <v/>
      </c>
      <c r="AA57" s="34" t="n"/>
      <c r="AB57" s="34" t="n">
        <v>0</v>
      </c>
      <c r="AC57" s="34" t="n">
        <v>0</v>
      </c>
      <c r="AD57" s="34">
        <f>IF(AB57&gt;AC57*1.05,AB57-AC57*1.05,IF(AB57&lt;AC57*0.95,AC57*0.95-AB57,0))</f>
        <v/>
      </c>
      <c r="AE57" s="34">
        <f>MAX(F57,G57,750)*0.05*AD57</f>
        <v/>
      </c>
      <c r="AF57" s="34" t="n">
        <v>0</v>
      </c>
      <c r="AG57" s="34">
        <f>IF(AB57&gt;AF57*1.05,AB57-AF57*1.05,IF(AB57&lt;AF57*0.95,AF57*0.95-AB57,0))</f>
        <v/>
      </c>
      <c r="AH57" s="34">
        <f>MAX(I57,J57,750)*0.05*AG57</f>
        <v/>
      </c>
      <c r="AI57" t="n">
        <v>9.140000000000001</v>
      </c>
      <c r="AJ57" t="n">
        <v>9</v>
      </c>
      <c r="AK57" s="34">
        <f>IF(AI57&gt;AJ57*1.05,AI57-AJ57*1.05,IF(AI57&lt;AJ57*0.95,AJ57*0.95-AI57,0))</f>
        <v/>
      </c>
      <c r="AL57" s="34">
        <f>MAX(F57,G57,750)*0.05*AK57</f>
        <v/>
      </c>
      <c r="AM57" s="39" t="n">
        <v>9</v>
      </c>
      <c r="AN57" s="34">
        <f>IF(AI57&gt;AM57*1.05,AI57-AM57*1.05,IF(AI57&lt;AM57*0.95,AM57*0.95-AI57,0))</f>
        <v/>
      </c>
      <c r="AO57" s="34">
        <f>MAX(F57,G57,750)*0.05*AN57</f>
        <v/>
      </c>
      <c r="AP57" s="34" t="n">
        <v>13.26</v>
      </c>
      <c r="AQ57" s="34" t="n">
        <v>13.2</v>
      </c>
      <c r="AR57" s="34">
        <f>IF(AP57&gt;AQ57*1.05,AP57-AQ57*1.05,IF(AP57&lt;AQ57*0.95,AQ57*0.95-AP57,0))</f>
        <v/>
      </c>
      <c r="AS57" s="34">
        <f>MAX(F57:G57,750)*0.05*AR57</f>
        <v/>
      </c>
      <c r="AT57" t="n">
        <v>13.2</v>
      </c>
      <c r="AU57" s="34">
        <f>IF(AP57&gt;AT57*1.05,AP57-AT57*1.05,IF(AP57&lt;AT57*0.95,AT57*0.95-AP57,0))</f>
        <v/>
      </c>
      <c r="AV57" s="34">
        <f>MAX(F57:G57,750)*0.05*AU57</f>
        <v/>
      </c>
      <c r="AW57" s="34">
        <f>AC57+AJ57+AQ57</f>
        <v/>
      </c>
      <c r="AX57" s="34">
        <f>AF57+AM57+AT57</f>
        <v/>
      </c>
      <c r="AY57" s="34">
        <f>AB57+AI57+AP57</f>
        <v/>
      </c>
      <c r="AZ57" s="34" t="n">
        <v>0</v>
      </c>
      <c r="BA57" s="34">
        <f>AD57+AK57+AR57</f>
        <v/>
      </c>
      <c r="BB57" s="34">
        <f>MAX(F57:G57,750)*0.05*BA57</f>
        <v/>
      </c>
      <c r="BC57" s="34">
        <f>AG57+AN57+AU57</f>
        <v/>
      </c>
      <c r="BD57" s="34">
        <f>MAX(F57:G57,750)*0.05*BC57</f>
        <v/>
      </c>
      <c r="BE57" s="34">
        <f>F57*AY57</f>
        <v/>
      </c>
      <c r="BF57" s="34">
        <f>K57-M57</f>
        <v/>
      </c>
      <c r="BG57" s="34">
        <f>P57-S57</f>
        <v/>
      </c>
      <c r="BH57" s="34">
        <f>W57-AA57</f>
        <v/>
      </c>
      <c r="BI57" s="34">
        <f>BF57+BG57+BL57-BN57</f>
        <v/>
      </c>
      <c r="BJ57" s="34">
        <f>ABS(BK57)</f>
        <v/>
      </c>
      <c r="BK57" s="34">
        <f>AY57-(J57-L57+N57-Q57)</f>
        <v/>
      </c>
      <c r="BL57" s="34">
        <f>IF(AND(BK57&gt;0,MIN($F57:$G57)&lt;150,$E57="Enerji Açığı"),-100*BK57*1.03,IF(AND(BK57&gt;0,MIN($F57:$G57)&lt;150,$E57="Enerji Fazlası"),-100*BK57*1.06,IF(AND(BK57&gt;0,MIN($F57:$G57)&gt;=150,$E57="Enerji Açığı"),BK57*MIN($F57:$G57)*0.97,IF(AND(BK57&gt;0,MIN($F57:$G57)&gt;=150,$E57="Enerji Fazlası"),BK57*MIN($F57:$G57)*0.94,IF(AND(BK57&lt;0,MAX($F57:$G57)=4500,$E57="Enerji Açığı"),4500*1.05*1.06*BK57,IF(AND(BK57&lt;0,MAX($F57:$G57)=4500,$E57="Enerji Fazlası"),4500*1.05*1.03*BK57,IF(AND(BK57&lt;0,$E57="Enerji Açığı"),MAX($F57,$G57,150)*BK57*1.06,IF(AND(BK57&lt;0,$E57="Enerji Fazlası"),MAX($F57,$G57,150)*BK57*1.03,IF(AND(BK57&lt;0,$E57="Dengede"),MAX($F57:$G57,150)*1.03*BK57,MIN($F57:$G57)*0.97*BK57)))))))))</f>
        <v/>
      </c>
      <c r="BM57" s="34">
        <f>BE57-BI57-BN57</f>
        <v/>
      </c>
      <c r="BN57" s="34">
        <f>BB57</f>
        <v/>
      </c>
      <c r="BO57" s="34">
        <f>BE57-BI57</f>
        <v/>
      </c>
      <c r="BP57" s="34">
        <f>IF(AY57=0,0,BO57/AY57)</f>
        <v/>
      </c>
      <c r="BQ57" s="34">
        <f>MAX((AY57+MAX((-J57+L57-N57+Q57),0)),(MAX((J57-L57+N57-Q57),0)))</f>
        <v/>
      </c>
      <c r="BR57" s="82">
        <f>IFERROR(ABS(BK57/BQ57),0)</f>
        <v/>
      </c>
      <c r="BS57" s="34">
        <f>IF(BR57&lt;=0.1,0,BK57/BR57*(BR57-0.1))</f>
        <v/>
      </c>
      <c r="BT57" s="34">
        <f>IF((BS57)&lt;0,MAX(F57:G57)*(BS57)*1.03,MIN(F57:G57)*(BS57)*0.97)</f>
        <v/>
      </c>
      <c r="BU57" s="34">
        <f>IF(BR57&gt;0.1,1,0)</f>
        <v/>
      </c>
      <c r="BV57" s="34">
        <f>BF57+BG57+BH57+BY57-CA57</f>
        <v/>
      </c>
      <c r="BW57" s="34">
        <f>ABS(BX57)</f>
        <v/>
      </c>
      <c r="BX57" s="34">
        <f>AY57-(J57-L57+N57-Q57+T57-X57)</f>
        <v/>
      </c>
      <c r="BY57" s="34">
        <f>IF(AND(BX57&gt;0,MIN($F57:$G57)&lt;150,$E57="Enerji Açığı"),-100*BX57*1.03,IF(AND(BX57&gt;0,MIN($F57:$G57)&lt;150,$E57="Enerji Fazlası"),-100*BX57*1.06,IF(AND(BX57&gt;0,MIN($F57:$G57)&gt;=150,$E57="Enerji Açığı"),BX57*MIN($F57:$G57)*0.97,IF(AND(BX57&gt;0,MIN($F57:$G57)&gt;=150,$E57="Enerji Fazlası"),BX57*MIN($F57:$G57)*0.94,IF(AND(BX57&lt;0,MAX($F57:$G57)=4500,$E57="Enerji Açığı"),4500*1.05*1.06*BX57,IF(AND(BX57&lt;0,MAX($F57:$G57)=4500,$E57="Enerji Fazlası"),4500*1.05*1.03*BX57,IF(AND(BX57&lt;0,$E57="Enerji Açığı"),MAX($F57,$G57,150)*BX57*1.06,IF(AND(BX57&lt;0,$E57="Enerji Fazlası"),MAX($F57,$G57,150)*BX57*1.03,IF(AND(BX57&lt;0,$E57="Dengede"),MAX($F57:$G57,150)*1.03*BX57,MIN($F57:$G57)*0.97*BX57)))))))))</f>
        <v/>
      </c>
      <c r="BZ57" s="34">
        <f>BE57-BV57-CA57</f>
        <v/>
      </c>
      <c r="CA57" s="34">
        <f>BD57</f>
        <v/>
      </c>
      <c r="CB57" s="33">
        <f>BE57-BV57</f>
        <v/>
      </c>
      <c r="CC57" s="34">
        <f>IF(AY57=0,0,CB57/AY57)</f>
        <v/>
      </c>
      <c r="CD57" s="34">
        <f>MAX((AY57+MAX((-J57+L57-N57+Q57-T57+X57),0)),(MAX((J57-L57+N57-Q57+T57-X57),0)))</f>
        <v/>
      </c>
      <c r="CE57" s="82">
        <f>IFERROR(ABS(BX57/CD57),0)</f>
        <v/>
      </c>
      <c r="CF57" s="34">
        <f>IF(CE57&lt;=0.1,0,BX57/CE57*(CE57-0.1))</f>
        <v/>
      </c>
      <c r="CG57" s="34">
        <f>IF((CF57)&lt;0,MAX(F57:G57)*(CF57)*1.03,MIN(F57:G57)*(CF57)*0.97)</f>
        <v/>
      </c>
      <c r="CH57" s="34">
        <f>IF(CE57&gt;0.1,1,0)</f>
        <v/>
      </c>
      <c r="CI57" s="34">
        <f>(F57*BX57)-BY57</f>
        <v/>
      </c>
      <c r="CJ57" s="34">
        <f>IF(AY57=0,0,CI57/AY57)</f>
        <v/>
      </c>
    </row>
    <row r="58">
      <c r="A58" s="29" t="n">
        <v>46206.29166666666</v>
      </c>
      <c r="B58" s="29" t="inlineStr">
        <is>
          <t>07:00</t>
        </is>
      </c>
      <c r="C58" s="35">
        <f>INT(A58)</f>
        <v/>
      </c>
      <c r="D58" s="36">
        <f>MONTH(A58)</f>
        <v/>
      </c>
      <c r="E58" s="147" t="inlineStr">
        <is>
          <t>Enerji Fazlası</t>
        </is>
      </c>
      <c r="F58" s="30" t="n">
        <v>1799.98</v>
      </c>
      <c r="G58" s="30" t="n">
        <v>1000</v>
      </c>
      <c r="H58" s="30" t="n">
        <v>38.64</v>
      </c>
      <c r="I58" s="30" t="n">
        <v>1207.98</v>
      </c>
      <c r="J58" s="119" t="n">
        <v>0</v>
      </c>
      <c r="K58" s="34">
        <f>F58*J58</f>
        <v/>
      </c>
      <c r="L58" s="119" t="n">
        <v>0</v>
      </c>
      <c r="M58" s="34">
        <f>L58*F58</f>
        <v/>
      </c>
      <c r="N58" s="119" t="n">
        <v>22.5</v>
      </c>
      <c r="O58" s="34">
        <f>F58</f>
        <v/>
      </c>
      <c r="P58" s="34">
        <f>N58*O58</f>
        <v/>
      </c>
      <c r="Q58" s="119" t="n">
        <v>0</v>
      </c>
      <c r="R58" s="34">
        <f>F58</f>
        <v/>
      </c>
      <c r="S58" s="34">
        <f>R58*Q58</f>
        <v/>
      </c>
      <c r="T58" s="34" t="n"/>
      <c r="U58" s="34">
        <f>IFERROR(W58/T58,0)</f>
        <v/>
      </c>
      <c r="V58" s="34">
        <f>IF(U58=0,0,U58-F58)</f>
        <v/>
      </c>
      <c r="W58" s="34" t="n"/>
      <c r="X58" s="34" t="n"/>
      <c r="Y58" s="34">
        <f>IFERROR(AA58/X58,0)</f>
        <v/>
      </c>
      <c r="Z58" s="34">
        <f>IF(Y58=0,0,F58-Y58)</f>
        <v/>
      </c>
      <c r="AA58" s="34" t="n"/>
      <c r="AB58" s="34" t="n">
        <v>0</v>
      </c>
      <c r="AC58" s="34" t="n">
        <v>0</v>
      </c>
      <c r="AD58" s="34">
        <f>IF(AB58&gt;AC58*1.05,AB58-AC58*1.05,IF(AB58&lt;AC58*0.95,AC58*0.95-AB58,0))</f>
        <v/>
      </c>
      <c r="AE58" s="34">
        <f>MAX(F58,G58,750)*0.05*AD58</f>
        <v/>
      </c>
      <c r="AF58" s="34" t="n">
        <v>0</v>
      </c>
      <c r="AG58" s="34">
        <f>IF(AB58&gt;AF58*1.05,AB58-AF58*1.05,IF(AB58&lt;AF58*0.95,AF58*0.95-AB58,0))</f>
        <v/>
      </c>
      <c r="AH58" s="34">
        <f>MAX(I58,J58,750)*0.05*AG58</f>
        <v/>
      </c>
      <c r="AI58" t="n">
        <v>9.44</v>
      </c>
      <c r="AJ58" t="n">
        <v>9</v>
      </c>
      <c r="AK58" s="34">
        <f>IF(AI58&gt;AJ58*1.05,AI58-AJ58*1.05,IF(AI58&lt;AJ58*0.95,AJ58*0.95-AI58,0))</f>
        <v/>
      </c>
      <c r="AL58" s="34">
        <f>MAX(F58,G58,750)*0.05*AK58</f>
        <v/>
      </c>
      <c r="AM58" s="39" t="n">
        <v>9</v>
      </c>
      <c r="AN58" s="34">
        <f>IF(AI58&gt;AM58*1.05,AI58-AM58*1.05,IF(AI58&lt;AM58*0.95,AM58*0.95-AI58,0))</f>
        <v/>
      </c>
      <c r="AO58" s="34">
        <f>MAX(F58,G58,750)*0.05*AN58</f>
        <v/>
      </c>
      <c r="AP58" s="34" t="n">
        <v>13.33</v>
      </c>
      <c r="AQ58" s="34" t="n">
        <v>13.5</v>
      </c>
      <c r="AR58" s="34">
        <f>IF(AP58&gt;AQ58*1.05,AP58-AQ58*1.05,IF(AP58&lt;AQ58*0.95,AQ58*0.95-AP58,0))</f>
        <v/>
      </c>
      <c r="AS58" s="34">
        <f>MAX(F58:G58,750)*0.05*AR58</f>
        <v/>
      </c>
      <c r="AT58" t="n">
        <v>13.5</v>
      </c>
      <c r="AU58" s="34">
        <f>IF(AP58&gt;AT58*1.05,AP58-AT58*1.05,IF(AP58&lt;AT58*0.95,AT58*0.95-AP58,0))</f>
        <v/>
      </c>
      <c r="AV58" s="34">
        <f>MAX(F58:G58,750)*0.05*AU58</f>
        <v/>
      </c>
      <c r="AW58" s="34">
        <f>AC58+AJ58+AQ58</f>
        <v/>
      </c>
      <c r="AX58" s="34">
        <f>AF58+AM58+AT58</f>
        <v/>
      </c>
      <c r="AY58" s="34">
        <f>AB58+AI58+AP58</f>
        <v/>
      </c>
      <c r="AZ58" s="34" t="n">
        <v>0</v>
      </c>
      <c r="BA58" s="34">
        <f>AD58+AK58+AR58</f>
        <v/>
      </c>
      <c r="BB58" s="34">
        <f>MAX(F58:G58,750)*0.05*BA58</f>
        <v/>
      </c>
      <c r="BC58" s="34">
        <f>AG58+AN58+AU58</f>
        <v/>
      </c>
      <c r="BD58" s="34">
        <f>MAX(F58:G58,750)*0.05*BC58</f>
        <v/>
      </c>
      <c r="BE58" s="34">
        <f>F58*AY58</f>
        <v/>
      </c>
      <c r="BF58" s="34">
        <f>K58-M58</f>
        <v/>
      </c>
      <c r="BG58" s="34">
        <f>P58-S58</f>
        <v/>
      </c>
      <c r="BH58" s="34">
        <f>W58-AA58</f>
        <v/>
      </c>
      <c r="BI58" s="34">
        <f>BF58+BG58+BL58-BN58</f>
        <v/>
      </c>
      <c r="BJ58" s="34">
        <f>ABS(BK58)</f>
        <v/>
      </c>
      <c r="BK58" s="34">
        <f>AY58-(J58-L58+N58-Q58)</f>
        <v/>
      </c>
      <c r="BL58" s="34">
        <f>IF(AND(BK58&gt;0,MIN($F58:$G58)&lt;150,$E58="Enerji Açığı"),-100*BK58*1.03,IF(AND(BK58&gt;0,MIN($F58:$G58)&lt;150,$E58="Enerji Fazlası"),-100*BK58*1.06,IF(AND(BK58&gt;0,MIN($F58:$G58)&gt;=150,$E58="Enerji Açığı"),BK58*MIN($F58:$G58)*0.97,IF(AND(BK58&gt;0,MIN($F58:$G58)&gt;=150,$E58="Enerji Fazlası"),BK58*MIN($F58:$G58)*0.94,IF(AND(BK58&lt;0,MAX($F58:$G58)=4500,$E58="Enerji Açığı"),4500*1.05*1.06*BK58,IF(AND(BK58&lt;0,MAX($F58:$G58)=4500,$E58="Enerji Fazlası"),4500*1.05*1.03*BK58,IF(AND(BK58&lt;0,$E58="Enerji Açığı"),MAX($F58,$G58,150)*BK58*1.06,IF(AND(BK58&lt;0,$E58="Enerji Fazlası"),MAX($F58,$G58,150)*BK58*1.03,IF(AND(BK58&lt;0,$E58="Dengede"),MAX($F58:$G58,150)*1.03*BK58,MIN($F58:$G58)*0.97*BK58)))))))))</f>
        <v/>
      </c>
      <c r="BM58" s="34">
        <f>BE58-BI58-BN58</f>
        <v/>
      </c>
      <c r="BN58" s="34">
        <f>BB58</f>
        <v/>
      </c>
      <c r="BO58" s="34">
        <f>BE58-BI58</f>
        <v/>
      </c>
      <c r="BP58" s="34">
        <f>IF(AY58=0,0,BO58/AY58)</f>
        <v/>
      </c>
      <c r="BQ58" s="34">
        <f>MAX((AY58+MAX((-J58+L58-N58+Q58),0)),(MAX((J58-L58+N58-Q58),0)))</f>
        <v/>
      </c>
      <c r="BR58" s="82">
        <f>IFERROR(ABS(BK58/BQ58),0)</f>
        <v/>
      </c>
      <c r="BS58" s="34">
        <f>IF(BR58&lt;=0.1,0,BK58/BR58*(BR58-0.1))</f>
        <v/>
      </c>
      <c r="BT58" s="34">
        <f>IF((BS58)&lt;0,MAX(F58:G58)*(BS58)*1.03,MIN(F58:G58)*(BS58)*0.97)</f>
        <v/>
      </c>
      <c r="BU58" s="34">
        <f>IF(BR58&gt;0.1,1,0)</f>
        <v/>
      </c>
      <c r="BV58" s="34">
        <f>BF58+BG58+BH58+BY58-CA58</f>
        <v/>
      </c>
      <c r="BW58" s="34">
        <f>ABS(BX58)</f>
        <v/>
      </c>
      <c r="BX58" s="34">
        <f>AY58-(J58-L58+N58-Q58+T58-X58)</f>
        <v/>
      </c>
      <c r="BY58" s="34">
        <f>IF(AND(BX58&gt;0,MIN($F58:$G58)&lt;150,$E58="Enerji Açığı"),-100*BX58*1.03,IF(AND(BX58&gt;0,MIN($F58:$G58)&lt;150,$E58="Enerji Fazlası"),-100*BX58*1.06,IF(AND(BX58&gt;0,MIN($F58:$G58)&gt;=150,$E58="Enerji Açığı"),BX58*MIN($F58:$G58)*0.97,IF(AND(BX58&gt;0,MIN($F58:$G58)&gt;=150,$E58="Enerji Fazlası"),BX58*MIN($F58:$G58)*0.94,IF(AND(BX58&lt;0,MAX($F58:$G58)=4500,$E58="Enerji Açığı"),4500*1.05*1.06*BX58,IF(AND(BX58&lt;0,MAX($F58:$G58)=4500,$E58="Enerji Fazlası"),4500*1.05*1.03*BX58,IF(AND(BX58&lt;0,$E58="Enerji Açığı"),MAX($F58,$G58,150)*BX58*1.06,IF(AND(BX58&lt;0,$E58="Enerji Fazlası"),MAX($F58,$G58,150)*BX58*1.03,IF(AND(BX58&lt;0,$E58="Dengede"),MAX($F58:$G58,150)*1.03*BX58,MIN($F58:$G58)*0.97*BX58)))))))))</f>
        <v/>
      </c>
      <c r="BZ58" s="34">
        <f>BE58-BV58-CA58</f>
        <v/>
      </c>
      <c r="CA58" s="34">
        <f>BD58</f>
        <v/>
      </c>
      <c r="CB58" s="33">
        <f>BE58-BV58</f>
        <v/>
      </c>
      <c r="CC58" s="34">
        <f>IF(AY58=0,0,CB58/AY58)</f>
        <v/>
      </c>
      <c r="CD58" s="34">
        <f>MAX((AY58+MAX((-J58+L58-N58+Q58-T58+X58),0)),(MAX((J58-L58+N58-Q58+T58-X58),0)))</f>
        <v/>
      </c>
      <c r="CE58" s="82">
        <f>IFERROR(ABS(BX58/CD58),0)</f>
        <v/>
      </c>
      <c r="CF58" s="34">
        <f>IF(CE58&lt;=0.1,0,BX58/CE58*(CE58-0.1))</f>
        <v/>
      </c>
      <c r="CG58" s="34">
        <f>IF((CF58)&lt;0,MAX(F58:G58)*(CF58)*1.03,MIN(F58:G58)*(CF58)*0.97)</f>
        <v/>
      </c>
      <c r="CH58" s="34">
        <f>IF(CE58&gt;0.1,1,0)</f>
        <v/>
      </c>
      <c r="CI58" s="34">
        <f>(F58*BX58)-BY58</f>
        <v/>
      </c>
      <c r="CJ58" s="34">
        <f>IF(AY58=0,0,CI58/AY58)</f>
        <v/>
      </c>
    </row>
    <row r="59">
      <c r="A59" s="29" t="n">
        <v>46206.33333333334</v>
      </c>
      <c r="B59" s="29" t="inlineStr">
        <is>
          <t>08:00</t>
        </is>
      </c>
      <c r="C59" s="35">
        <f>INT(A59)</f>
        <v/>
      </c>
      <c r="D59" s="36">
        <f>MONTH(A59)</f>
        <v/>
      </c>
      <c r="E59" s="147" t="inlineStr">
        <is>
          <t>Enerji Açığı</t>
        </is>
      </c>
      <c r="F59" s="30" t="n">
        <v>3599.99</v>
      </c>
      <c r="G59" s="30" t="n">
        <v>3800</v>
      </c>
      <c r="H59" s="30" t="n">
        <v>77.28</v>
      </c>
      <c r="I59" s="30" t="n">
        <v>3137.25</v>
      </c>
      <c r="J59" s="119" t="n">
        <v>0</v>
      </c>
      <c r="K59" s="34">
        <f>F59*J59</f>
        <v/>
      </c>
      <c r="L59" s="119" t="n">
        <v>0</v>
      </c>
      <c r="M59" s="34">
        <f>L59*F59</f>
        <v/>
      </c>
      <c r="N59" s="119" t="n">
        <v>24</v>
      </c>
      <c r="O59" s="34">
        <f>F59</f>
        <v/>
      </c>
      <c r="P59" s="34">
        <f>N59*O59</f>
        <v/>
      </c>
      <c r="Q59" s="119" t="n">
        <v>0</v>
      </c>
      <c r="R59" s="34">
        <f>F59</f>
        <v/>
      </c>
      <c r="S59" s="34">
        <f>R59*Q59</f>
        <v/>
      </c>
      <c r="T59" s="34" t="n"/>
      <c r="U59" s="34">
        <f>IFERROR(W59/T59,0)</f>
        <v/>
      </c>
      <c r="V59" s="34">
        <f>IF(U59=0,0,U59-F59)</f>
        <v/>
      </c>
      <c r="W59" s="34" t="n"/>
      <c r="X59" s="34" t="n"/>
      <c r="Y59" s="34">
        <f>IFERROR(AA59/X59,0)</f>
        <v/>
      </c>
      <c r="Z59" s="34">
        <f>IF(Y59=0,0,F59-Y59)</f>
        <v/>
      </c>
      <c r="AA59" s="34" t="n"/>
      <c r="AB59" s="34" t="n">
        <v>0</v>
      </c>
      <c r="AC59" s="34" t="n">
        <v>0</v>
      </c>
      <c r="AD59" s="34">
        <f>IF(AB59&gt;AC59*1.05,AB59-AC59*1.05,IF(AB59&lt;AC59*0.95,AC59*0.95-AB59,0))</f>
        <v/>
      </c>
      <c r="AE59" s="34">
        <f>MAX(F59,G59,750)*0.05*AD59</f>
        <v/>
      </c>
      <c r="AF59" s="34" t="n">
        <v>0</v>
      </c>
      <c r="AG59" s="34">
        <f>IF(AB59&gt;AF59*1.05,AB59-AF59*1.05,IF(AB59&lt;AF59*0.95,AF59*0.95-AB59,0))</f>
        <v/>
      </c>
      <c r="AH59" s="34">
        <f>MAX(I59,J59,750)*0.05*AG59</f>
        <v/>
      </c>
      <c r="AI59" t="n">
        <v>10.49</v>
      </c>
      <c r="AJ59" t="n">
        <v>9</v>
      </c>
      <c r="AK59" s="34">
        <f>IF(AI59&gt;AJ59*1.05,AI59-AJ59*1.05,IF(AI59&lt;AJ59*0.95,AJ59*0.95-AI59,0))</f>
        <v/>
      </c>
      <c r="AL59" s="34">
        <f>MAX(F59,G59,750)*0.05*AK59</f>
        <v/>
      </c>
      <c r="AM59" s="39" t="n">
        <v>9</v>
      </c>
      <c r="AN59" s="34">
        <f>IF(AI59&gt;AM59*1.05,AI59-AM59*1.05,IF(AI59&lt;AM59*0.95,AM59*0.95-AI59,0))</f>
        <v/>
      </c>
      <c r="AO59" s="34">
        <f>MAX(F59,G59,750)*0.05*AN59</f>
        <v/>
      </c>
      <c r="AP59" s="34" t="n">
        <v>13.96</v>
      </c>
      <c r="AQ59" s="34" t="n">
        <v>15</v>
      </c>
      <c r="AR59" s="34">
        <f>IF(AP59&gt;AQ59*1.05,AP59-AQ59*1.05,IF(AP59&lt;AQ59*0.95,AQ59*0.95-AP59,0))</f>
        <v/>
      </c>
      <c r="AS59" s="34">
        <f>MAX(F59:G59,750)*0.05*AR59</f>
        <v/>
      </c>
      <c r="AT59" t="n">
        <v>15</v>
      </c>
      <c r="AU59" s="34">
        <f>IF(AP59&gt;AT59*1.05,AP59-AT59*1.05,IF(AP59&lt;AT59*0.95,AT59*0.95-AP59,0))</f>
        <v/>
      </c>
      <c r="AV59" s="34">
        <f>MAX(F59:G59,750)*0.05*AU59</f>
        <v/>
      </c>
      <c r="AW59" s="34">
        <f>AC59+AJ59+AQ59</f>
        <v/>
      </c>
      <c r="AX59" s="34">
        <f>AF59+AM59+AT59</f>
        <v/>
      </c>
      <c r="AY59" s="34">
        <f>AB59+AI59+AP59</f>
        <v/>
      </c>
      <c r="AZ59" s="34" t="n">
        <v>0</v>
      </c>
      <c r="BA59" s="34">
        <f>AD59+AK59+AR59</f>
        <v/>
      </c>
      <c r="BB59" s="34">
        <f>MAX(F59:G59,750)*0.05*BA59</f>
        <v/>
      </c>
      <c r="BC59" s="34">
        <f>AG59+AN59+AU59</f>
        <v/>
      </c>
      <c r="BD59" s="34">
        <f>MAX(F59:G59,750)*0.05*BC59</f>
        <v/>
      </c>
      <c r="BE59" s="34">
        <f>F59*AY59</f>
        <v/>
      </c>
      <c r="BF59" s="34">
        <f>K59-M59</f>
        <v/>
      </c>
      <c r="BG59" s="34">
        <f>P59-S59</f>
        <v/>
      </c>
      <c r="BH59" s="34">
        <f>W59-AA59</f>
        <v/>
      </c>
      <c r="BI59" s="34">
        <f>BF59+BG59+BL59-BN59</f>
        <v/>
      </c>
      <c r="BJ59" s="34">
        <f>ABS(BK59)</f>
        <v/>
      </c>
      <c r="BK59" s="34">
        <f>AY59-(J59-L59+N59-Q59)</f>
        <v/>
      </c>
      <c r="BL59" s="34">
        <f>IF(AND(BK59&gt;0,MIN($F59:$G59)&lt;150,$E59="Enerji Açığı"),-100*BK59*1.03,IF(AND(BK59&gt;0,MIN($F59:$G59)&lt;150,$E59="Enerji Fazlası"),-100*BK59*1.06,IF(AND(BK59&gt;0,MIN($F59:$G59)&gt;=150,$E59="Enerji Açığı"),BK59*MIN($F59:$G59)*0.97,IF(AND(BK59&gt;0,MIN($F59:$G59)&gt;=150,$E59="Enerji Fazlası"),BK59*MIN($F59:$G59)*0.94,IF(AND(BK59&lt;0,MAX($F59:$G59)=4500,$E59="Enerji Açığı"),4500*1.05*1.06*BK59,IF(AND(BK59&lt;0,MAX($F59:$G59)=4500,$E59="Enerji Fazlası"),4500*1.05*1.03*BK59,IF(AND(BK59&lt;0,$E59="Enerji Açığı"),MAX($F59,$G59,150)*BK59*1.06,IF(AND(BK59&lt;0,$E59="Enerji Fazlası"),MAX($F59,$G59,150)*BK59*1.03,IF(AND(BK59&lt;0,$E59="Dengede"),MAX($F59:$G59,150)*1.03*BK59,MIN($F59:$G59)*0.97*BK59)))))))))</f>
        <v/>
      </c>
      <c r="BM59" s="34">
        <f>BE59-BI59-BN59</f>
        <v/>
      </c>
      <c r="BN59" s="34">
        <f>BB59</f>
        <v/>
      </c>
      <c r="BO59" s="34">
        <f>BE59-BI59</f>
        <v/>
      </c>
      <c r="BP59" s="34">
        <f>IF(AY59=0,0,BO59/AY59)</f>
        <v/>
      </c>
      <c r="BQ59" s="34">
        <f>MAX((AY59+MAX((-J59+L59-N59+Q59),0)),(MAX((J59-L59+N59-Q59),0)))</f>
        <v/>
      </c>
      <c r="BR59" s="82">
        <f>IFERROR(ABS(BK59/BQ59),0)</f>
        <v/>
      </c>
      <c r="BS59" s="34">
        <f>IF(BR59&lt;=0.1,0,BK59/BR59*(BR59-0.1))</f>
        <v/>
      </c>
      <c r="BT59" s="34">
        <f>IF((BS59)&lt;0,MAX(F59:G59)*(BS59)*1.03,MIN(F59:G59)*(BS59)*0.97)</f>
        <v/>
      </c>
      <c r="BU59" s="34">
        <f>IF(BR59&gt;0.1,1,0)</f>
        <v/>
      </c>
      <c r="BV59" s="34">
        <f>BF59+BG59+BH59+BY59-CA59</f>
        <v/>
      </c>
      <c r="BW59" s="34">
        <f>ABS(BX59)</f>
        <v/>
      </c>
      <c r="BX59" s="34">
        <f>AY59-(J59-L59+N59-Q59+T59-X59)</f>
        <v/>
      </c>
      <c r="BY59" s="34">
        <f>IF(AND(BX59&gt;0,MIN($F59:$G59)&lt;150,$E59="Enerji Açığı"),-100*BX59*1.03,IF(AND(BX59&gt;0,MIN($F59:$G59)&lt;150,$E59="Enerji Fazlası"),-100*BX59*1.06,IF(AND(BX59&gt;0,MIN($F59:$G59)&gt;=150,$E59="Enerji Açığı"),BX59*MIN($F59:$G59)*0.97,IF(AND(BX59&gt;0,MIN($F59:$G59)&gt;=150,$E59="Enerji Fazlası"),BX59*MIN($F59:$G59)*0.94,IF(AND(BX59&lt;0,MAX($F59:$G59)=4500,$E59="Enerji Açığı"),4500*1.05*1.06*BX59,IF(AND(BX59&lt;0,MAX($F59:$G59)=4500,$E59="Enerji Fazlası"),4500*1.05*1.03*BX59,IF(AND(BX59&lt;0,$E59="Enerji Açığı"),MAX($F59,$G59,150)*BX59*1.06,IF(AND(BX59&lt;0,$E59="Enerji Fazlası"),MAX($F59,$G59,150)*BX59*1.03,IF(AND(BX59&lt;0,$E59="Dengede"),MAX($F59:$G59,150)*1.03*BX59,MIN($F59:$G59)*0.97*BX59)))))))))</f>
        <v/>
      </c>
      <c r="BZ59" s="34">
        <f>BE59-BV59-CA59</f>
        <v/>
      </c>
      <c r="CA59" s="34">
        <f>BD59</f>
        <v/>
      </c>
      <c r="CB59" s="33">
        <f>BE59-BV59</f>
        <v/>
      </c>
      <c r="CC59" s="34">
        <f>IF(AY59=0,0,CB59/AY59)</f>
        <v/>
      </c>
      <c r="CD59" s="34">
        <f>MAX((AY59+MAX((-J59+L59-N59+Q59-T59+X59),0)),(MAX((J59-L59+N59-Q59+T59-X59),0)))</f>
        <v/>
      </c>
      <c r="CE59" s="82">
        <f>IFERROR(ABS(BX59/CD59),0)</f>
        <v/>
      </c>
      <c r="CF59" s="34">
        <f>IF(CE59&lt;=0.1,0,BX59/CE59*(CE59-0.1))</f>
        <v/>
      </c>
      <c r="CG59" s="34">
        <f>IF((CF59)&lt;0,MAX(F59:G59)*(CF59)*1.03,MIN(F59:G59)*(CF59)*0.97)</f>
        <v/>
      </c>
      <c r="CH59" s="34">
        <f>IF(CE59&gt;0.1,1,0)</f>
        <v/>
      </c>
      <c r="CI59" s="34">
        <f>(F59*BX59)-BY59</f>
        <v/>
      </c>
      <c r="CJ59" s="34">
        <f>IF(AY59=0,0,CI59/AY59)</f>
        <v/>
      </c>
    </row>
    <row r="60">
      <c r="A60" s="29" t="n">
        <v>46206.375</v>
      </c>
      <c r="B60" s="29" t="inlineStr">
        <is>
          <t>09:00</t>
        </is>
      </c>
      <c r="C60" s="35">
        <f>INT(A60)</f>
        <v/>
      </c>
      <c r="D60" s="36">
        <f>MONTH(A60)</f>
        <v/>
      </c>
      <c r="E60" s="147" t="inlineStr">
        <is>
          <t>Enerji Açığı</t>
        </is>
      </c>
      <c r="F60" s="30" t="n">
        <v>3499.99</v>
      </c>
      <c r="G60" s="30" t="n">
        <v>3999.99</v>
      </c>
      <c r="H60" s="30" t="n">
        <v>75.13</v>
      </c>
      <c r="I60" s="30" t="n">
        <v>3067.38</v>
      </c>
      <c r="J60" s="119" t="n">
        <v>0</v>
      </c>
      <c r="K60" s="34">
        <f>F60*J60</f>
        <v/>
      </c>
      <c r="L60" s="119" t="n">
        <v>0</v>
      </c>
      <c r="M60" s="34">
        <f>L60*F60</f>
        <v/>
      </c>
      <c r="N60" s="119" t="n">
        <v>24</v>
      </c>
      <c r="O60" s="34">
        <f>F60</f>
        <v/>
      </c>
      <c r="P60" s="34">
        <f>N60*O60</f>
        <v/>
      </c>
      <c r="Q60" s="119" t="n">
        <v>0</v>
      </c>
      <c r="R60" s="34">
        <f>F60</f>
        <v/>
      </c>
      <c r="S60" s="34">
        <f>R60*Q60</f>
        <v/>
      </c>
      <c r="T60" s="34" t="n"/>
      <c r="U60" s="34">
        <f>IFERROR(W60/T60,0)</f>
        <v/>
      </c>
      <c r="V60" s="34">
        <f>IF(U60=0,0,U60-F60)</f>
        <v/>
      </c>
      <c r="W60" s="34" t="n"/>
      <c r="X60" s="34" t="n"/>
      <c r="Y60" s="34">
        <f>IFERROR(AA60/X60,0)</f>
        <v/>
      </c>
      <c r="Z60" s="34">
        <f>IF(Y60=0,0,F60-Y60)</f>
        <v/>
      </c>
      <c r="AA60" s="34" t="n"/>
      <c r="AB60" s="34" t="n">
        <v>0</v>
      </c>
      <c r="AC60" s="34" t="n">
        <v>0</v>
      </c>
      <c r="AD60" s="34">
        <f>IF(AB60&gt;AC60*1.05,AB60-AC60*1.05,IF(AB60&lt;AC60*0.95,AC60*0.95-AB60,0))</f>
        <v/>
      </c>
      <c r="AE60" s="34">
        <f>MAX(F60,G60,750)*0.05*AD60</f>
        <v/>
      </c>
      <c r="AF60" s="34" t="n">
        <v>0</v>
      </c>
      <c r="AG60" s="34">
        <f>IF(AB60&gt;AF60*1.05,AB60-AF60*1.05,IF(AB60&lt;AF60*0.95,AF60*0.95-AB60,0))</f>
        <v/>
      </c>
      <c r="AH60" s="34">
        <f>MAX(I60,J60,750)*0.05*AG60</f>
        <v/>
      </c>
      <c r="AI60" t="n">
        <v>11.11</v>
      </c>
      <c r="AJ60" t="n">
        <v>9</v>
      </c>
      <c r="AK60" s="34">
        <f>IF(AI60&gt;AJ60*1.05,AI60-AJ60*1.05,IF(AI60&lt;AJ60*0.95,AJ60*0.95-AI60,0))</f>
        <v/>
      </c>
      <c r="AL60" s="34">
        <f>MAX(F60,G60,750)*0.05*AK60</f>
        <v/>
      </c>
      <c r="AM60" s="39" t="n">
        <v>10</v>
      </c>
      <c r="AN60" s="34">
        <f>IF(AI60&gt;AM60*1.05,AI60-AM60*1.05,IF(AI60&lt;AM60*0.95,AM60*0.95-AI60,0))</f>
        <v/>
      </c>
      <c r="AO60" s="34">
        <f>MAX(F60,G60,750)*0.05*AN60</f>
        <v/>
      </c>
      <c r="AP60" s="34" t="n">
        <v>14.01</v>
      </c>
      <c r="AQ60" s="34" t="n">
        <v>15</v>
      </c>
      <c r="AR60" s="34">
        <f>IF(AP60&gt;AQ60*1.05,AP60-AQ60*1.05,IF(AP60&lt;AQ60*0.95,AQ60*0.95-AP60,0))</f>
        <v/>
      </c>
      <c r="AS60" s="34">
        <f>MAX(F60:G60,750)*0.05*AR60</f>
        <v/>
      </c>
      <c r="AT60" t="n">
        <v>15</v>
      </c>
      <c r="AU60" s="34">
        <f>IF(AP60&gt;AT60*1.05,AP60-AT60*1.05,IF(AP60&lt;AT60*0.95,AT60*0.95-AP60,0))</f>
        <v/>
      </c>
      <c r="AV60" s="34">
        <f>MAX(F60:G60,750)*0.05*AU60</f>
        <v/>
      </c>
      <c r="AW60" s="34">
        <f>AC60+AJ60+AQ60</f>
        <v/>
      </c>
      <c r="AX60" s="34">
        <f>AF60+AM60+AT60</f>
        <v/>
      </c>
      <c r="AY60" s="34">
        <f>AB60+AI60+AP60</f>
        <v/>
      </c>
      <c r="AZ60" s="34" t="n">
        <v>0</v>
      </c>
      <c r="BA60" s="34">
        <f>AD60+AK60+AR60</f>
        <v/>
      </c>
      <c r="BB60" s="34">
        <f>MAX(F60:G60,750)*0.05*BA60</f>
        <v/>
      </c>
      <c r="BC60" s="34">
        <f>AG60+AN60+AU60</f>
        <v/>
      </c>
      <c r="BD60" s="34">
        <f>MAX(F60:G60,750)*0.05*BC60</f>
        <v/>
      </c>
      <c r="BE60" s="34">
        <f>F60*AY60</f>
        <v/>
      </c>
      <c r="BF60" s="34">
        <f>K60-M60</f>
        <v/>
      </c>
      <c r="BG60" s="34">
        <f>P60-S60</f>
        <v/>
      </c>
      <c r="BH60" s="34">
        <f>W60-AA60</f>
        <v/>
      </c>
      <c r="BI60" s="34">
        <f>BF60+BG60+BL60-BN60</f>
        <v/>
      </c>
      <c r="BJ60" s="34">
        <f>ABS(BK60)</f>
        <v/>
      </c>
      <c r="BK60" s="34">
        <f>AY60-(J60-L60+N60-Q60)</f>
        <v/>
      </c>
      <c r="BL60" s="34">
        <f>IF(AND(BK60&gt;0,MIN($F60:$G60)&lt;150,$E60="Enerji Açığı"),-100*BK60*1.03,IF(AND(BK60&gt;0,MIN($F60:$G60)&lt;150,$E60="Enerji Fazlası"),-100*BK60*1.06,IF(AND(BK60&gt;0,MIN($F60:$G60)&gt;=150,$E60="Enerji Açığı"),BK60*MIN($F60:$G60)*0.97,IF(AND(BK60&gt;0,MIN($F60:$G60)&gt;=150,$E60="Enerji Fazlası"),BK60*MIN($F60:$G60)*0.94,IF(AND(BK60&lt;0,MAX($F60:$G60)=4500,$E60="Enerji Açığı"),4500*1.05*1.06*BK60,IF(AND(BK60&lt;0,MAX($F60:$G60)=4500,$E60="Enerji Fazlası"),4500*1.05*1.03*BK60,IF(AND(BK60&lt;0,$E60="Enerji Açığı"),MAX($F60,$G60,150)*BK60*1.06,IF(AND(BK60&lt;0,$E60="Enerji Fazlası"),MAX($F60,$G60,150)*BK60*1.03,IF(AND(BK60&lt;0,$E60="Dengede"),MAX($F60:$G60,150)*1.03*BK60,MIN($F60:$G60)*0.97*BK60)))))))))</f>
        <v/>
      </c>
      <c r="BM60" s="34">
        <f>BE60-BI60-BN60</f>
        <v/>
      </c>
      <c r="BN60" s="34">
        <f>BB60</f>
        <v/>
      </c>
      <c r="BO60" s="34">
        <f>BE60-BI60</f>
        <v/>
      </c>
      <c r="BP60" s="34">
        <f>IF(AY60=0,0,BO60/AY60)</f>
        <v/>
      </c>
      <c r="BQ60" s="34">
        <f>MAX((AY60+MAX((-J60+L60-N60+Q60),0)),(MAX((J60-L60+N60-Q60),0)))</f>
        <v/>
      </c>
      <c r="BR60" s="82">
        <f>IFERROR(ABS(BK60/BQ60),0)</f>
        <v/>
      </c>
      <c r="BS60" s="34">
        <f>IF(BR60&lt;=0.1,0,BK60/BR60*(BR60-0.1))</f>
        <v/>
      </c>
      <c r="BT60" s="34">
        <f>IF((BS60)&lt;0,MAX(F60:G60)*(BS60)*1.03,MIN(F60:G60)*(BS60)*0.97)</f>
        <v/>
      </c>
      <c r="BU60" s="34">
        <f>IF(BR60&gt;0.1,1,0)</f>
        <v/>
      </c>
      <c r="BV60" s="34">
        <f>BF60+BG60+BH60+BY60-CA60</f>
        <v/>
      </c>
      <c r="BW60" s="34">
        <f>ABS(BX60)</f>
        <v/>
      </c>
      <c r="BX60" s="34">
        <f>AY60-(J60-L60+N60-Q60+T60-X60)</f>
        <v/>
      </c>
      <c r="BY60" s="34">
        <f>IF(AND(BX60&gt;0,MIN($F60:$G60)&lt;150,$E60="Enerji Açığı"),-100*BX60*1.03,IF(AND(BX60&gt;0,MIN($F60:$G60)&lt;150,$E60="Enerji Fazlası"),-100*BX60*1.06,IF(AND(BX60&gt;0,MIN($F60:$G60)&gt;=150,$E60="Enerji Açığı"),BX60*MIN($F60:$G60)*0.97,IF(AND(BX60&gt;0,MIN($F60:$G60)&gt;=150,$E60="Enerji Fazlası"),BX60*MIN($F60:$G60)*0.94,IF(AND(BX60&lt;0,MAX($F60:$G60)=4500,$E60="Enerji Açığı"),4500*1.05*1.06*BX60,IF(AND(BX60&lt;0,MAX($F60:$G60)=4500,$E60="Enerji Fazlası"),4500*1.05*1.03*BX60,IF(AND(BX60&lt;0,$E60="Enerji Açığı"),MAX($F60,$G60,150)*BX60*1.06,IF(AND(BX60&lt;0,$E60="Enerji Fazlası"),MAX($F60,$G60,150)*BX60*1.03,IF(AND(BX60&lt;0,$E60="Dengede"),MAX($F60:$G60,150)*1.03*BX60,MIN($F60:$G60)*0.97*BX60)))))))))</f>
        <v/>
      </c>
      <c r="BZ60" s="34">
        <f>BE60-BV60-CA60</f>
        <v/>
      </c>
      <c r="CA60" s="34">
        <f>BD60</f>
        <v/>
      </c>
      <c r="CB60" s="33">
        <f>BE60-BV60</f>
        <v/>
      </c>
      <c r="CC60" s="34">
        <f>IF(AY60=0,0,CB60/AY60)</f>
        <v/>
      </c>
      <c r="CD60" s="34">
        <f>MAX((AY60+MAX((-J60+L60-N60+Q60-T60+X60),0)),(MAX((J60-L60+N60-Q60+T60-X60),0)))</f>
        <v/>
      </c>
      <c r="CE60" s="82">
        <f>IFERROR(ABS(BX60/CD60),0)</f>
        <v/>
      </c>
      <c r="CF60" s="34">
        <f>IF(CE60&lt;=0.1,0,BX60/CE60*(CE60-0.1))</f>
        <v/>
      </c>
      <c r="CG60" s="34">
        <f>IF((CF60)&lt;0,MAX(F60:G60)*(CF60)*1.03,MIN(F60:G60)*(CF60)*0.97)</f>
        <v/>
      </c>
      <c r="CH60" s="34">
        <f>IF(CE60&gt;0.1,1,0)</f>
        <v/>
      </c>
      <c r="CI60" s="34">
        <f>(F60*BX60)-BY60</f>
        <v/>
      </c>
      <c r="CJ60" s="34">
        <f>IF(AY60=0,0,CI60/AY60)</f>
        <v/>
      </c>
    </row>
    <row r="61">
      <c r="A61" s="29" t="n">
        <v>46206.41666666666</v>
      </c>
      <c r="B61" s="29" t="inlineStr">
        <is>
          <t>10:00</t>
        </is>
      </c>
      <c r="C61" s="35">
        <f>INT(A61)</f>
        <v/>
      </c>
      <c r="D61" s="36">
        <f>MONTH(A61)</f>
        <v/>
      </c>
      <c r="E61" s="147" t="inlineStr">
        <is>
          <t>Enerji Açığı</t>
        </is>
      </c>
      <c r="F61" s="30" t="n">
        <v>2537.99</v>
      </c>
      <c r="G61" s="30" t="n">
        <v>3900</v>
      </c>
      <c r="H61" s="30" t="n">
        <v>54.48</v>
      </c>
      <c r="I61" s="30" t="n">
        <v>2421.24</v>
      </c>
      <c r="J61" s="119" t="n">
        <v>0</v>
      </c>
      <c r="K61" s="34">
        <f>F61*J61</f>
        <v/>
      </c>
      <c r="L61" s="119" t="n">
        <v>0</v>
      </c>
      <c r="M61" s="34">
        <f>L61*F61</f>
        <v/>
      </c>
      <c r="N61" s="119" t="n">
        <v>25.3</v>
      </c>
      <c r="O61" s="34">
        <f>F61</f>
        <v/>
      </c>
      <c r="P61" s="34">
        <f>N61*O61</f>
        <v/>
      </c>
      <c r="Q61" s="119" t="n">
        <v>0</v>
      </c>
      <c r="R61" s="34">
        <f>F61</f>
        <v/>
      </c>
      <c r="S61" s="34">
        <f>R61*Q61</f>
        <v/>
      </c>
      <c r="T61" s="34" t="n"/>
      <c r="U61" s="34">
        <f>IFERROR(W61/T61,0)</f>
        <v/>
      </c>
      <c r="V61" s="34">
        <f>IF(U61=0,0,U61-F61)</f>
        <v/>
      </c>
      <c r="W61" s="34" t="n"/>
      <c r="X61" s="34" t="n"/>
      <c r="Y61" s="34">
        <f>IFERROR(AA61/X61,0)</f>
        <v/>
      </c>
      <c r="Z61" s="34">
        <f>IF(Y61=0,0,F61-Y61)</f>
        <v/>
      </c>
      <c r="AA61" s="34" t="n"/>
      <c r="AB61" s="34" t="n">
        <v>0</v>
      </c>
      <c r="AC61" s="34" t="n">
        <v>0</v>
      </c>
      <c r="AD61" s="34">
        <f>IF(AB61&gt;AC61*1.05,AB61-AC61*1.05,IF(AB61&lt;AC61*0.95,AC61*0.95-AB61,0))</f>
        <v/>
      </c>
      <c r="AE61" s="34">
        <f>MAX(F61,G61,750)*0.05*AD61</f>
        <v/>
      </c>
      <c r="AF61" s="34" t="n">
        <v>0</v>
      </c>
      <c r="AG61" s="34">
        <f>IF(AB61&gt;AF61*1.05,AB61-AF61*1.05,IF(AB61&lt;AF61*0.95,AF61*0.95-AB61,0))</f>
        <v/>
      </c>
      <c r="AH61" s="34">
        <f>MAX(I61,J61,750)*0.05*AG61</f>
        <v/>
      </c>
      <c r="AI61" t="n">
        <v>11.15</v>
      </c>
      <c r="AJ61" t="n">
        <v>10</v>
      </c>
      <c r="AK61" s="34">
        <f>IF(AI61&gt;AJ61*1.05,AI61-AJ61*1.05,IF(AI61&lt;AJ61*0.95,AJ61*0.95-AI61,0))</f>
        <v/>
      </c>
      <c r="AL61" s="34">
        <f>MAX(F61,G61,750)*0.05*AK61</f>
        <v/>
      </c>
      <c r="AM61" s="39" t="n">
        <v>10</v>
      </c>
      <c r="AN61" s="34">
        <f>IF(AI61&gt;AM61*1.05,AI61-AM61*1.05,IF(AI61&lt;AM61*0.95,AM61*0.95-AI61,0))</f>
        <v/>
      </c>
      <c r="AO61" s="34">
        <f>MAX(F61,G61,750)*0.05*AN61</f>
        <v/>
      </c>
      <c r="AP61" s="34" t="n">
        <v>14.6</v>
      </c>
      <c r="AQ61" s="34" t="n">
        <v>15.3</v>
      </c>
      <c r="AR61" s="34">
        <f>IF(AP61&gt;AQ61*1.05,AP61-AQ61*1.05,IF(AP61&lt;AQ61*0.95,AQ61*0.95-AP61,0))</f>
        <v/>
      </c>
      <c r="AS61" s="34">
        <f>MAX(F61:G61,750)*0.05*AR61</f>
        <v/>
      </c>
      <c r="AT61" t="n">
        <v>15.3</v>
      </c>
      <c r="AU61" s="34">
        <f>IF(AP61&gt;AT61*1.05,AP61-AT61*1.05,IF(AP61&lt;AT61*0.95,AT61*0.95-AP61,0))</f>
        <v/>
      </c>
      <c r="AV61" s="34">
        <f>MAX(F61:G61,750)*0.05*AU61</f>
        <v/>
      </c>
      <c r="AW61" s="34">
        <f>AC61+AJ61+AQ61</f>
        <v/>
      </c>
      <c r="AX61" s="34">
        <f>AF61+AM61+AT61</f>
        <v/>
      </c>
      <c r="AY61" s="34">
        <f>AB61+AI61+AP61</f>
        <v/>
      </c>
      <c r="AZ61" s="34" t="n">
        <v>0</v>
      </c>
      <c r="BA61" s="34">
        <f>AD61+AK61+AR61</f>
        <v/>
      </c>
      <c r="BB61" s="34">
        <f>MAX(F61:G61,750)*0.05*BA61</f>
        <v/>
      </c>
      <c r="BC61" s="34">
        <f>AG61+AN61+AU61</f>
        <v/>
      </c>
      <c r="BD61" s="34">
        <f>MAX(F61:G61,750)*0.05*BC61</f>
        <v/>
      </c>
      <c r="BE61" s="34">
        <f>F61*AY61</f>
        <v/>
      </c>
      <c r="BF61" s="34">
        <f>K61-M61</f>
        <v/>
      </c>
      <c r="BG61" s="34">
        <f>P61-S61</f>
        <v/>
      </c>
      <c r="BH61" s="34">
        <f>W61-AA61</f>
        <v/>
      </c>
      <c r="BI61" s="34">
        <f>BF61+BG61+BL61-BN61</f>
        <v/>
      </c>
      <c r="BJ61" s="34">
        <f>ABS(BK61)</f>
        <v/>
      </c>
      <c r="BK61" s="34">
        <f>AY61-(J61-L61+N61-Q61)</f>
        <v/>
      </c>
      <c r="BL61" s="34">
        <f>IF(AND(BK61&gt;0,MIN($F61:$G61)&lt;150,$E61="Enerji Açığı"),-100*BK61*1.03,IF(AND(BK61&gt;0,MIN($F61:$G61)&lt;150,$E61="Enerji Fazlası"),-100*BK61*1.06,IF(AND(BK61&gt;0,MIN($F61:$G61)&gt;=150,$E61="Enerji Açığı"),BK61*MIN($F61:$G61)*0.97,IF(AND(BK61&gt;0,MIN($F61:$G61)&gt;=150,$E61="Enerji Fazlası"),BK61*MIN($F61:$G61)*0.94,IF(AND(BK61&lt;0,MAX($F61:$G61)=4500,$E61="Enerji Açığı"),4500*1.05*1.06*BK61,IF(AND(BK61&lt;0,MAX($F61:$G61)=4500,$E61="Enerji Fazlası"),4500*1.05*1.03*BK61,IF(AND(BK61&lt;0,$E61="Enerji Açığı"),MAX($F61,$G61,150)*BK61*1.06,IF(AND(BK61&lt;0,$E61="Enerji Fazlası"),MAX($F61,$G61,150)*BK61*1.03,IF(AND(BK61&lt;0,$E61="Dengede"),MAX($F61:$G61,150)*1.03*BK61,MIN($F61:$G61)*0.97*BK61)))))))))</f>
        <v/>
      </c>
      <c r="BM61" s="34">
        <f>BE61-BI61-BN61</f>
        <v/>
      </c>
      <c r="BN61" s="34">
        <f>BB61</f>
        <v/>
      </c>
      <c r="BO61" s="34">
        <f>BE61-BI61</f>
        <v/>
      </c>
      <c r="BP61" s="34">
        <f>IF(AY61=0,0,BO61/AY61)</f>
        <v/>
      </c>
      <c r="BQ61" s="34">
        <f>MAX((AY61+MAX((-J61+L61-N61+Q61),0)),(MAX((J61-L61+N61-Q61),0)))</f>
        <v/>
      </c>
      <c r="BR61" s="82">
        <f>IFERROR(ABS(BK61/BQ61),0)</f>
        <v/>
      </c>
      <c r="BS61" s="34">
        <f>IF(BR61&lt;=0.1,0,BK61/BR61*(BR61-0.1))</f>
        <v/>
      </c>
      <c r="BT61" s="34">
        <f>IF((BS61)&lt;0,MAX(F61:G61)*(BS61)*1.03,MIN(F61:G61)*(BS61)*0.97)</f>
        <v/>
      </c>
      <c r="BU61" s="34">
        <f>IF(BR61&gt;0.1,1,0)</f>
        <v/>
      </c>
      <c r="BV61" s="34">
        <f>BF61+BG61+BH61+BY61-CA61</f>
        <v/>
      </c>
      <c r="BW61" s="34">
        <f>ABS(BX61)</f>
        <v/>
      </c>
      <c r="BX61" s="34">
        <f>AY61-(J61-L61+N61-Q61+T61-X61)</f>
        <v/>
      </c>
      <c r="BY61" s="34">
        <f>IF(AND(BX61&gt;0,MIN($F61:$G61)&lt;150,$E61="Enerji Açığı"),-100*BX61*1.03,IF(AND(BX61&gt;0,MIN($F61:$G61)&lt;150,$E61="Enerji Fazlası"),-100*BX61*1.06,IF(AND(BX61&gt;0,MIN($F61:$G61)&gt;=150,$E61="Enerji Açığı"),BX61*MIN($F61:$G61)*0.97,IF(AND(BX61&gt;0,MIN($F61:$G61)&gt;=150,$E61="Enerji Fazlası"),BX61*MIN($F61:$G61)*0.94,IF(AND(BX61&lt;0,MAX($F61:$G61)=4500,$E61="Enerji Açığı"),4500*1.05*1.06*BX61,IF(AND(BX61&lt;0,MAX($F61:$G61)=4500,$E61="Enerji Fazlası"),4500*1.05*1.03*BX61,IF(AND(BX61&lt;0,$E61="Enerji Açığı"),MAX($F61,$G61,150)*BX61*1.06,IF(AND(BX61&lt;0,$E61="Enerji Fazlası"),MAX($F61,$G61,150)*BX61*1.03,IF(AND(BX61&lt;0,$E61="Dengede"),MAX($F61:$G61,150)*1.03*BX61,MIN($F61:$G61)*0.97*BX61)))))))))</f>
        <v/>
      </c>
      <c r="BZ61" s="34">
        <f>BE61-BV61-CA61</f>
        <v/>
      </c>
      <c r="CA61" s="34">
        <f>BD61</f>
        <v/>
      </c>
      <c r="CB61" s="33">
        <f>BE61-BV61</f>
        <v/>
      </c>
      <c r="CC61" s="34">
        <f>IF(AY61=0,0,CB61/AY61)</f>
        <v/>
      </c>
      <c r="CD61" s="34">
        <f>MAX((AY61+MAX((-J61+L61-N61+Q61-T61+X61),0)),(MAX((J61-L61+N61-Q61+T61-X61),0)))</f>
        <v/>
      </c>
      <c r="CE61" s="82">
        <f>IFERROR(ABS(BX61/CD61),0)</f>
        <v/>
      </c>
      <c r="CF61" s="34">
        <f>IF(CE61&lt;=0.1,0,BX61/CE61*(CE61-0.1))</f>
        <v/>
      </c>
      <c r="CG61" s="34">
        <f>IF((CF61)&lt;0,MAX(F61:G61)*(CF61)*1.03,MIN(F61:G61)*(CF61)*0.97)</f>
        <v/>
      </c>
      <c r="CH61" s="34">
        <f>IF(CE61&gt;0.1,1,0)</f>
        <v/>
      </c>
      <c r="CI61" s="34">
        <f>(F61*BX61)-BY61</f>
        <v/>
      </c>
      <c r="CJ61" s="34">
        <f>IF(AY61=0,0,CI61/AY61)</f>
        <v/>
      </c>
    </row>
    <row r="62">
      <c r="A62" s="29" t="n">
        <v>46206.45833333334</v>
      </c>
      <c r="B62" s="29" t="inlineStr">
        <is>
          <t>11:00</t>
        </is>
      </c>
      <c r="C62" s="35">
        <f>INT(A62)</f>
        <v/>
      </c>
      <c r="D62" s="36">
        <f>MONTH(A62)</f>
        <v/>
      </c>
      <c r="E62" s="147" t="inlineStr">
        <is>
          <t>Enerji Açığı</t>
        </is>
      </c>
      <c r="F62" s="30" t="n">
        <v>2250</v>
      </c>
      <c r="G62" s="30" t="n">
        <v>3450</v>
      </c>
      <c r="H62" s="30" t="n">
        <v>48.3</v>
      </c>
      <c r="I62" s="30" t="n">
        <v>2151.2</v>
      </c>
      <c r="J62" s="119" t="n">
        <v>0</v>
      </c>
      <c r="K62" s="34">
        <f>F62*J62</f>
        <v/>
      </c>
      <c r="L62" s="119" t="n">
        <v>0</v>
      </c>
      <c r="M62" s="34">
        <f>L62*F62</f>
        <v/>
      </c>
      <c r="N62" s="119" t="n">
        <v>25.3</v>
      </c>
      <c r="O62" s="34">
        <f>F62</f>
        <v/>
      </c>
      <c r="P62" s="34">
        <f>N62*O62</f>
        <v/>
      </c>
      <c r="Q62" s="119" t="n">
        <v>0</v>
      </c>
      <c r="R62" s="34">
        <f>F62</f>
        <v/>
      </c>
      <c r="S62" s="34">
        <f>R62*Q62</f>
        <v/>
      </c>
      <c r="T62" s="34" t="n"/>
      <c r="U62" s="34">
        <f>IFERROR(W62/T62,0)</f>
        <v/>
      </c>
      <c r="V62" s="34">
        <f>IF(U62=0,0,U62-F62)</f>
        <v/>
      </c>
      <c r="W62" s="34" t="n"/>
      <c r="X62" s="34" t="n"/>
      <c r="Y62" s="34">
        <f>IFERROR(AA62/X62,0)</f>
        <v/>
      </c>
      <c r="Z62" s="34">
        <f>IF(Y62=0,0,F62-Y62)</f>
        <v/>
      </c>
      <c r="AA62" s="34" t="n"/>
      <c r="AB62" s="34" t="n">
        <v>0</v>
      </c>
      <c r="AC62" s="34" t="n">
        <v>0</v>
      </c>
      <c r="AD62" s="34">
        <f>IF(AB62&gt;AC62*1.05,AB62-AC62*1.05,IF(AB62&lt;AC62*0.95,AC62*0.95-AB62,0))</f>
        <v/>
      </c>
      <c r="AE62" s="34">
        <f>MAX(F62,G62,750)*0.05*AD62</f>
        <v/>
      </c>
      <c r="AF62" s="34" t="n">
        <v>0</v>
      </c>
      <c r="AG62" s="34">
        <f>IF(AB62&gt;AF62*1.05,AB62-AF62*1.05,IF(AB62&lt;AF62*0.95,AF62*0.95-AB62,0))</f>
        <v/>
      </c>
      <c r="AH62" s="34">
        <f>MAX(I62,J62,750)*0.05*AG62</f>
        <v/>
      </c>
      <c r="AI62" t="n">
        <v>10.22</v>
      </c>
      <c r="AJ62" t="n">
        <v>10</v>
      </c>
      <c r="AK62" s="34">
        <f>IF(AI62&gt;AJ62*1.05,AI62-AJ62*1.05,IF(AI62&lt;AJ62*0.95,AJ62*0.95-AI62,0))</f>
        <v/>
      </c>
      <c r="AL62" s="34">
        <f>MAX(F62,G62,750)*0.05*AK62</f>
        <v/>
      </c>
      <c r="AM62" s="39" t="n">
        <v>10</v>
      </c>
      <c r="AN62" s="34">
        <f>IF(AI62&gt;AM62*1.05,AI62-AM62*1.05,IF(AI62&lt;AM62*0.95,AM62*0.95-AI62,0))</f>
        <v/>
      </c>
      <c r="AO62" s="34">
        <f>MAX(F62,G62,750)*0.05*AN62</f>
        <v/>
      </c>
      <c r="AP62" s="34" t="n">
        <v>15.3</v>
      </c>
      <c r="AQ62" s="34" t="n">
        <v>15.3</v>
      </c>
      <c r="AR62" s="34">
        <f>IF(AP62&gt;AQ62*1.05,AP62-AQ62*1.05,IF(AP62&lt;AQ62*0.95,AQ62*0.95-AP62,0))</f>
        <v/>
      </c>
      <c r="AS62" s="34">
        <f>MAX(F62:G62,750)*0.05*AR62</f>
        <v/>
      </c>
      <c r="AT62" t="n">
        <v>15.3</v>
      </c>
      <c r="AU62" s="34">
        <f>IF(AP62&gt;AT62*1.05,AP62-AT62*1.05,IF(AP62&lt;AT62*0.95,AT62*0.95-AP62,0))</f>
        <v/>
      </c>
      <c r="AV62" s="34">
        <f>MAX(F62:G62,750)*0.05*AU62</f>
        <v/>
      </c>
      <c r="AW62" s="34">
        <f>AC62+AJ62+AQ62</f>
        <v/>
      </c>
      <c r="AX62" s="34">
        <f>AF62+AM62+AT62</f>
        <v/>
      </c>
      <c r="AY62" s="34">
        <f>AB62+AI62+AP62</f>
        <v/>
      </c>
      <c r="AZ62" s="34" t="n">
        <v>0</v>
      </c>
      <c r="BA62" s="34">
        <f>AD62+AK62+AR62</f>
        <v/>
      </c>
      <c r="BB62" s="34">
        <f>MAX(F62:G62,750)*0.05*BA62</f>
        <v/>
      </c>
      <c r="BC62" s="34">
        <f>AG62+AN62+AU62</f>
        <v/>
      </c>
      <c r="BD62" s="34">
        <f>MAX(F62:G62,750)*0.05*BC62</f>
        <v/>
      </c>
      <c r="BE62" s="34">
        <f>F62*AY62</f>
        <v/>
      </c>
      <c r="BF62" s="34">
        <f>K62-M62</f>
        <v/>
      </c>
      <c r="BG62" s="34">
        <f>P62-S62</f>
        <v/>
      </c>
      <c r="BH62" s="34">
        <f>W62-AA62</f>
        <v/>
      </c>
      <c r="BI62" s="34">
        <f>BF62+BG62+BL62-BN62</f>
        <v/>
      </c>
      <c r="BJ62" s="34">
        <f>ABS(BK62)</f>
        <v/>
      </c>
      <c r="BK62" s="34">
        <f>AY62-(J62-L62+N62-Q62)</f>
        <v/>
      </c>
      <c r="BL62" s="34">
        <f>IF(AND(BK62&gt;0,MIN($F62:$G62)&lt;150,$E62="Enerji Açığı"),-100*BK62*1.03,IF(AND(BK62&gt;0,MIN($F62:$G62)&lt;150,$E62="Enerji Fazlası"),-100*BK62*1.06,IF(AND(BK62&gt;0,MIN($F62:$G62)&gt;=150,$E62="Enerji Açığı"),BK62*MIN($F62:$G62)*0.97,IF(AND(BK62&gt;0,MIN($F62:$G62)&gt;=150,$E62="Enerji Fazlası"),BK62*MIN($F62:$G62)*0.94,IF(AND(BK62&lt;0,MAX($F62:$G62)=4500,$E62="Enerji Açığı"),4500*1.05*1.06*BK62,IF(AND(BK62&lt;0,MAX($F62:$G62)=4500,$E62="Enerji Fazlası"),4500*1.05*1.03*BK62,IF(AND(BK62&lt;0,$E62="Enerji Açığı"),MAX($F62,$G62,150)*BK62*1.06,IF(AND(BK62&lt;0,$E62="Enerji Fazlası"),MAX($F62,$G62,150)*BK62*1.03,IF(AND(BK62&lt;0,$E62="Dengede"),MAX($F62:$G62,150)*1.03*BK62,MIN($F62:$G62)*0.97*BK62)))))))))</f>
        <v/>
      </c>
      <c r="BM62" s="34">
        <f>BE62-BI62-BN62</f>
        <v/>
      </c>
      <c r="BN62" s="34">
        <f>BB62</f>
        <v/>
      </c>
      <c r="BO62" s="34">
        <f>BE62-BI62</f>
        <v/>
      </c>
      <c r="BP62" s="34">
        <f>IF(AY62=0,0,BO62/AY62)</f>
        <v/>
      </c>
      <c r="BQ62" s="34">
        <f>MAX((AY62+MAX((-J62+L62-N62+Q62),0)),(MAX((J62-L62+N62-Q62),0)))</f>
        <v/>
      </c>
      <c r="BR62" s="82">
        <f>IFERROR(ABS(BK62/BQ62),0)</f>
        <v/>
      </c>
      <c r="BS62" s="34">
        <f>IF(BR62&lt;=0.1,0,BK62/BR62*(BR62-0.1))</f>
        <v/>
      </c>
      <c r="BT62" s="34">
        <f>IF((BS62)&lt;0,MAX(F62:G62)*(BS62)*1.03,MIN(F62:G62)*(BS62)*0.97)</f>
        <v/>
      </c>
      <c r="BU62" s="34">
        <f>IF(BR62&gt;0.1,1,0)</f>
        <v/>
      </c>
      <c r="BV62" s="34">
        <f>BF62+BG62+BH62+BY62-CA62</f>
        <v/>
      </c>
      <c r="BW62" s="34">
        <f>ABS(BX62)</f>
        <v/>
      </c>
      <c r="BX62" s="34">
        <f>AY62-(J62-L62+N62-Q62+T62-X62)</f>
        <v/>
      </c>
      <c r="BY62" s="34">
        <f>IF(AND(BX62&gt;0,MIN($F62:$G62)&lt;150,$E62="Enerji Açığı"),-100*BX62*1.03,IF(AND(BX62&gt;0,MIN($F62:$G62)&lt;150,$E62="Enerji Fazlası"),-100*BX62*1.06,IF(AND(BX62&gt;0,MIN($F62:$G62)&gt;=150,$E62="Enerji Açığı"),BX62*MIN($F62:$G62)*0.97,IF(AND(BX62&gt;0,MIN($F62:$G62)&gt;=150,$E62="Enerji Fazlası"),BX62*MIN($F62:$G62)*0.94,IF(AND(BX62&lt;0,MAX($F62:$G62)=4500,$E62="Enerji Açığı"),4500*1.05*1.06*BX62,IF(AND(BX62&lt;0,MAX($F62:$G62)=4500,$E62="Enerji Fazlası"),4500*1.05*1.03*BX62,IF(AND(BX62&lt;0,$E62="Enerji Açığı"),MAX($F62,$G62,150)*BX62*1.06,IF(AND(BX62&lt;0,$E62="Enerji Fazlası"),MAX($F62,$G62,150)*BX62*1.03,IF(AND(BX62&lt;0,$E62="Dengede"),MAX($F62:$G62,150)*1.03*BX62,MIN($F62:$G62)*0.97*BX62)))))))))</f>
        <v/>
      </c>
      <c r="BZ62" s="34">
        <f>BE62-BV62-CA62</f>
        <v/>
      </c>
      <c r="CA62" s="34">
        <f>BD62</f>
        <v/>
      </c>
      <c r="CB62" s="33">
        <f>BE62-BV62</f>
        <v/>
      </c>
      <c r="CC62" s="34">
        <f>IF(AY62=0,0,CB62/AY62)</f>
        <v/>
      </c>
      <c r="CD62" s="34">
        <f>MAX((AY62+MAX((-J62+L62-N62+Q62-T62+X62),0)),(MAX((J62-L62+N62-Q62+T62-X62),0)))</f>
        <v/>
      </c>
      <c r="CE62" s="82">
        <f>IFERROR(ABS(BX62/CD62),0)</f>
        <v/>
      </c>
      <c r="CF62" s="34">
        <f>IF(CE62&lt;=0.1,0,BX62/CE62*(CE62-0.1))</f>
        <v/>
      </c>
      <c r="CG62" s="34">
        <f>IF((CF62)&lt;0,MAX(F62:G62)*(CF62)*1.03,MIN(F62:G62)*(CF62)*0.97)</f>
        <v/>
      </c>
      <c r="CH62" s="34">
        <f>IF(CE62&gt;0.1,1,0)</f>
        <v/>
      </c>
      <c r="CI62" s="34">
        <f>(F62*BX62)-BY62</f>
        <v/>
      </c>
      <c r="CJ62" s="34">
        <f>IF(AY62=0,0,CI62/AY62)</f>
        <v/>
      </c>
    </row>
    <row r="63">
      <c r="A63" s="29" t="n">
        <v>46206.5</v>
      </c>
      <c r="B63" s="29" t="inlineStr">
        <is>
          <t>12:00</t>
        </is>
      </c>
      <c r="C63" s="35">
        <f>INT(A63)</f>
        <v/>
      </c>
      <c r="D63" s="36">
        <f>MONTH(A63)</f>
        <v/>
      </c>
      <c r="E63" s="147" t="inlineStr">
        <is>
          <t>Enerji Fazlası</t>
        </is>
      </c>
      <c r="F63" s="30" t="n">
        <v>1499.98</v>
      </c>
      <c r="G63" s="30" t="n">
        <v>1000</v>
      </c>
      <c r="H63" s="30" t="n">
        <v>32.2</v>
      </c>
      <c r="I63" s="30" t="n">
        <v>1324.84</v>
      </c>
      <c r="J63" s="119" t="n">
        <v>0</v>
      </c>
      <c r="K63" s="34">
        <f>F63*J63</f>
        <v/>
      </c>
      <c r="L63" s="119" t="n">
        <v>0</v>
      </c>
      <c r="M63" s="34">
        <f>L63*F63</f>
        <v/>
      </c>
      <c r="N63" s="119" t="n">
        <v>25.5</v>
      </c>
      <c r="O63" s="34">
        <f>F63</f>
        <v/>
      </c>
      <c r="P63" s="34">
        <f>N63*O63</f>
        <v/>
      </c>
      <c r="Q63" s="119" t="n">
        <v>0</v>
      </c>
      <c r="R63" s="34">
        <f>F63</f>
        <v/>
      </c>
      <c r="S63" s="34">
        <f>R63*Q63</f>
        <v/>
      </c>
      <c r="T63" s="34" t="n"/>
      <c r="U63" s="34">
        <f>IFERROR(W63/T63,0)</f>
        <v/>
      </c>
      <c r="V63" s="34">
        <f>IF(U63=0,0,U63-F63)</f>
        <v/>
      </c>
      <c r="W63" s="34" t="n"/>
      <c r="X63" s="34" t="n"/>
      <c r="Y63" s="34">
        <f>IFERROR(AA63/X63,0)</f>
        <v/>
      </c>
      <c r="Z63" s="34">
        <f>IF(Y63=0,0,F63-Y63)</f>
        <v/>
      </c>
      <c r="AA63" s="34" t="n"/>
      <c r="AB63" s="34" t="n">
        <v>0</v>
      </c>
      <c r="AC63" s="34" t="n">
        <v>0</v>
      </c>
      <c r="AD63" s="34">
        <f>IF(AB63&gt;AC63*1.05,AB63-AC63*1.05,IF(AB63&lt;AC63*0.95,AC63*0.95-AB63,0))</f>
        <v/>
      </c>
      <c r="AE63" s="34">
        <f>MAX(F63,G63,750)*0.05*AD63</f>
        <v/>
      </c>
      <c r="AF63" s="34" t="n">
        <v>0</v>
      </c>
      <c r="AG63" s="34">
        <f>IF(AB63&gt;AF63*1.05,AB63-AF63*1.05,IF(AB63&lt;AF63*0.95,AF63*0.95-AB63,0))</f>
        <v/>
      </c>
      <c r="AH63" s="34">
        <f>MAX(I63,J63,750)*0.05*AG63</f>
        <v/>
      </c>
      <c r="AI63" t="n">
        <v>9.19</v>
      </c>
      <c r="AJ63" t="n">
        <v>10</v>
      </c>
      <c r="AK63" s="34">
        <f>IF(AI63&gt;AJ63*1.05,AI63-AJ63*1.05,IF(AI63&lt;AJ63*0.95,AJ63*0.95-AI63,0))</f>
        <v/>
      </c>
      <c r="AL63" s="34">
        <f>MAX(F63,G63,750)*0.05*AK63</f>
        <v/>
      </c>
      <c r="AM63" s="39" t="n">
        <v>9</v>
      </c>
      <c r="AN63" s="34">
        <f>IF(AI63&gt;AM63*1.05,AI63-AM63*1.05,IF(AI63&lt;AM63*0.95,AM63*0.95-AI63,0))</f>
        <v/>
      </c>
      <c r="AO63" s="34">
        <f>MAX(F63,G63,750)*0.05*AN63</f>
        <v/>
      </c>
      <c r="AP63" s="34" t="n">
        <v>12.61</v>
      </c>
      <c r="AQ63" s="34" t="n">
        <v>15.5</v>
      </c>
      <c r="AR63" s="34">
        <f>IF(AP63&gt;AQ63*1.05,AP63-AQ63*1.05,IF(AP63&lt;AQ63*0.95,AQ63*0.95-AP63,0))</f>
        <v/>
      </c>
      <c r="AS63" s="34">
        <f>MAX(F63:G63,750)*0.05*AR63</f>
        <v/>
      </c>
      <c r="AT63" t="n">
        <v>12.5</v>
      </c>
      <c r="AU63" s="34">
        <f>IF(AP63&gt;AT63*1.05,AP63-AT63*1.05,IF(AP63&lt;AT63*0.95,AT63*0.95-AP63,0))</f>
        <v/>
      </c>
      <c r="AV63" s="34">
        <f>MAX(F63:G63,750)*0.05*AU63</f>
        <v/>
      </c>
      <c r="AW63" s="34">
        <f>AC63+AJ63+AQ63</f>
        <v/>
      </c>
      <c r="AX63" s="34">
        <f>AF63+AM63+AT63</f>
        <v/>
      </c>
      <c r="AY63" s="34">
        <f>AB63+AI63+AP63</f>
        <v/>
      </c>
      <c r="AZ63" s="34" t="n">
        <v>0</v>
      </c>
      <c r="BA63" s="34">
        <f>AD63+AK63+AR63</f>
        <v/>
      </c>
      <c r="BB63" s="34">
        <f>MAX(F63:G63,750)*0.05*BA63</f>
        <v/>
      </c>
      <c r="BC63" s="34">
        <f>AG63+AN63+AU63</f>
        <v/>
      </c>
      <c r="BD63" s="34">
        <f>MAX(F63:G63,750)*0.05*BC63</f>
        <v/>
      </c>
      <c r="BE63" s="34">
        <f>F63*AY63</f>
        <v/>
      </c>
      <c r="BF63" s="34">
        <f>K63-M63</f>
        <v/>
      </c>
      <c r="BG63" s="34">
        <f>P63-S63</f>
        <v/>
      </c>
      <c r="BH63" s="34">
        <f>W63-AA63</f>
        <v/>
      </c>
      <c r="BI63" s="34">
        <f>BF63+BG63+BL63-BN63</f>
        <v/>
      </c>
      <c r="BJ63" s="34">
        <f>ABS(BK63)</f>
        <v/>
      </c>
      <c r="BK63" s="34">
        <f>AY63-(J63-L63+N63-Q63)</f>
        <v/>
      </c>
      <c r="BL63" s="34">
        <f>IF(AND(BK63&gt;0,MIN($F63:$G63)&lt;150,$E63="Enerji Açığı"),-100*BK63*1.03,IF(AND(BK63&gt;0,MIN($F63:$G63)&lt;150,$E63="Enerji Fazlası"),-100*BK63*1.06,IF(AND(BK63&gt;0,MIN($F63:$G63)&gt;=150,$E63="Enerji Açığı"),BK63*MIN($F63:$G63)*0.97,IF(AND(BK63&gt;0,MIN($F63:$G63)&gt;=150,$E63="Enerji Fazlası"),BK63*MIN($F63:$G63)*0.94,IF(AND(BK63&lt;0,MAX($F63:$G63)=4500,$E63="Enerji Açığı"),4500*1.05*1.06*BK63,IF(AND(BK63&lt;0,MAX($F63:$G63)=4500,$E63="Enerji Fazlası"),4500*1.05*1.03*BK63,IF(AND(BK63&lt;0,$E63="Enerji Açığı"),MAX($F63,$G63,150)*BK63*1.06,IF(AND(BK63&lt;0,$E63="Enerji Fazlası"),MAX($F63,$G63,150)*BK63*1.03,IF(AND(BK63&lt;0,$E63="Dengede"),MAX($F63:$G63,150)*1.03*BK63,MIN($F63:$G63)*0.97*BK63)))))))))</f>
        <v/>
      </c>
      <c r="BM63" s="34">
        <f>BE63-BI63-BN63</f>
        <v/>
      </c>
      <c r="BN63" s="34">
        <f>BB63</f>
        <v/>
      </c>
      <c r="BO63" s="34">
        <f>BE63-BI63</f>
        <v/>
      </c>
      <c r="BP63" s="34">
        <f>IF(AY63=0,0,BO63/AY63)</f>
        <v/>
      </c>
      <c r="BQ63" s="34">
        <f>MAX((AY63+MAX((-J63+L63-N63+Q63),0)),(MAX((J63-L63+N63-Q63),0)))</f>
        <v/>
      </c>
      <c r="BR63" s="82">
        <f>IFERROR(ABS(BK63/BQ63),0)</f>
        <v/>
      </c>
      <c r="BS63" s="34">
        <f>IF(BR63&lt;=0.1,0,BK63/BR63*(BR63-0.1))</f>
        <v/>
      </c>
      <c r="BT63" s="34">
        <f>IF((BS63)&lt;0,MAX(F63:G63)*(BS63)*1.03,MIN(F63:G63)*(BS63)*0.97)</f>
        <v/>
      </c>
      <c r="BU63" s="34">
        <f>IF(BR63&gt;0.1,1,0)</f>
        <v/>
      </c>
      <c r="BV63" s="34">
        <f>BF63+BG63+BH63+BY63-CA63</f>
        <v/>
      </c>
      <c r="BW63" s="34">
        <f>ABS(BX63)</f>
        <v/>
      </c>
      <c r="BX63" s="34">
        <f>AY63-(J63-L63+N63-Q63+T63-X63)</f>
        <v/>
      </c>
      <c r="BY63" s="34">
        <f>IF(AND(BX63&gt;0,MIN($F63:$G63)&lt;150,$E63="Enerji Açığı"),-100*BX63*1.03,IF(AND(BX63&gt;0,MIN($F63:$G63)&lt;150,$E63="Enerji Fazlası"),-100*BX63*1.06,IF(AND(BX63&gt;0,MIN($F63:$G63)&gt;=150,$E63="Enerji Açığı"),BX63*MIN($F63:$G63)*0.97,IF(AND(BX63&gt;0,MIN($F63:$G63)&gt;=150,$E63="Enerji Fazlası"),BX63*MIN($F63:$G63)*0.94,IF(AND(BX63&lt;0,MAX($F63:$G63)=4500,$E63="Enerji Açığı"),4500*1.05*1.06*BX63,IF(AND(BX63&lt;0,MAX($F63:$G63)=4500,$E63="Enerji Fazlası"),4500*1.05*1.03*BX63,IF(AND(BX63&lt;0,$E63="Enerji Açığı"),MAX($F63,$G63,150)*BX63*1.06,IF(AND(BX63&lt;0,$E63="Enerji Fazlası"),MAX($F63,$G63,150)*BX63*1.03,IF(AND(BX63&lt;0,$E63="Dengede"),MAX($F63:$G63,150)*1.03*BX63,MIN($F63:$G63)*0.97*BX63)))))))))</f>
        <v/>
      </c>
      <c r="BZ63" s="34">
        <f>BE63-BV63-CA63</f>
        <v/>
      </c>
      <c r="CA63" s="34">
        <f>BD63</f>
        <v/>
      </c>
      <c r="CB63" s="33">
        <f>BE63-BV63</f>
        <v/>
      </c>
      <c r="CC63" s="34">
        <f>IF(AY63=0,0,CB63/AY63)</f>
        <v/>
      </c>
      <c r="CD63" s="34">
        <f>MAX((AY63+MAX((-J63+L63-N63+Q63-T63+X63),0)),(MAX((J63-L63+N63-Q63+T63-X63),0)))</f>
        <v/>
      </c>
      <c r="CE63" s="82">
        <f>IFERROR(ABS(BX63/CD63),0)</f>
        <v/>
      </c>
      <c r="CF63" s="34">
        <f>IF(CE63&lt;=0.1,0,BX63/CE63*(CE63-0.1))</f>
        <v/>
      </c>
      <c r="CG63" s="34">
        <f>IF((CF63)&lt;0,MAX(F63:G63)*(CF63)*1.03,MIN(F63:G63)*(CF63)*0.97)</f>
        <v/>
      </c>
      <c r="CH63" s="34">
        <f>IF(CE63&gt;0.1,1,0)</f>
        <v/>
      </c>
      <c r="CI63" s="34">
        <f>(F63*BX63)-BY63</f>
        <v/>
      </c>
      <c r="CJ63" s="34">
        <f>IF(AY63=0,0,CI63/AY63)</f>
        <v/>
      </c>
    </row>
    <row r="64">
      <c r="A64" s="29" t="n">
        <v>46206.54166666666</v>
      </c>
      <c r="B64" s="29" t="inlineStr">
        <is>
          <t>13:00</t>
        </is>
      </c>
      <c r="C64" s="35">
        <f>INT(A64)</f>
        <v/>
      </c>
      <c r="D64" s="36">
        <f>MONTH(A64)</f>
        <v/>
      </c>
      <c r="E64" s="147" t="inlineStr">
        <is>
          <t>Enerji Fazlası</t>
        </is>
      </c>
      <c r="F64" s="30" t="n">
        <v>1897.17</v>
      </c>
      <c r="G64" s="30" t="n">
        <v>499.99</v>
      </c>
      <c r="H64" s="30" t="n">
        <v>40.72</v>
      </c>
      <c r="I64" s="30" t="n">
        <v>1682.15</v>
      </c>
      <c r="J64" s="119" t="n">
        <v>0</v>
      </c>
      <c r="K64" s="34">
        <f>F64*J64</f>
        <v/>
      </c>
      <c r="L64" s="119" t="n">
        <v>0</v>
      </c>
      <c r="M64" s="34">
        <f>L64*F64</f>
        <v/>
      </c>
      <c r="N64" s="119" t="n">
        <v>25.5</v>
      </c>
      <c r="O64" s="34">
        <f>F64</f>
        <v/>
      </c>
      <c r="P64" s="34">
        <f>N64*O64</f>
        <v/>
      </c>
      <c r="Q64" s="119" t="n">
        <v>0</v>
      </c>
      <c r="R64" s="34">
        <f>F64</f>
        <v/>
      </c>
      <c r="S64" s="34">
        <f>R64*Q64</f>
        <v/>
      </c>
      <c r="T64" s="34" t="n"/>
      <c r="U64" s="34">
        <f>IFERROR(W64/T64,0)</f>
        <v/>
      </c>
      <c r="V64" s="34">
        <f>IF(U64=0,0,U64-F64)</f>
        <v/>
      </c>
      <c r="W64" s="34" t="n"/>
      <c r="X64" s="34" t="n"/>
      <c r="Y64" s="34">
        <f>IFERROR(AA64/X64,0)</f>
        <v/>
      </c>
      <c r="Z64" s="34">
        <f>IF(Y64=0,0,F64-Y64)</f>
        <v/>
      </c>
      <c r="AA64" s="34" t="n"/>
      <c r="AB64" s="34" t="n">
        <v>0</v>
      </c>
      <c r="AC64" s="34" t="n">
        <v>0</v>
      </c>
      <c r="AD64" s="34">
        <f>IF(AB64&gt;AC64*1.05,AB64-AC64*1.05,IF(AB64&lt;AC64*0.95,AC64*0.95-AB64,0))</f>
        <v/>
      </c>
      <c r="AE64" s="34">
        <f>MAX(F64,G64,750)*0.05*AD64</f>
        <v/>
      </c>
      <c r="AF64" s="34" t="n">
        <v>0</v>
      </c>
      <c r="AG64" s="34">
        <f>IF(AB64&gt;AF64*1.05,AB64-AF64*1.05,IF(AB64&lt;AF64*0.95,AF64*0.95-AB64,0))</f>
        <v/>
      </c>
      <c r="AH64" s="34">
        <f>MAX(I64,J64,750)*0.05*AG64</f>
        <v/>
      </c>
      <c r="AI64" t="n">
        <v>11.21</v>
      </c>
      <c r="AJ64" t="n">
        <v>10</v>
      </c>
      <c r="AK64" s="34">
        <f>IF(AI64&gt;AJ64*1.05,AI64-AJ64*1.05,IF(AI64&lt;AJ64*0.95,AJ64*0.95-AI64,0))</f>
        <v/>
      </c>
      <c r="AL64" s="34">
        <f>MAX(F64,G64,750)*0.05*AK64</f>
        <v/>
      </c>
      <c r="AM64" s="39" t="n">
        <v>10</v>
      </c>
      <c r="AN64" s="34">
        <f>IF(AI64&gt;AM64*1.05,AI64-AM64*1.05,IF(AI64&lt;AM64*0.95,AM64*0.95-AI64,0))</f>
        <v/>
      </c>
      <c r="AO64" s="34">
        <f>MAX(F64,G64,750)*0.05*AN64</f>
        <v/>
      </c>
      <c r="AP64" s="34" t="n">
        <v>14.64</v>
      </c>
      <c r="AQ64" s="34" t="n">
        <v>15.5</v>
      </c>
      <c r="AR64" s="34">
        <f>IF(AP64&gt;AQ64*1.05,AP64-AQ64*1.05,IF(AP64&lt;AQ64*0.95,AQ64*0.95-AP64,0))</f>
        <v/>
      </c>
      <c r="AS64" s="34">
        <f>MAX(F64:G64,750)*0.05*AR64</f>
        <v/>
      </c>
      <c r="AT64" t="n">
        <v>15.5</v>
      </c>
      <c r="AU64" s="34">
        <f>IF(AP64&gt;AT64*1.05,AP64-AT64*1.05,IF(AP64&lt;AT64*0.95,AT64*0.95-AP64,0))</f>
        <v/>
      </c>
      <c r="AV64" s="34">
        <f>MAX(F64:G64,750)*0.05*AU64</f>
        <v/>
      </c>
      <c r="AW64" s="34">
        <f>AC64+AJ64+AQ64</f>
        <v/>
      </c>
      <c r="AX64" s="34">
        <f>AF64+AM64+AT64</f>
        <v/>
      </c>
      <c r="AY64" s="34">
        <f>AB64+AI64+AP64</f>
        <v/>
      </c>
      <c r="AZ64" s="34" t="n">
        <v>0</v>
      </c>
      <c r="BA64" s="34">
        <f>AD64+AK64+AR64</f>
        <v/>
      </c>
      <c r="BB64" s="34">
        <f>MAX(F64:G64,750)*0.05*BA64</f>
        <v/>
      </c>
      <c r="BC64" s="34">
        <f>AG64+AN64+AU64</f>
        <v/>
      </c>
      <c r="BD64" s="34">
        <f>MAX(F64:G64,750)*0.05*BC64</f>
        <v/>
      </c>
      <c r="BE64" s="34">
        <f>F64*AY64</f>
        <v/>
      </c>
      <c r="BF64" s="34">
        <f>K64-M64</f>
        <v/>
      </c>
      <c r="BG64" s="34">
        <f>P64-S64</f>
        <v/>
      </c>
      <c r="BH64" s="34">
        <f>W64-AA64</f>
        <v/>
      </c>
      <c r="BI64" s="34">
        <f>BF64+BG64+BL64-BN64</f>
        <v/>
      </c>
      <c r="BJ64" s="34">
        <f>ABS(BK64)</f>
        <v/>
      </c>
      <c r="BK64" s="34">
        <f>AY64-(J64-L64+N64-Q64)</f>
        <v/>
      </c>
      <c r="BL64" s="34">
        <f>IF(AND(BK64&gt;0,MIN($F64:$G64)&lt;150,$E64="Enerji Açığı"),-100*BK64*1.03,IF(AND(BK64&gt;0,MIN($F64:$G64)&lt;150,$E64="Enerji Fazlası"),-100*BK64*1.06,IF(AND(BK64&gt;0,MIN($F64:$G64)&gt;=150,$E64="Enerji Açığı"),BK64*MIN($F64:$G64)*0.97,IF(AND(BK64&gt;0,MIN($F64:$G64)&gt;=150,$E64="Enerji Fazlası"),BK64*MIN($F64:$G64)*0.94,IF(AND(BK64&lt;0,MAX($F64:$G64)=4500,$E64="Enerji Açığı"),4500*1.05*1.06*BK64,IF(AND(BK64&lt;0,MAX($F64:$G64)=4500,$E64="Enerji Fazlası"),4500*1.05*1.03*BK64,IF(AND(BK64&lt;0,$E64="Enerji Açığı"),MAX($F64,$G64,150)*BK64*1.06,IF(AND(BK64&lt;0,$E64="Enerji Fazlası"),MAX($F64,$G64,150)*BK64*1.03,IF(AND(BK64&lt;0,$E64="Dengede"),MAX($F64:$G64,150)*1.03*BK64,MIN($F64:$G64)*0.97*BK64)))))))))</f>
        <v/>
      </c>
      <c r="BM64" s="34">
        <f>BE64-BI64-BN64</f>
        <v/>
      </c>
      <c r="BN64" s="34">
        <f>BB64</f>
        <v/>
      </c>
      <c r="BO64" s="34">
        <f>BE64-BI64</f>
        <v/>
      </c>
      <c r="BP64" s="34">
        <f>IF(AY64=0,0,BO64/AY64)</f>
        <v/>
      </c>
      <c r="BQ64" s="34">
        <f>MAX((AY64+MAX((-J64+L64-N64+Q64),0)),(MAX((J64-L64+N64-Q64),0)))</f>
        <v/>
      </c>
      <c r="BR64" s="82">
        <f>IFERROR(ABS(BK64/BQ64),0)</f>
        <v/>
      </c>
      <c r="BS64" s="34">
        <f>IF(BR64&lt;=0.1,0,BK64/BR64*(BR64-0.1))</f>
        <v/>
      </c>
      <c r="BT64" s="34">
        <f>IF((BS64)&lt;0,MAX(F64:G64)*(BS64)*1.03,MIN(F64:G64)*(BS64)*0.97)</f>
        <v/>
      </c>
      <c r="BU64" s="34">
        <f>IF(BR64&gt;0.1,1,0)</f>
        <v/>
      </c>
      <c r="BV64" s="34">
        <f>BF64+BG64+BH64+BY64-CA64</f>
        <v/>
      </c>
      <c r="BW64" s="34">
        <f>ABS(BX64)</f>
        <v/>
      </c>
      <c r="BX64" s="34">
        <f>AY64-(J64-L64+N64-Q64+T64-X64)</f>
        <v/>
      </c>
      <c r="BY64" s="34">
        <f>IF(AND(BX64&gt;0,MIN($F64:$G64)&lt;150,$E64="Enerji Açığı"),-100*BX64*1.03,IF(AND(BX64&gt;0,MIN($F64:$G64)&lt;150,$E64="Enerji Fazlası"),-100*BX64*1.06,IF(AND(BX64&gt;0,MIN($F64:$G64)&gt;=150,$E64="Enerji Açığı"),BX64*MIN($F64:$G64)*0.97,IF(AND(BX64&gt;0,MIN($F64:$G64)&gt;=150,$E64="Enerji Fazlası"),BX64*MIN($F64:$G64)*0.94,IF(AND(BX64&lt;0,MAX($F64:$G64)=4500,$E64="Enerji Açığı"),4500*1.05*1.06*BX64,IF(AND(BX64&lt;0,MAX($F64:$G64)=4500,$E64="Enerji Fazlası"),4500*1.05*1.03*BX64,IF(AND(BX64&lt;0,$E64="Enerji Açığı"),MAX($F64,$G64,150)*BX64*1.06,IF(AND(BX64&lt;0,$E64="Enerji Fazlası"),MAX($F64,$G64,150)*BX64*1.03,IF(AND(BX64&lt;0,$E64="Dengede"),MAX($F64:$G64,150)*1.03*BX64,MIN($F64:$G64)*0.97*BX64)))))))))</f>
        <v/>
      </c>
      <c r="BZ64" s="34">
        <f>BE64-BV64-CA64</f>
        <v/>
      </c>
      <c r="CA64" s="34">
        <f>BD64</f>
        <v/>
      </c>
      <c r="CB64" s="33">
        <f>BE64-BV64</f>
        <v/>
      </c>
      <c r="CC64" s="34">
        <f>IF(AY64=0,0,CB64/AY64)</f>
        <v/>
      </c>
      <c r="CD64" s="34">
        <f>MAX((AY64+MAX((-J64+L64-N64+Q64-T64+X64),0)),(MAX((J64-L64+N64-Q64+T64-X64),0)))</f>
        <v/>
      </c>
      <c r="CE64" s="82">
        <f>IFERROR(ABS(BX64/CD64),0)</f>
        <v/>
      </c>
      <c r="CF64" s="34">
        <f>IF(CE64&lt;=0.1,0,BX64/CE64*(CE64-0.1))</f>
        <v/>
      </c>
      <c r="CG64" s="34">
        <f>IF((CF64)&lt;0,MAX(F64:G64)*(CF64)*1.03,MIN(F64:G64)*(CF64)*0.97)</f>
        <v/>
      </c>
      <c r="CH64" s="34">
        <f>IF(CE64&gt;0.1,1,0)</f>
        <v/>
      </c>
      <c r="CI64" s="34">
        <f>(F64*BX64)-BY64</f>
        <v/>
      </c>
      <c r="CJ64" s="34">
        <f>IF(AY64=0,0,CI64/AY64)</f>
        <v/>
      </c>
    </row>
    <row r="65">
      <c r="A65" s="29" t="n">
        <v>46206.58333333334</v>
      </c>
      <c r="B65" s="29" t="inlineStr">
        <is>
          <t>14:00</t>
        </is>
      </c>
      <c r="C65" s="35">
        <f>INT(A65)</f>
        <v/>
      </c>
      <c r="D65" s="36">
        <f>MONTH(A65)</f>
        <v/>
      </c>
      <c r="E65" s="147" t="inlineStr">
        <is>
          <t>Enerji Açığı</t>
        </is>
      </c>
      <c r="F65" s="30" t="n">
        <v>3549.05</v>
      </c>
      <c r="G65" s="30" t="n">
        <v>3549.05</v>
      </c>
      <c r="H65" s="30" t="n">
        <v>76.18000000000001</v>
      </c>
      <c r="I65" s="30" t="n">
        <v>3358.12</v>
      </c>
      <c r="J65" s="119" t="n">
        <v>0</v>
      </c>
      <c r="K65" s="34">
        <f>F65*J65</f>
        <v/>
      </c>
      <c r="L65" s="119" t="n">
        <v>0</v>
      </c>
      <c r="M65" s="34">
        <f>L65*F65</f>
        <v/>
      </c>
      <c r="N65" s="119" t="n">
        <v>25.5</v>
      </c>
      <c r="O65" s="34">
        <f>F65</f>
        <v/>
      </c>
      <c r="P65" s="34">
        <f>N65*O65</f>
        <v/>
      </c>
      <c r="Q65" s="119" t="n">
        <v>0</v>
      </c>
      <c r="R65" s="34">
        <f>F65</f>
        <v/>
      </c>
      <c r="S65" s="34">
        <f>R65*Q65</f>
        <v/>
      </c>
      <c r="T65" s="34" t="n"/>
      <c r="U65" s="34">
        <f>IFERROR(W65/T65,0)</f>
        <v/>
      </c>
      <c r="V65" s="34">
        <f>IF(U65=0,0,U65-F65)</f>
        <v/>
      </c>
      <c r="W65" s="34" t="n"/>
      <c r="X65" s="34" t="n"/>
      <c r="Y65" s="34">
        <f>IFERROR(AA65/X65,0)</f>
        <v/>
      </c>
      <c r="Z65" s="34">
        <f>IF(Y65=0,0,F65-Y65)</f>
        <v/>
      </c>
      <c r="AA65" s="34" t="n"/>
      <c r="AB65" s="34" t="n">
        <v>0</v>
      </c>
      <c r="AC65" s="34" t="n">
        <v>0</v>
      </c>
      <c r="AD65" s="34">
        <f>IF(AB65&gt;AC65*1.05,AB65-AC65*1.05,IF(AB65&lt;AC65*0.95,AC65*0.95-AB65,0))</f>
        <v/>
      </c>
      <c r="AE65" s="34">
        <f>MAX(F65,G65,750)*0.05*AD65</f>
        <v/>
      </c>
      <c r="AF65" s="34" t="n">
        <v>0</v>
      </c>
      <c r="AG65" s="34">
        <f>IF(AB65&gt;AF65*1.05,AB65-AF65*1.05,IF(AB65&lt;AF65*0.95,AF65*0.95-AB65,0))</f>
        <v/>
      </c>
      <c r="AH65" s="34">
        <f>MAX(I65,J65,750)*0.05*AG65</f>
        <v/>
      </c>
      <c r="AI65" t="n">
        <v>10.64</v>
      </c>
      <c r="AJ65" t="n">
        <v>10</v>
      </c>
      <c r="AK65" s="34">
        <f>IF(AI65&gt;AJ65*1.05,AI65-AJ65*1.05,IF(AI65&lt;AJ65*0.95,AJ65*0.95-AI65,0))</f>
        <v/>
      </c>
      <c r="AL65" s="34">
        <f>MAX(F65,G65,750)*0.05*AK65</f>
        <v/>
      </c>
      <c r="AM65" s="39" t="n">
        <v>10</v>
      </c>
      <c r="AN65" s="34">
        <f>IF(AI65&gt;AM65*1.05,AI65-AM65*1.05,IF(AI65&lt;AM65*0.95,AM65*0.95-AI65,0))</f>
        <v/>
      </c>
      <c r="AO65" s="34">
        <f>MAX(F65,G65,750)*0.05*AN65</f>
        <v/>
      </c>
      <c r="AP65" s="34" t="n">
        <v>14.99</v>
      </c>
      <c r="AQ65" s="34" t="n">
        <v>15.5</v>
      </c>
      <c r="AR65" s="34">
        <f>IF(AP65&gt;AQ65*1.05,AP65-AQ65*1.05,IF(AP65&lt;AQ65*0.95,AQ65*0.95-AP65,0))</f>
        <v/>
      </c>
      <c r="AS65" s="34">
        <f>MAX(F65:G65,750)*0.05*AR65</f>
        <v/>
      </c>
      <c r="AT65" t="n">
        <v>15.5</v>
      </c>
      <c r="AU65" s="34">
        <f>IF(AP65&gt;AT65*1.05,AP65-AT65*1.05,IF(AP65&lt;AT65*0.95,AT65*0.95-AP65,0))</f>
        <v/>
      </c>
      <c r="AV65" s="34">
        <f>MAX(F65:G65,750)*0.05*AU65</f>
        <v/>
      </c>
      <c r="AW65" s="34">
        <f>AC65+AJ65+AQ65</f>
        <v/>
      </c>
      <c r="AX65" s="34">
        <f>AF65+AM65+AT65</f>
        <v/>
      </c>
      <c r="AY65" s="34">
        <f>AB65+AI65+AP65</f>
        <v/>
      </c>
      <c r="AZ65" s="34" t="n">
        <v>0</v>
      </c>
      <c r="BA65" s="34">
        <f>AD65+AK65+AR65</f>
        <v/>
      </c>
      <c r="BB65" s="34">
        <f>MAX(F65:G65,750)*0.05*BA65</f>
        <v/>
      </c>
      <c r="BC65" s="34">
        <f>AG65+AN65+AU65</f>
        <v/>
      </c>
      <c r="BD65" s="34">
        <f>MAX(F65:G65,750)*0.05*BC65</f>
        <v/>
      </c>
      <c r="BE65" s="34">
        <f>F65*AY65</f>
        <v/>
      </c>
      <c r="BF65" s="34">
        <f>K65-M65</f>
        <v/>
      </c>
      <c r="BG65" s="34">
        <f>P65-S65</f>
        <v/>
      </c>
      <c r="BH65" s="34">
        <f>W65-AA65</f>
        <v/>
      </c>
      <c r="BI65" s="34">
        <f>BF65+BG65+BL65-BN65</f>
        <v/>
      </c>
      <c r="BJ65" s="34">
        <f>ABS(BK65)</f>
        <v/>
      </c>
      <c r="BK65" s="34">
        <f>AY65-(J65-L65+N65-Q65)</f>
        <v/>
      </c>
      <c r="BL65" s="34">
        <f>IF(AND(BK65&gt;0,MIN($F65:$G65)&lt;150,$E65="Enerji Açığı"),-100*BK65*1.03,IF(AND(BK65&gt;0,MIN($F65:$G65)&lt;150,$E65="Enerji Fazlası"),-100*BK65*1.06,IF(AND(BK65&gt;0,MIN($F65:$G65)&gt;=150,$E65="Enerji Açığı"),BK65*MIN($F65:$G65)*0.97,IF(AND(BK65&gt;0,MIN($F65:$G65)&gt;=150,$E65="Enerji Fazlası"),BK65*MIN($F65:$G65)*0.94,IF(AND(BK65&lt;0,MAX($F65:$G65)=4500,$E65="Enerji Açığı"),4500*1.05*1.06*BK65,IF(AND(BK65&lt;0,MAX($F65:$G65)=4500,$E65="Enerji Fazlası"),4500*1.05*1.03*BK65,IF(AND(BK65&lt;0,$E65="Enerji Açığı"),MAX($F65,$G65,150)*BK65*1.06,IF(AND(BK65&lt;0,$E65="Enerji Fazlası"),MAX($F65,$G65,150)*BK65*1.03,IF(AND(BK65&lt;0,$E65="Dengede"),MAX($F65:$G65,150)*1.03*BK65,MIN($F65:$G65)*0.97*BK65)))))))))</f>
        <v/>
      </c>
      <c r="BM65" s="34">
        <f>BE65-BI65-BN65</f>
        <v/>
      </c>
      <c r="BN65" s="34">
        <f>BB65</f>
        <v/>
      </c>
      <c r="BO65" s="34">
        <f>BE65-BI65</f>
        <v/>
      </c>
      <c r="BP65" s="34">
        <f>IF(AY65=0,0,BO65/AY65)</f>
        <v/>
      </c>
      <c r="BQ65" s="34">
        <f>MAX((AY65+MAX((-J65+L65-N65+Q65),0)),(MAX((J65-L65+N65-Q65),0)))</f>
        <v/>
      </c>
      <c r="BR65" s="82">
        <f>IFERROR(ABS(BK65/BQ65),0)</f>
        <v/>
      </c>
      <c r="BS65" s="34">
        <f>IF(BR65&lt;=0.1,0,BK65/BR65*(BR65-0.1))</f>
        <v/>
      </c>
      <c r="BT65" s="34">
        <f>IF((BS65)&lt;0,MAX(F65:G65)*(BS65)*1.03,MIN(F65:G65)*(BS65)*0.97)</f>
        <v/>
      </c>
      <c r="BU65" s="34">
        <f>IF(BR65&gt;0.1,1,0)</f>
        <v/>
      </c>
      <c r="BV65" s="34">
        <f>BF65+BG65+BH65+BY65-CA65</f>
        <v/>
      </c>
      <c r="BW65" s="34">
        <f>ABS(BX65)</f>
        <v/>
      </c>
      <c r="BX65" s="34">
        <f>AY65-(J65-L65+N65-Q65+T65-X65)</f>
        <v/>
      </c>
      <c r="BY65" s="34">
        <f>IF(AND(BX65&gt;0,MIN($F65:$G65)&lt;150,$E65="Enerji Açığı"),-100*BX65*1.03,IF(AND(BX65&gt;0,MIN($F65:$G65)&lt;150,$E65="Enerji Fazlası"),-100*BX65*1.06,IF(AND(BX65&gt;0,MIN($F65:$G65)&gt;=150,$E65="Enerji Açığı"),BX65*MIN($F65:$G65)*0.97,IF(AND(BX65&gt;0,MIN($F65:$G65)&gt;=150,$E65="Enerji Fazlası"),BX65*MIN($F65:$G65)*0.94,IF(AND(BX65&lt;0,MAX($F65:$G65)=4500,$E65="Enerji Açığı"),4500*1.05*1.06*BX65,IF(AND(BX65&lt;0,MAX($F65:$G65)=4500,$E65="Enerji Fazlası"),4500*1.05*1.03*BX65,IF(AND(BX65&lt;0,$E65="Enerji Açığı"),MAX($F65,$G65,150)*BX65*1.06,IF(AND(BX65&lt;0,$E65="Enerji Fazlası"),MAX($F65,$G65,150)*BX65*1.03,IF(AND(BX65&lt;0,$E65="Dengede"),MAX($F65:$G65,150)*1.03*BX65,MIN($F65:$G65)*0.97*BX65)))))))))</f>
        <v/>
      </c>
      <c r="BZ65" s="34">
        <f>BE65-BV65-CA65</f>
        <v/>
      </c>
      <c r="CA65" s="34">
        <f>BD65</f>
        <v/>
      </c>
      <c r="CB65" s="33">
        <f>BE65-BV65</f>
        <v/>
      </c>
      <c r="CC65" s="34">
        <f>IF(AY65=0,0,CB65/AY65)</f>
        <v/>
      </c>
      <c r="CD65" s="34">
        <f>MAX((AY65+MAX((-J65+L65-N65+Q65-T65+X65),0)),(MAX((J65-L65+N65-Q65+T65-X65),0)))</f>
        <v/>
      </c>
      <c r="CE65" s="82">
        <f>IFERROR(ABS(BX65/CD65),0)</f>
        <v/>
      </c>
      <c r="CF65" s="34">
        <f>IF(CE65&lt;=0.1,0,BX65/CE65*(CE65-0.1))</f>
        <v/>
      </c>
      <c r="CG65" s="34">
        <f>IF((CF65)&lt;0,MAX(F65:G65)*(CF65)*1.03,MIN(F65:G65)*(CF65)*0.97)</f>
        <v/>
      </c>
      <c r="CH65" s="34">
        <f>IF(CE65&gt;0.1,1,0)</f>
        <v/>
      </c>
      <c r="CI65" s="34">
        <f>(F65*BX65)-BY65</f>
        <v/>
      </c>
      <c r="CJ65" s="34">
        <f>IF(AY65=0,0,CI65/AY65)</f>
        <v/>
      </c>
    </row>
    <row r="66">
      <c r="A66" s="29" t="n">
        <v>46206.625</v>
      </c>
      <c r="B66" s="29" t="inlineStr">
        <is>
          <t>15:00</t>
        </is>
      </c>
      <c r="C66" s="35">
        <f>INT(A66)</f>
        <v/>
      </c>
      <c r="D66" s="36">
        <f>MONTH(A66)</f>
        <v/>
      </c>
      <c r="E66" s="147" t="inlineStr">
        <is>
          <t>Enerji Açığı</t>
        </is>
      </c>
      <c r="F66" s="30" t="n">
        <v>3499.99</v>
      </c>
      <c r="G66" s="30" t="n">
        <v>4000</v>
      </c>
      <c r="H66" s="30" t="n">
        <v>75.13</v>
      </c>
      <c r="I66" s="30" t="n">
        <v>3136.37</v>
      </c>
      <c r="J66" s="119" t="n">
        <v>0</v>
      </c>
      <c r="K66" s="34">
        <f>F66*J66</f>
        <v/>
      </c>
      <c r="L66" s="119" t="n">
        <v>0</v>
      </c>
      <c r="M66" s="34">
        <f>L66*F66</f>
        <v/>
      </c>
      <c r="N66" s="119" t="n">
        <v>25.3</v>
      </c>
      <c r="O66" s="34">
        <f>F66</f>
        <v/>
      </c>
      <c r="P66" s="34">
        <f>N66*O66</f>
        <v/>
      </c>
      <c r="Q66" s="119" t="n">
        <v>0</v>
      </c>
      <c r="R66" s="34">
        <f>F66</f>
        <v/>
      </c>
      <c r="S66" s="34">
        <f>R66*Q66</f>
        <v/>
      </c>
      <c r="T66" s="34" t="n"/>
      <c r="U66" s="34">
        <f>IFERROR(W66/T66,0)</f>
        <v/>
      </c>
      <c r="V66" s="34">
        <f>IF(U66=0,0,U66-F66)</f>
        <v/>
      </c>
      <c r="W66" s="34" t="n"/>
      <c r="X66" s="34" t="n"/>
      <c r="Y66" s="34">
        <f>IFERROR(AA66/X66,0)</f>
        <v/>
      </c>
      <c r="Z66" s="34">
        <f>IF(Y66=0,0,F66-Y66)</f>
        <v/>
      </c>
      <c r="AA66" s="34" t="n"/>
      <c r="AB66" s="34" t="n">
        <v>0</v>
      </c>
      <c r="AC66" s="34" t="n">
        <v>0</v>
      </c>
      <c r="AD66" s="34">
        <f>IF(AB66&gt;AC66*1.05,AB66-AC66*1.05,IF(AB66&lt;AC66*0.95,AC66*0.95-AB66,0))</f>
        <v/>
      </c>
      <c r="AE66" s="34">
        <f>MAX(F66,G66,750)*0.05*AD66</f>
        <v/>
      </c>
      <c r="AF66" s="34" t="n">
        <v>0</v>
      </c>
      <c r="AG66" s="34">
        <f>IF(AB66&gt;AF66*1.05,AB66-AF66*1.05,IF(AB66&lt;AF66*0.95,AF66*0.95-AB66,0))</f>
        <v/>
      </c>
      <c r="AH66" s="34">
        <f>MAX(I66,J66,750)*0.05*AG66</f>
        <v/>
      </c>
      <c r="AI66" t="n">
        <v>10.2</v>
      </c>
      <c r="AJ66" t="n">
        <v>10</v>
      </c>
      <c r="AK66" s="34">
        <f>IF(AI66&gt;AJ66*1.05,AI66-AJ66*1.05,IF(AI66&lt;AJ66*0.95,AJ66*0.95-AI66,0))</f>
        <v/>
      </c>
      <c r="AL66" s="34">
        <f>MAX(F66,G66,750)*0.05*AK66</f>
        <v/>
      </c>
      <c r="AM66" s="39" t="n">
        <v>10</v>
      </c>
      <c r="AN66" s="34">
        <f>IF(AI66&gt;AM66*1.05,AI66-AM66*1.05,IF(AI66&lt;AM66*0.95,AM66*0.95-AI66,0))</f>
        <v/>
      </c>
      <c r="AO66" s="34">
        <f>MAX(F66,G66,750)*0.05*AN66</f>
        <v/>
      </c>
      <c r="AP66" s="34" t="n">
        <v>15.62</v>
      </c>
      <c r="AQ66" s="34" t="n">
        <v>15.3</v>
      </c>
      <c r="AR66" s="34">
        <f>IF(AP66&gt;AQ66*1.05,AP66-AQ66*1.05,IF(AP66&lt;AQ66*0.95,AQ66*0.95-AP66,0))</f>
        <v/>
      </c>
      <c r="AS66" s="34">
        <f>MAX(F66:G66,750)*0.05*AR66</f>
        <v/>
      </c>
      <c r="AT66" t="n">
        <v>15.3</v>
      </c>
      <c r="AU66" s="34">
        <f>IF(AP66&gt;AT66*1.05,AP66-AT66*1.05,IF(AP66&lt;AT66*0.95,AT66*0.95-AP66,0))</f>
        <v/>
      </c>
      <c r="AV66" s="34">
        <f>MAX(F66:G66,750)*0.05*AU66</f>
        <v/>
      </c>
      <c r="AW66" s="34">
        <f>AC66+AJ66+AQ66</f>
        <v/>
      </c>
      <c r="AX66" s="34">
        <f>AF66+AM66+AT66</f>
        <v/>
      </c>
      <c r="AY66" s="34">
        <f>AB66+AI66+AP66</f>
        <v/>
      </c>
      <c r="AZ66" s="34" t="n">
        <v>0</v>
      </c>
      <c r="BA66" s="34">
        <f>AD66+AK66+AR66</f>
        <v/>
      </c>
      <c r="BB66" s="34">
        <f>MAX(F66:G66,750)*0.05*BA66</f>
        <v/>
      </c>
      <c r="BC66" s="34">
        <f>AG66+AN66+AU66</f>
        <v/>
      </c>
      <c r="BD66" s="34">
        <f>MAX(F66:G66,750)*0.05*BC66</f>
        <v/>
      </c>
      <c r="BE66" s="34">
        <f>F66*AY66</f>
        <v/>
      </c>
      <c r="BF66" s="34">
        <f>K66-M66</f>
        <v/>
      </c>
      <c r="BG66" s="34">
        <f>P66-S66</f>
        <v/>
      </c>
      <c r="BH66" s="34">
        <f>W66-AA66</f>
        <v/>
      </c>
      <c r="BI66" s="34">
        <f>BF66+BG66+BL66-BN66</f>
        <v/>
      </c>
      <c r="BJ66" s="34">
        <f>ABS(BK66)</f>
        <v/>
      </c>
      <c r="BK66" s="34">
        <f>AY66-(J66-L66+N66-Q66)</f>
        <v/>
      </c>
      <c r="BL66" s="34">
        <f>IF(AND(BK66&gt;0,MIN($F66:$G66)&lt;150,$E66="Enerji Açığı"),-100*BK66*1.03,IF(AND(BK66&gt;0,MIN($F66:$G66)&lt;150,$E66="Enerji Fazlası"),-100*BK66*1.06,IF(AND(BK66&gt;0,MIN($F66:$G66)&gt;=150,$E66="Enerji Açığı"),BK66*MIN($F66:$G66)*0.97,IF(AND(BK66&gt;0,MIN($F66:$G66)&gt;=150,$E66="Enerji Fazlası"),BK66*MIN($F66:$G66)*0.94,IF(AND(BK66&lt;0,MAX($F66:$G66)=4500,$E66="Enerji Açığı"),4500*1.05*1.06*BK66,IF(AND(BK66&lt;0,MAX($F66:$G66)=4500,$E66="Enerji Fazlası"),4500*1.05*1.03*BK66,IF(AND(BK66&lt;0,$E66="Enerji Açığı"),MAX($F66,$G66,150)*BK66*1.06,IF(AND(BK66&lt;0,$E66="Enerji Fazlası"),MAX($F66,$G66,150)*BK66*1.03,IF(AND(BK66&lt;0,$E66="Dengede"),MAX($F66:$G66,150)*1.03*BK66,MIN($F66:$G66)*0.97*BK66)))))))))</f>
        <v/>
      </c>
      <c r="BM66" s="34">
        <f>BE66-BI66-BN66</f>
        <v/>
      </c>
      <c r="BN66" s="34">
        <f>BB66</f>
        <v/>
      </c>
      <c r="BO66" s="34">
        <f>BE66-BI66</f>
        <v/>
      </c>
      <c r="BP66" s="34">
        <f>IF(AY66=0,0,BO66/AY66)</f>
        <v/>
      </c>
      <c r="BQ66" s="34">
        <f>MAX((AY66+MAX((-J66+L66-N66+Q66),0)),(MAX((J66-L66+N66-Q66),0)))</f>
        <v/>
      </c>
      <c r="BR66" s="82">
        <f>IFERROR(ABS(BK66/BQ66),0)</f>
        <v/>
      </c>
      <c r="BS66" s="34">
        <f>IF(BR66&lt;=0.1,0,BK66/BR66*(BR66-0.1))</f>
        <v/>
      </c>
      <c r="BT66" s="34">
        <f>IF((BS66)&lt;0,MAX(F66:G66)*(BS66)*1.03,MIN(F66:G66)*(BS66)*0.97)</f>
        <v/>
      </c>
      <c r="BU66" s="34">
        <f>IF(BR66&gt;0.1,1,0)</f>
        <v/>
      </c>
      <c r="BV66" s="34">
        <f>BF66+BG66+BH66+BY66-CA66</f>
        <v/>
      </c>
      <c r="BW66" s="34">
        <f>ABS(BX66)</f>
        <v/>
      </c>
      <c r="BX66" s="34">
        <f>AY66-(J66-L66+N66-Q66+T66-X66)</f>
        <v/>
      </c>
      <c r="BY66" s="34">
        <f>IF(AND(BX66&gt;0,MIN($F66:$G66)&lt;150,$E66="Enerji Açığı"),-100*BX66*1.03,IF(AND(BX66&gt;0,MIN($F66:$G66)&lt;150,$E66="Enerji Fazlası"),-100*BX66*1.06,IF(AND(BX66&gt;0,MIN($F66:$G66)&gt;=150,$E66="Enerji Açığı"),BX66*MIN($F66:$G66)*0.97,IF(AND(BX66&gt;0,MIN($F66:$G66)&gt;=150,$E66="Enerji Fazlası"),BX66*MIN($F66:$G66)*0.94,IF(AND(BX66&lt;0,MAX($F66:$G66)=4500,$E66="Enerji Açığı"),4500*1.05*1.06*BX66,IF(AND(BX66&lt;0,MAX($F66:$G66)=4500,$E66="Enerji Fazlası"),4500*1.05*1.03*BX66,IF(AND(BX66&lt;0,$E66="Enerji Açığı"),MAX($F66,$G66,150)*BX66*1.06,IF(AND(BX66&lt;0,$E66="Enerji Fazlası"),MAX($F66,$G66,150)*BX66*1.03,IF(AND(BX66&lt;0,$E66="Dengede"),MAX($F66:$G66,150)*1.03*BX66,MIN($F66:$G66)*0.97*BX66)))))))))</f>
        <v/>
      </c>
      <c r="BZ66" s="34">
        <f>BE66-BV66-CA66</f>
        <v/>
      </c>
      <c r="CA66" s="34">
        <f>BD66</f>
        <v/>
      </c>
      <c r="CB66" s="33">
        <f>BE66-BV66</f>
        <v/>
      </c>
      <c r="CC66" s="34">
        <f>IF(AY66=0,0,CB66/AY66)</f>
        <v/>
      </c>
      <c r="CD66" s="34">
        <f>MAX((AY66+MAX((-J66+L66-N66+Q66-T66+X66),0)),(MAX((J66-L66+N66-Q66+T66-X66),0)))</f>
        <v/>
      </c>
      <c r="CE66" s="82">
        <f>IFERROR(ABS(BX66/CD66),0)</f>
        <v/>
      </c>
      <c r="CF66" s="34">
        <f>IF(CE66&lt;=0.1,0,BX66/CE66*(CE66-0.1))</f>
        <v/>
      </c>
      <c r="CG66" s="34">
        <f>IF((CF66)&lt;0,MAX(F66:G66)*(CF66)*1.03,MIN(F66:G66)*(CF66)*0.97)</f>
        <v/>
      </c>
      <c r="CH66" s="34">
        <f>IF(CE66&gt;0.1,1,0)</f>
        <v/>
      </c>
      <c r="CI66" s="34">
        <f>(F66*BX66)-BY66</f>
        <v/>
      </c>
      <c r="CJ66" s="34">
        <f>IF(AY66=0,0,CI66/AY66)</f>
        <v/>
      </c>
    </row>
    <row r="67">
      <c r="A67" s="29" t="n">
        <v>46206.66666666666</v>
      </c>
      <c r="B67" s="29" t="inlineStr">
        <is>
          <t>16:00</t>
        </is>
      </c>
      <c r="C67" s="35">
        <f>INT(A67)</f>
        <v/>
      </c>
      <c r="D67" s="36">
        <f>MONTH(A67)</f>
        <v/>
      </c>
      <c r="E67" s="147" t="inlineStr">
        <is>
          <t>Enerji Açığı</t>
        </is>
      </c>
      <c r="F67" s="30" t="n">
        <v>3000.01</v>
      </c>
      <c r="G67" s="30" t="n">
        <v>4050</v>
      </c>
      <c r="H67" s="30" t="n">
        <v>64.40000000000001</v>
      </c>
      <c r="I67" s="30" t="n">
        <v>2771.93</v>
      </c>
      <c r="J67" s="119" t="n">
        <v>0</v>
      </c>
      <c r="K67" s="34">
        <f>F67*J67</f>
        <v/>
      </c>
      <c r="L67" s="119" t="n">
        <v>0</v>
      </c>
      <c r="M67" s="34">
        <f>L67*F67</f>
        <v/>
      </c>
      <c r="N67" s="119" t="n">
        <v>25</v>
      </c>
      <c r="O67" s="34">
        <f>F67</f>
        <v/>
      </c>
      <c r="P67" s="34">
        <f>N67*O67</f>
        <v/>
      </c>
      <c r="Q67" s="119" t="n">
        <v>0</v>
      </c>
      <c r="R67" s="34">
        <f>F67</f>
        <v/>
      </c>
      <c r="S67" s="34">
        <f>R67*Q67</f>
        <v/>
      </c>
      <c r="T67" s="34" t="n"/>
      <c r="U67" s="34">
        <f>IFERROR(W67/T67,0)</f>
        <v/>
      </c>
      <c r="V67" s="34">
        <f>IF(U67=0,0,U67-F67)</f>
        <v/>
      </c>
      <c r="W67" s="34" t="n"/>
      <c r="X67" s="34" t="n"/>
      <c r="Y67" s="34">
        <f>IFERROR(AA67/X67,0)</f>
        <v/>
      </c>
      <c r="Z67" s="34">
        <f>IF(Y67=0,0,F67-Y67)</f>
        <v/>
      </c>
      <c r="AA67" s="34" t="n"/>
      <c r="AB67" s="34" t="n">
        <v>0</v>
      </c>
      <c r="AC67" s="34" t="n">
        <v>0</v>
      </c>
      <c r="AD67" s="34">
        <f>IF(AB67&gt;AC67*1.05,AB67-AC67*1.05,IF(AB67&lt;AC67*0.95,AC67*0.95-AB67,0))</f>
        <v/>
      </c>
      <c r="AE67" s="34">
        <f>MAX(F67,G67,750)*0.05*AD67</f>
        <v/>
      </c>
      <c r="AF67" s="34" t="n">
        <v>0</v>
      </c>
      <c r="AG67" s="34">
        <f>IF(AB67&gt;AF67*1.05,AB67-AF67*1.05,IF(AB67&lt;AF67*0.95,AF67*0.95-AB67,0))</f>
        <v/>
      </c>
      <c r="AH67" s="34">
        <f>MAX(I67,J67,750)*0.05*AG67</f>
        <v/>
      </c>
      <c r="AI67" t="n">
        <v>10.18</v>
      </c>
      <c r="AJ67" t="n">
        <v>10</v>
      </c>
      <c r="AK67" s="34">
        <f>IF(AI67&gt;AJ67*1.05,AI67-AJ67*1.05,IF(AI67&lt;AJ67*0.95,AJ67*0.95-AI67,0))</f>
        <v/>
      </c>
      <c r="AL67" s="34">
        <f>MAX(F67,G67,750)*0.05*AK67</f>
        <v/>
      </c>
      <c r="AM67" s="39" t="n">
        <v>10</v>
      </c>
      <c r="AN67" s="34">
        <f>IF(AI67&gt;AM67*1.05,AI67-AM67*1.05,IF(AI67&lt;AM67*0.95,AM67*0.95-AI67,0))</f>
        <v/>
      </c>
      <c r="AO67" s="34">
        <f>MAX(F67,G67,750)*0.05*AN67</f>
        <v/>
      </c>
      <c r="AP67" s="34" t="n">
        <v>15.04</v>
      </c>
      <c r="AQ67" s="34" t="n">
        <v>15</v>
      </c>
      <c r="AR67" s="34">
        <f>IF(AP67&gt;AQ67*1.05,AP67-AQ67*1.05,IF(AP67&lt;AQ67*0.95,AQ67*0.95-AP67,0))</f>
        <v/>
      </c>
      <c r="AS67" s="34">
        <f>MAX(F67:G67,750)*0.05*AR67</f>
        <v/>
      </c>
      <c r="AT67" t="n">
        <v>15</v>
      </c>
      <c r="AU67" s="34">
        <f>IF(AP67&gt;AT67*1.05,AP67-AT67*1.05,IF(AP67&lt;AT67*0.95,AT67*0.95-AP67,0))</f>
        <v/>
      </c>
      <c r="AV67" s="34">
        <f>MAX(F67:G67,750)*0.05*AU67</f>
        <v/>
      </c>
      <c r="AW67" s="34">
        <f>AC67+AJ67+AQ67</f>
        <v/>
      </c>
      <c r="AX67" s="34">
        <f>AF67+AM67+AT67</f>
        <v/>
      </c>
      <c r="AY67" s="34">
        <f>AB67+AI67+AP67</f>
        <v/>
      </c>
      <c r="AZ67" s="34" t="n">
        <v>0</v>
      </c>
      <c r="BA67" s="34">
        <f>AD67+AK67+AR67</f>
        <v/>
      </c>
      <c r="BB67" s="34">
        <f>MAX(F67:G67,750)*0.05*BA67</f>
        <v/>
      </c>
      <c r="BC67" s="34">
        <f>AG67+AN67+AU67</f>
        <v/>
      </c>
      <c r="BD67" s="34">
        <f>MAX(F67:G67,750)*0.05*BC67</f>
        <v/>
      </c>
      <c r="BE67" s="34">
        <f>F67*AY67</f>
        <v/>
      </c>
      <c r="BF67" s="34">
        <f>K67-M67</f>
        <v/>
      </c>
      <c r="BG67" s="34">
        <f>P67-S67</f>
        <v/>
      </c>
      <c r="BH67" s="34">
        <f>W67-AA67</f>
        <v/>
      </c>
      <c r="BI67" s="34">
        <f>BF67+BG67+BL67-BN67</f>
        <v/>
      </c>
      <c r="BJ67" s="34">
        <f>ABS(BK67)</f>
        <v/>
      </c>
      <c r="BK67" s="34">
        <f>AY67-(J67-L67+N67-Q67)</f>
        <v/>
      </c>
      <c r="BL67" s="34">
        <f>IF(AND(BK67&gt;0,MIN($F67:$G67)&lt;150,$E67="Enerji Açığı"),-100*BK67*1.03,IF(AND(BK67&gt;0,MIN($F67:$G67)&lt;150,$E67="Enerji Fazlası"),-100*BK67*1.06,IF(AND(BK67&gt;0,MIN($F67:$G67)&gt;=150,$E67="Enerji Açığı"),BK67*MIN($F67:$G67)*0.97,IF(AND(BK67&gt;0,MIN($F67:$G67)&gt;=150,$E67="Enerji Fazlası"),BK67*MIN($F67:$G67)*0.94,IF(AND(BK67&lt;0,MAX($F67:$G67)=4500,$E67="Enerji Açığı"),4500*1.05*1.06*BK67,IF(AND(BK67&lt;0,MAX($F67:$G67)=4500,$E67="Enerji Fazlası"),4500*1.05*1.03*BK67,IF(AND(BK67&lt;0,$E67="Enerji Açığı"),MAX($F67,$G67,150)*BK67*1.06,IF(AND(BK67&lt;0,$E67="Enerji Fazlası"),MAX($F67,$G67,150)*BK67*1.03,IF(AND(BK67&lt;0,$E67="Dengede"),MAX($F67:$G67,150)*1.03*BK67,MIN($F67:$G67)*0.97*BK67)))))))))</f>
        <v/>
      </c>
      <c r="BM67" s="34">
        <f>BE67-BI67-BN67</f>
        <v/>
      </c>
      <c r="BN67" s="34">
        <f>BB67</f>
        <v/>
      </c>
      <c r="BO67" s="34">
        <f>BE67-BI67</f>
        <v/>
      </c>
      <c r="BP67" s="34">
        <f>IF(AY67=0,0,BO67/AY67)</f>
        <v/>
      </c>
      <c r="BQ67" s="34">
        <f>MAX((AY67+MAX((-J67+L67-N67+Q67),0)),(MAX((J67-L67+N67-Q67),0)))</f>
        <v/>
      </c>
      <c r="BR67" s="82">
        <f>IFERROR(ABS(BK67/BQ67),0)</f>
        <v/>
      </c>
      <c r="BS67" s="34">
        <f>IF(BR67&lt;=0.1,0,BK67/BR67*(BR67-0.1))</f>
        <v/>
      </c>
      <c r="BT67" s="34">
        <f>IF((BS67)&lt;0,MAX(F67:G67)*(BS67)*1.03,MIN(F67:G67)*(BS67)*0.97)</f>
        <v/>
      </c>
      <c r="BU67" s="34">
        <f>IF(BR67&gt;0.1,1,0)</f>
        <v/>
      </c>
      <c r="BV67" s="34">
        <f>BF67+BG67+BH67+BY67-CA67</f>
        <v/>
      </c>
      <c r="BW67" s="34">
        <f>ABS(BX67)</f>
        <v/>
      </c>
      <c r="BX67" s="34">
        <f>AY67-(J67-L67+N67-Q67+T67-X67)</f>
        <v/>
      </c>
      <c r="BY67" s="34">
        <f>IF(AND(BX67&gt;0,MIN($F67:$G67)&lt;150,$E67="Enerji Açığı"),-100*BX67*1.03,IF(AND(BX67&gt;0,MIN($F67:$G67)&lt;150,$E67="Enerji Fazlası"),-100*BX67*1.06,IF(AND(BX67&gt;0,MIN($F67:$G67)&gt;=150,$E67="Enerji Açığı"),BX67*MIN($F67:$G67)*0.97,IF(AND(BX67&gt;0,MIN($F67:$G67)&gt;=150,$E67="Enerji Fazlası"),BX67*MIN($F67:$G67)*0.94,IF(AND(BX67&lt;0,MAX($F67:$G67)=4500,$E67="Enerji Açığı"),4500*1.05*1.06*BX67,IF(AND(BX67&lt;0,MAX($F67:$G67)=4500,$E67="Enerji Fazlası"),4500*1.05*1.03*BX67,IF(AND(BX67&lt;0,$E67="Enerji Açığı"),MAX($F67,$G67,150)*BX67*1.06,IF(AND(BX67&lt;0,$E67="Enerji Fazlası"),MAX($F67,$G67,150)*BX67*1.03,IF(AND(BX67&lt;0,$E67="Dengede"),MAX($F67:$G67,150)*1.03*BX67,MIN($F67:$G67)*0.97*BX67)))))))))</f>
        <v/>
      </c>
      <c r="BZ67" s="34">
        <f>BE67-BV67-CA67</f>
        <v/>
      </c>
      <c r="CA67" s="34">
        <f>BD67</f>
        <v/>
      </c>
      <c r="CB67" s="33">
        <f>BE67-BV67</f>
        <v/>
      </c>
      <c r="CC67" s="34">
        <f>IF(AY67=0,0,CB67/AY67)</f>
        <v/>
      </c>
      <c r="CD67" s="34">
        <f>MAX((AY67+MAX((-J67+L67-N67+Q67-T67+X67),0)),(MAX((J67-L67+N67-Q67+T67-X67),0)))</f>
        <v/>
      </c>
      <c r="CE67" s="82">
        <f>IFERROR(ABS(BX67/CD67),0)</f>
        <v/>
      </c>
      <c r="CF67" s="34">
        <f>IF(CE67&lt;=0.1,0,BX67/CE67*(CE67-0.1))</f>
        <v/>
      </c>
      <c r="CG67" s="34">
        <f>IF((CF67)&lt;0,MAX(F67:G67)*(CF67)*1.03,MIN(F67:G67)*(CF67)*0.97)</f>
        <v/>
      </c>
      <c r="CH67" s="34">
        <f>IF(CE67&gt;0.1,1,0)</f>
        <v/>
      </c>
      <c r="CI67" s="34">
        <f>(F67*BX67)-BY67</f>
        <v/>
      </c>
      <c r="CJ67" s="34">
        <f>IF(AY67=0,0,CI67/AY67)</f>
        <v/>
      </c>
    </row>
    <row r="68">
      <c r="A68" s="29" t="n">
        <v>46206.70833333334</v>
      </c>
      <c r="B68" s="29" t="inlineStr">
        <is>
          <t>17:00</t>
        </is>
      </c>
      <c r="C68" s="35">
        <f>INT(A68)</f>
        <v/>
      </c>
      <c r="D68" s="36">
        <f>MONTH(A68)</f>
        <v/>
      </c>
      <c r="E68" s="147" t="inlineStr">
        <is>
          <t>Enerji Açığı</t>
        </is>
      </c>
      <c r="F68" s="30" t="n">
        <v>3804.29</v>
      </c>
      <c r="G68" s="30" t="n">
        <v>4099</v>
      </c>
      <c r="H68" s="30" t="n">
        <v>81.66</v>
      </c>
      <c r="I68" s="30" t="n">
        <v>3846.62</v>
      </c>
      <c r="J68" s="119" t="n">
        <v>0</v>
      </c>
      <c r="K68" s="34">
        <f>F68*J68</f>
        <v/>
      </c>
      <c r="L68" s="119" t="n">
        <v>0</v>
      </c>
      <c r="M68" s="34">
        <f>L68*F68</f>
        <v/>
      </c>
      <c r="N68" s="119" t="n">
        <v>24.5</v>
      </c>
      <c r="O68" s="34">
        <f>F68</f>
        <v/>
      </c>
      <c r="P68" s="34">
        <f>N68*O68</f>
        <v/>
      </c>
      <c r="Q68" s="119" t="n">
        <v>0</v>
      </c>
      <c r="R68" s="34">
        <f>F68</f>
        <v/>
      </c>
      <c r="S68" s="34">
        <f>R68*Q68</f>
        <v/>
      </c>
      <c r="T68" s="34" t="n"/>
      <c r="U68" s="34">
        <f>IFERROR(W68/T68,0)</f>
        <v/>
      </c>
      <c r="V68" s="34">
        <f>IF(U68=0,0,U68-F68)</f>
        <v/>
      </c>
      <c r="W68" s="34" t="n"/>
      <c r="X68" s="34" t="n"/>
      <c r="Y68" s="34">
        <f>IFERROR(AA68/X68,0)</f>
        <v/>
      </c>
      <c r="Z68" s="34">
        <f>IF(Y68=0,0,F68-Y68)</f>
        <v/>
      </c>
      <c r="AA68" s="34" t="n"/>
      <c r="AB68" s="34" t="n">
        <v>0</v>
      </c>
      <c r="AC68" s="34" t="n">
        <v>0</v>
      </c>
      <c r="AD68" s="34">
        <f>IF(AB68&gt;AC68*1.05,AB68-AC68*1.05,IF(AB68&lt;AC68*0.95,AC68*0.95-AB68,0))</f>
        <v/>
      </c>
      <c r="AE68" s="34">
        <f>MAX(F68,G68,750)*0.05*AD68</f>
        <v/>
      </c>
      <c r="AF68" s="34" t="n">
        <v>0</v>
      </c>
      <c r="AG68" s="34">
        <f>IF(AB68&gt;AF68*1.05,AB68-AF68*1.05,IF(AB68&lt;AF68*0.95,AF68*0.95-AB68,0))</f>
        <v/>
      </c>
      <c r="AH68" s="34">
        <f>MAX(I68,J68,750)*0.05*AG68</f>
        <v/>
      </c>
      <c r="AI68" t="n">
        <v>10.2</v>
      </c>
      <c r="AJ68" t="n">
        <v>10</v>
      </c>
      <c r="AK68" s="34">
        <f>IF(AI68&gt;AJ68*1.05,AI68-AJ68*1.05,IF(AI68&lt;AJ68*0.95,AJ68*0.95-AI68,0))</f>
        <v/>
      </c>
      <c r="AL68" s="34">
        <f>MAX(F68,G68,750)*0.05*AK68</f>
        <v/>
      </c>
      <c r="AM68" s="39" t="n">
        <v>10</v>
      </c>
      <c r="AN68" s="34">
        <f>IF(AI68&gt;AM68*1.05,AI68-AM68*1.05,IF(AI68&lt;AM68*0.95,AM68*0.95-AI68,0))</f>
        <v/>
      </c>
      <c r="AO68" s="34">
        <f>MAX(F68,G68,750)*0.05*AN68</f>
        <v/>
      </c>
      <c r="AP68" s="34" t="n">
        <v>14.67</v>
      </c>
      <c r="AQ68" s="34" t="n">
        <v>14.5</v>
      </c>
      <c r="AR68" s="34">
        <f>IF(AP68&gt;AQ68*1.05,AP68-AQ68*1.05,IF(AP68&lt;AQ68*0.95,AQ68*0.95-AP68,0))</f>
        <v/>
      </c>
      <c r="AS68" s="34">
        <f>MAX(F68:G68,750)*0.05*AR68</f>
        <v/>
      </c>
      <c r="AT68" t="n">
        <v>14.5</v>
      </c>
      <c r="AU68" s="34">
        <f>IF(AP68&gt;AT68*1.05,AP68-AT68*1.05,IF(AP68&lt;AT68*0.95,AT68*0.95-AP68,0))</f>
        <v/>
      </c>
      <c r="AV68" s="34">
        <f>MAX(F68:G68,750)*0.05*AU68</f>
        <v/>
      </c>
      <c r="AW68" s="34">
        <f>AC68+AJ68+AQ68</f>
        <v/>
      </c>
      <c r="AX68" s="34">
        <f>AF68+AM68+AT68</f>
        <v/>
      </c>
      <c r="AY68" s="34">
        <f>AB68+AI68+AP68</f>
        <v/>
      </c>
      <c r="AZ68" s="34" t="n">
        <v>0</v>
      </c>
      <c r="BA68" s="34">
        <f>AD68+AK68+AR68</f>
        <v/>
      </c>
      <c r="BB68" s="34">
        <f>MAX(F68:G68,750)*0.05*BA68</f>
        <v/>
      </c>
      <c r="BC68" s="34">
        <f>AG68+AN68+AU68</f>
        <v/>
      </c>
      <c r="BD68" s="34">
        <f>MAX(F68:G68,750)*0.05*BC68</f>
        <v/>
      </c>
      <c r="BE68" s="34">
        <f>F68*AY68</f>
        <v/>
      </c>
      <c r="BF68" s="34">
        <f>K68-M68</f>
        <v/>
      </c>
      <c r="BG68" s="34">
        <f>P68-S68</f>
        <v/>
      </c>
      <c r="BH68" s="34">
        <f>W68-AA68</f>
        <v/>
      </c>
      <c r="BI68" s="34">
        <f>BF68+BG68+BL68-BN68</f>
        <v/>
      </c>
      <c r="BJ68" s="34">
        <f>ABS(BK68)</f>
        <v/>
      </c>
      <c r="BK68" s="34">
        <f>AY68-(J68-L68+N68-Q68)</f>
        <v/>
      </c>
      <c r="BL68" s="34">
        <f>IF(AND(BK68&gt;0,MIN($F68:$G68)&lt;150,$E68="Enerji Açığı"),-100*BK68*1.03,IF(AND(BK68&gt;0,MIN($F68:$G68)&lt;150,$E68="Enerji Fazlası"),-100*BK68*1.06,IF(AND(BK68&gt;0,MIN($F68:$G68)&gt;=150,$E68="Enerji Açığı"),BK68*MIN($F68:$G68)*0.97,IF(AND(BK68&gt;0,MIN($F68:$G68)&gt;=150,$E68="Enerji Fazlası"),BK68*MIN($F68:$G68)*0.94,IF(AND(BK68&lt;0,MAX($F68:$G68)=4500,$E68="Enerji Açığı"),4500*1.05*1.06*BK68,IF(AND(BK68&lt;0,MAX($F68:$G68)=4500,$E68="Enerji Fazlası"),4500*1.05*1.03*BK68,IF(AND(BK68&lt;0,$E68="Enerji Açığı"),MAX($F68,$G68,150)*BK68*1.06,IF(AND(BK68&lt;0,$E68="Enerji Fazlası"),MAX($F68,$G68,150)*BK68*1.03,IF(AND(BK68&lt;0,$E68="Dengede"),MAX($F68:$G68,150)*1.03*BK68,MIN($F68:$G68)*0.97*BK68)))))))))</f>
        <v/>
      </c>
      <c r="BM68" s="34">
        <f>BE68-BI68-BN68</f>
        <v/>
      </c>
      <c r="BN68" s="34">
        <f>BB68</f>
        <v/>
      </c>
      <c r="BO68" s="34">
        <f>BE68-BI68</f>
        <v/>
      </c>
      <c r="BP68" s="34">
        <f>IF(AY68=0,0,BO68/AY68)</f>
        <v/>
      </c>
      <c r="BQ68" s="34">
        <f>MAX((AY68+MAX((-J68+L68-N68+Q68),0)),(MAX((J68-L68+N68-Q68),0)))</f>
        <v/>
      </c>
      <c r="BR68" s="82">
        <f>IFERROR(ABS(BK68/BQ68),0)</f>
        <v/>
      </c>
      <c r="BS68" s="34">
        <f>IF(BR68&lt;=0.1,0,BK68/BR68*(BR68-0.1))</f>
        <v/>
      </c>
      <c r="BT68" s="34">
        <f>IF((BS68)&lt;0,MAX(F68:G68)*(BS68)*1.03,MIN(F68:G68)*(BS68)*0.97)</f>
        <v/>
      </c>
      <c r="BU68" s="34">
        <f>IF(BR68&gt;0.1,1,0)</f>
        <v/>
      </c>
      <c r="BV68" s="34">
        <f>BF68+BG68+BH68+BY68-CA68</f>
        <v/>
      </c>
      <c r="BW68" s="34">
        <f>ABS(BX68)</f>
        <v/>
      </c>
      <c r="BX68" s="34">
        <f>AY68-(J68-L68+N68-Q68+T68-X68)</f>
        <v/>
      </c>
      <c r="BY68" s="34">
        <f>IF(AND(BX68&gt;0,MIN($F68:$G68)&lt;150,$E68="Enerji Açığı"),-100*BX68*1.03,IF(AND(BX68&gt;0,MIN($F68:$G68)&lt;150,$E68="Enerji Fazlası"),-100*BX68*1.06,IF(AND(BX68&gt;0,MIN($F68:$G68)&gt;=150,$E68="Enerji Açığı"),BX68*MIN($F68:$G68)*0.97,IF(AND(BX68&gt;0,MIN($F68:$G68)&gt;=150,$E68="Enerji Fazlası"),BX68*MIN($F68:$G68)*0.94,IF(AND(BX68&lt;0,MAX($F68:$G68)=4500,$E68="Enerji Açığı"),4500*1.05*1.06*BX68,IF(AND(BX68&lt;0,MAX($F68:$G68)=4500,$E68="Enerji Fazlası"),4500*1.05*1.03*BX68,IF(AND(BX68&lt;0,$E68="Enerji Açığı"),MAX($F68,$G68,150)*BX68*1.06,IF(AND(BX68&lt;0,$E68="Enerji Fazlası"),MAX($F68,$G68,150)*BX68*1.03,IF(AND(BX68&lt;0,$E68="Dengede"),MAX($F68:$G68,150)*1.03*BX68,MIN($F68:$G68)*0.97*BX68)))))))))</f>
        <v/>
      </c>
      <c r="BZ68" s="34">
        <f>BE68-BV68-CA68</f>
        <v/>
      </c>
      <c r="CA68" s="34">
        <f>BD68</f>
        <v/>
      </c>
      <c r="CB68" s="33">
        <f>BE68-BV68</f>
        <v/>
      </c>
      <c r="CC68" s="34">
        <f>IF(AY68=0,0,CB68/AY68)</f>
        <v/>
      </c>
      <c r="CD68" s="34">
        <f>MAX((AY68+MAX((-J68+L68-N68+Q68-T68+X68),0)),(MAX((J68-L68+N68-Q68+T68-X68),0)))</f>
        <v/>
      </c>
      <c r="CE68" s="82">
        <f>IFERROR(ABS(BX68/CD68),0)</f>
        <v/>
      </c>
      <c r="CF68" s="34">
        <f>IF(CE68&lt;=0.1,0,BX68/CE68*(CE68-0.1))</f>
        <v/>
      </c>
      <c r="CG68" s="34">
        <f>IF((CF68)&lt;0,MAX(F68:G68)*(CF68)*1.03,MIN(F68:G68)*(CF68)*0.97)</f>
        <v/>
      </c>
      <c r="CH68" s="34">
        <f>IF(CE68&gt;0.1,1,0)</f>
        <v/>
      </c>
      <c r="CI68" s="34">
        <f>(F68*BX68)-BY68</f>
        <v/>
      </c>
      <c r="CJ68" s="34">
        <f>IF(AY68=0,0,CI68/AY68)</f>
        <v/>
      </c>
    </row>
    <row r="69">
      <c r="A69" s="29" t="n">
        <v>46206.75</v>
      </c>
      <c r="B69" s="29" t="inlineStr">
        <is>
          <t>18:00</t>
        </is>
      </c>
      <c r="C69" s="35">
        <f>INT(A69)</f>
        <v/>
      </c>
      <c r="D69" s="36">
        <f>MONTH(A69)</f>
        <v/>
      </c>
      <c r="E69" s="147" t="inlineStr">
        <is>
          <t>Enerji Açığı</t>
        </is>
      </c>
      <c r="F69" s="30" t="n">
        <v>3389.89</v>
      </c>
      <c r="G69" s="30" t="n">
        <v>4050</v>
      </c>
      <c r="H69" s="30" t="n">
        <v>72.77</v>
      </c>
      <c r="I69" s="30" t="n">
        <v>3485.24</v>
      </c>
      <c r="J69" s="119" t="n">
        <v>0</v>
      </c>
      <c r="K69" s="34">
        <f>F69*J69</f>
        <v/>
      </c>
      <c r="L69" s="119" t="n">
        <v>0</v>
      </c>
      <c r="M69" s="34">
        <f>L69*F69</f>
        <v/>
      </c>
      <c r="N69" s="119" t="n">
        <v>23.3</v>
      </c>
      <c r="O69" s="34">
        <f>F69</f>
        <v/>
      </c>
      <c r="P69" s="34">
        <f>N69*O69</f>
        <v/>
      </c>
      <c r="Q69" s="119" t="n">
        <v>0</v>
      </c>
      <c r="R69" s="34">
        <f>F69</f>
        <v/>
      </c>
      <c r="S69" s="34">
        <f>R69*Q69</f>
        <v/>
      </c>
      <c r="T69" s="34" t="n"/>
      <c r="U69" s="34">
        <f>IFERROR(W69/T69,0)</f>
        <v/>
      </c>
      <c r="V69" s="34">
        <f>IF(U69=0,0,U69-F69)</f>
        <v/>
      </c>
      <c r="W69" s="34" t="n"/>
      <c r="X69" s="34" t="n"/>
      <c r="Y69" s="34">
        <f>IFERROR(AA69/X69,0)</f>
        <v/>
      </c>
      <c r="Z69" s="34">
        <f>IF(Y69=0,0,F69-Y69)</f>
        <v/>
      </c>
      <c r="AA69" s="34" t="n"/>
      <c r="AB69" s="34" t="n">
        <v>0</v>
      </c>
      <c r="AC69" s="34" t="n">
        <v>0</v>
      </c>
      <c r="AD69" s="34">
        <f>IF(AB69&gt;AC69*1.05,AB69-AC69*1.05,IF(AB69&lt;AC69*0.95,AC69*0.95-AB69,0))</f>
        <v/>
      </c>
      <c r="AE69" s="34">
        <f>MAX(F69,G69,750)*0.05*AD69</f>
        <v/>
      </c>
      <c r="AF69" s="34" t="n">
        <v>0</v>
      </c>
      <c r="AG69" s="34">
        <f>IF(AB69&gt;AF69*1.05,AB69-AF69*1.05,IF(AB69&lt;AF69*0.95,AF69*0.95-AB69,0))</f>
        <v/>
      </c>
      <c r="AH69" s="34">
        <f>MAX(I69,J69,750)*0.05*AG69</f>
        <v/>
      </c>
      <c r="AI69" t="n">
        <v>8.41</v>
      </c>
      <c r="AJ69" t="n">
        <v>10</v>
      </c>
      <c r="AK69" s="34">
        <f>IF(AI69&gt;AJ69*1.05,AI69-AJ69*1.05,IF(AI69&lt;AJ69*0.95,AJ69*0.95-AI69,0))</f>
        <v/>
      </c>
      <c r="AL69" s="34">
        <f>MAX(F69,G69,750)*0.05*AK69</f>
        <v/>
      </c>
      <c r="AM69" s="39" t="n">
        <v>8</v>
      </c>
      <c r="AN69" s="34">
        <f>IF(AI69&gt;AM69*1.05,AI69-AM69*1.05,IF(AI69&lt;AM69*0.95,AM69*0.95-AI69,0))</f>
        <v/>
      </c>
      <c r="AO69" s="34">
        <f>MAX(F69,G69,750)*0.05*AN69</f>
        <v/>
      </c>
      <c r="AP69" s="34" t="n">
        <v>13.78</v>
      </c>
      <c r="AQ69" s="34" t="n">
        <v>13.3</v>
      </c>
      <c r="AR69" s="34">
        <f>IF(AP69&gt;AQ69*1.05,AP69-AQ69*1.05,IF(AP69&lt;AQ69*0.95,AQ69*0.95-AP69,0))</f>
        <v/>
      </c>
      <c r="AS69" s="34">
        <f>MAX(F69:G69,750)*0.05*AR69</f>
        <v/>
      </c>
      <c r="AT69" t="n">
        <v>13.3</v>
      </c>
      <c r="AU69" s="34">
        <f>IF(AP69&gt;AT69*1.05,AP69-AT69*1.05,IF(AP69&lt;AT69*0.95,AT69*0.95-AP69,0))</f>
        <v/>
      </c>
      <c r="AV69" s="34">
        <f>MAX(F69:G69,750)*0.05*AU69</f>
        <v/>
      </c>
      <c r="AW69" s="34">
        <f>AC69+AJ69+AQ69</f>
        <v/>
      </c>
      <c r="AX69" s="34">
        <f>AF69+AM69+AT69</f>
        <v/>
      </c>
      <c r="AY69" s="34">
        <f>AB69+AI69+AP69</f>
        <v/>
      </c>
      <c r="AZ69" s="34" t="n">
        <v>0</v>
      </c>
      <c r="BA69" s="34">
        <f>AD69+AK69+AR69</f>
        <v/>
      </c>
      <c r="BB69" s="34">
        <f>MAX(F69:G69,750)*0.05*BA69</f>
        <v/>
      </c>
      <c r="BC69" s="34">
        <f>AG69+AN69+AU69</f>
        <v/>
      </c>
      <c r="BD69" s="34">
        <f>MAX(F69:G69,750)*0.05*BC69</f>
        <v/>
      </c>
      <c r="BE69" s="34">
        <f>F69*AY69</f>
        <v/>
      </c>
      <c r="BF69" s="34">
        <f>K69-M69</f>
        <v/>
      </c>
      <c r="BG69" s="34">
        <f>P69-S69</f>
        <v/>
      </c>
      <c r="BH69" s="34">
        <f>W69-AA69</f>
        <v/>
      </c>
      <c r="BI69" s="34">
        <f>BF69+BG69+BL69-BN69</f>
        <v/>
      </c>
      <c r="BJ69" s="34">
        <f>ABS(BK69)</f>
        <v/>
      </c>
      <c r="BK69" s="34">
        <f>AY69-(J69-L69+N69-Q69)</f>
        <v/>
      </c>
      <c r="BL69" s="34">
        <f>IF(AND(BK69&gt;0,MIN($F69:$G69)&lt;150,$E69="Enerji Açığı"),-100*BK69*1.03,IF(AND(BK69&gt;0,MIN($F69:$G69)&lt;150,$E69="Enerji Fazlası"),-100*BK69*1.06,IF(AND(BK69&gt;0,MIN($F69:$G69)&gt;=150,$E69="Enerji Açığı"),BK69*MIN($F69:$G69)*0.97,IF(AND(BK69&gt;0,MIN($F69:$G69)&gt;=150,$E69="Enerji Fazlası"),BK69*MIN($F69:$G69)*0.94,IF(AND(BK69&lt;0,MAX($F69:$G69)=4500,$E69="Enerji Açığı"),4500*1.05*1.06*BK69,IF(AND(BK69&lt;0,MAX($F69:$G69)=4500,$E69="Enerji Fazlası"),4500*1.05*1.03*BK69,IF(AND(BK69&lt;0,$E69="Enerji Açığı"),MAX($F69,$G69,150)*BK69*1.06,IF(AND(BK69&lt;0,$E69="Enerji Fazlası"),MAX($F69,$G69,150)*BK69*1.03,IF(AND(BK69&lt;0,$E69="Dengede"),MAX($F69:$G69,150)*1.03*BK69,MIN($F69:$G69)*0.97*BK69)))))))))</f>
        <v/>
      </c>
      <c r="BM69" s="34">
        <f>BE69-BI69-BN69</f>
        <v/>
      </c>
      <c r="BN69" s="34">
        <f>BB69</f>
        <v/>
      </c>
      <c r="BO69" s="34">
        <f>BE69-BI69</f>
        <v/>
      </c>
      <c r="BP69" s="34">
        <f>IF(AY69=0,0,BO69/AY69)</f>
        <v/>
      </c>
      <c r="BQ69" s="34">
        <f>MAX((AY69+MAX((-J69+L69-N69+Q69),0)),(MAX((J69-L69+N69-Q69),0)))</f>
        <v/>
      </c>
      <c r="BR69" s="82">
        <f>IFERROR(ABS(BK69/BQ69),0)</f>
        <v/>
      </c>
      <c r="BS69" s="34">
        <f>IF(BR69&lt;=0.1,0,BK69/BR69*(BR69-0.1))</f>
        <v/>
      </c>
      <c r="BT69" s="34">
        <f>IF((BS69)&lt;0,MAX(F69:G69)*(BS69)*1.03,MIN(F69:G69)*(BS69)*0.97)</f>
        <v/>
      </c>
      <c r="BU69" s="34">
        <f>IF(BR69&gt;0.1,1,0)</f>
        <v/>
      </c>
      <c r="BV69" s="34">
        <f>BF69+BG69+BH69+BY69-CA69</f>
        <v/>
      </c>
      <c r="BW69" s="34">
        <f>ABS(BX69)</f>
        <v/>
      </c>
      <c r="BX69" s="34">
        <f>AY69-(J69-L69+N69-Q69+T69-X69)</f>
        <v/>
      </c>
      <c r="BY69" s="34">
        <f>IF(AND(BX69&gt;0,MIN($F69:$G69)&lt;150,$E69="Enerji Açığı"),-100*BX69*1.03,IF(AND(BX69&gt;0,MIN($F69:$G69)&lt;150,$E69="Enerji Fazlası"),-100*BX69*1.06,IF(AND(BX69&gt;0,MIN($F69:$G69)&gt;=150,$E69="Enerji Açığı"),BX69*MIN($F69:$G69)*0.97,IF(AND(BX69&gt;0,MIN($F69:$G69)&gt;=150,$E69="Enerji Fazlası"),BX69*MIN($F69:$G69)*0.94,IF(AND(BX69&lt;0,MAX($F69:$G69)=4500,$E69="Enerji Açığı"),4500*1.05*1.06*BX69,IF(AND(BX69&lt;0,MAX($F69:$G69)=4500,$E69="Enerji Fazlası"),4500*1.05*1.03*BX69,IF(AND(BX69&lt;0,$E69="Enerji Açığı"),MAX($F69,$G69,150)*BX69*1.06,IF(AND(BX69&lt;0,$E69="Enerji Fazlası"),MAX($F69,$G69,150)*BX69*1.03,IF(AND(BX69&lt;0,$E69="Dengede"),MAX($F69:$G69,150)*1.03*BX69,MIN($F69:$G69)*0.97*BX69)))))))))</f>
        <v/>
      </c>
      <c r="BZ69" s="34">
        <f>BE69-BV69-CA69</f>
        <v/>
      </c>
      <c r="CA69" s="34">
        <f>BD69</f>
        <v/>
      </c>
      <c r="CB69" s="33">
        <f>BE69-BV69</f>
        <v/>
      </c>
      <c r="CC69" s="34">
        <f>IF(AY69=0,0,CB69/AY69)</f>
        <v/>
      </c>
      <c r="CD69" s="34">
        <f>MAX((AY69+MAX((-J69+L69-N69+Q69-T69+X69),0)),(MAX((J69-L69+N69-Q69+T69-X69),0)))</f>
        <v/>
      </c>
      <c r="CE69" s="82">
        <f>IFERROR(ABS(BX69/CD69),0)</f>
        <v/>
      </c>
      <c r="CF69" s="34">
        <f>IF(CE69&lt;=0.1,0,BX69/CE69*(CE69-0.1))</f>
        <v/>
      </c>
      <c r="CG69" s="34">
        <f>IF((CF69)&lt;0,MAX(F69:G69)*(CF69)*1.03,MIN(F69:G69)*(CF69)*0.97)</f>
        <v/>
      </c>
      <c r="CH69" s="34">
        <f>IF(CE69&gt;0.1,1,0)</f>
        <v/>
      </c>
      <c r="CI69" s="34">
        <f>(F69*BX69)-BY69</f>
        <v/>
      </c>
      <c r="CJ69" s="34">
        <f>IF(AY69=0,0,CI69/AY69)</f>
        <v/>
      </c>
    </row>
    <row r="70">
      <c r="A70" s="29" t="n">
        <v>46206.79166666666</v>
      </c>
      <c r="B70" s="29" t="inlineStr">
        <is>
          <t>19:00</t>
        </is>
      </c>
      <c r="C70" s="35">
        <f>INT(A70)</f>
        <v/>
      </c>
      <c r="D70" s="36">
        <f>MONTH(A70)</f>
        <v/>
      </c>
      <c r="E70" s="147" t="inlineStr">
        <is>
          <t>Enerji Açığı</t>
        </is>
      </c>
      <c r="F70" s="30" t="n">
        <v>3852.62</v>
      </c>
      <c r="G70" s="30" t="n">
        <v>4300</v>
      </c>
      <c r="H70" s="30" t="n">
        <v>82.7</v>
      </c>
      <c r="I70" s="30" t="n">
        <v>3838.23</v>
      </c>
      <c r="J70" s="119" t="n">
        <v>0</v>
      </c>
      <c r="K70" s="34">
        <f>F70*J70</f>
        <v/>
      </c>
      <c r="L70" s="119" t="n">
        <v>0</v>
      </c>
      <c r="M70" s="34">
        <f>L70*F70</f>
        <v/>
      </c>
      <c r="N70" s="119" t="n">
        <v>23.2</v>
      </c>
      <c r="O70" s="34">
        <f>F70</f>
        <v/>
      </c>
      <c r="P70" s="34">
        <f>N70*O70</f>
        <v/>
      </c>
      <c r="Q70" s="119" t="n">
        <v>0</v>
      </c>
      <c r="R70" s="34">
        <f>F70</f>
        <v/>
      </c>
      <c r="S70" s="34">
        <f>R70*Q70</f>
        <v/>
      </c>
      <c r="T70" s="34" t="n"/>
      <c r="U70" s="34">
        <f>IFERROR(W70/T70,0)</f>
        <v/>
      </c>
      <c r="V70" s="34">
        <f>IF(U70=0,0,U70-F70)</f>
        <v/>
      </c>
      <c r="W70" s="34" t="n"/>
      <c r="X70" s="34" t="n"/>
      <c r="Y70" s="34">
        <f>IFERROR(AA70/X70,0)</f>
        <v/>
      </c>
      <c r="Z70" s="34">
        <f>IF(Y70=0,0,F70-Y70)</f>
        <v/>
      </c>
      <c r="AA70" s="34" t="n"/>
      <c r="AB70" s="34" t="n">
        <v>0</v>
      </c>
      <c r="AC70" s="34" t="n">
        <v>0</v>
      </c>
      <c r="AD70" s="34">
        <f>IF(AB70&gt;AC70*1.05,AB70-AC70*1.05,IF(AB70&lt;AC70*0.95,AC70*0.95-AB70,0))</f>
        <v/>
      </c>
      <c r="AE70" s="34">
        <f>MAX(F70,G70,750)*0.05*AD70</f>
        <v/>
      </c>
      <c r="AF70" s="34" t="n">
        <v>0</v>
      </c>
      <c r="AG70" s="34">
        <f>IF(AB70&gt;AF70*1.05,AB70-AF70*1.05,IF(AB70&lt;AF70*0.95,AF70*0.95-AB70,0))</f>
        <v/>
      </c>
      <c r="AH70" s="34">
        <f>MAX(I70,J70,750)*0.05*AG70</f>
        <v/>
      </c>
      <c r="AI70" t="n">
        <v>10.01</v>
      </c>
      <c r="AJ70" t="n">
        <v>10</v>
      </c>
      <c r="AK70" s="34">
        <f>IF(AI70&gt;AJ70*1.05,AI70-AJ70*1.05,IF(AI70&lt;AJ70*0.95,AJ70*0.95-AI70,0))</f>
        <v/>
      </c>
      <c r="AL70" s="34">
        <f>MAX(F70,G70,750)*0.05*AK70</f>
        <v/>
      </c>
      <c r="AM70" s="39" t="n">
        <v>10</v>
      </c>
      <c r="AN70" s="34">
        <f>IF(AI70&gt;AM70*1.05,AI70-AM70*1.05,IF(AI70&lt;AM70*0.95,AM70*0.95-AI70,0))</f>
        <v/>
      </c>
      <c r="AO70" s="34">
        <f>MAX(F70,G70,750)*0.05*AN70</f>
        <v/>
      </c>
      <c r="AP70" s="34" t="n">
        <v>13.35</v>
      </c>
      <c r="AQ70" s="34" t="n">
        <v>13.2</v>
      </c>
      <c r="AR70" s="34">
        <f>IF(AP70&gt;AQ70*1.05,AP70-AQ70*1.05,IF(AP70&lt;AQ70*0.95,AQ70*0.95-AP70,0))</f>
        <v/>
      </c>
      <c r="AS70" s="34">
        <f>MAX(F70:G70,750)*0.05*AR70</f>
        <v/>
      </c>
      <c r="AT70" t="n">
        <v>13.2</v>
      </c>
      <c r="AU70" s="34">
        <f>IF(AP70&gt;AT70*1.05,AP70-AT70*1.05,IF(AP70&lt;AT70*0.95,AT70*0.95-AP70,0))</f>
        <v/>
      </c>
      <c r="AV70" s="34">
        <f>MAX(F70:G70,750)*0.05*AU70</f>
        <v/>
      </c>
      <c r="AW70" s="34">
        <f>AC70+AJ70+AQ70</f>
        <v/>
      </c>
      <c r="AX70" s="34">
        <f>AF70+AM70+AT70</f>
        <v/>
      </c>
      <c r="AY70" s="34">
        <f>AB70+AI70+AP70</f>
        <v/>
      </c>
      <c r="AZ70" s="34" t="n">
        <v>0</v>
      </c>
      <c r="BA70" s="34">
        <f>AD70+AK70+AR70</f>
        <v/>
      </c>
      <c r="BB70" s="34">
        <f>MAX(F70:G70,750)*0.05*BA70</f>
        <v/>
      </c>
      <c r="BC70" s="34">
        <f>AG70+AN70+AU70</f>
        <v/>
      </c>
      <c r="BD70" s="34">
        <f>MAX(F70:G70,750)*0.05*BC70</f>
        <v/>
      </c>
      <c r="BE70" s="34">
        <f>F70*AY70</f>
        <v/>
      </c>
      <c r="BF70" s="34">
        <f>K70-M70</f>
        <v/>
      </c>
      <c r="BG70" s="34">
        <f>P70-S70</f>
        <v/>
      </c>
      <c r="BH70" s="34">
        <f>W70-AA70</f>
        <v/>
      </c>
      <c r="BI70" s="34">
        <f>BF70+BG70+BL70-BN70</f>
        <v/>
      </c>
      <c r="BJ70" s="34">
        <f>ABS(BK70)</f>
        <v/>
      </c>
      <c r="BK70" s="34">
        <f>AY70-(J70-L70+N70-Q70)</f>
        <v/>
      </c>
      <c r="BL70" s="34">
        <f>IF(AND(BK70&gt;0,MIN($F70:$G70)&lt;150,$E70="Enerji Açığı"),-100*BK70*1.03,IF(AND(BK70&gt;0,MIN($F70:$G70)&lt;150,$E70="Enerji Fazlası"),-100*BK70*1.06,IF(AND(BK70&gt;0,MIN($F70:$G70)&gt;=150,$E70="Enerji Açığı"),BK70*MIN($F70:$G70)*0.97,IF(AND(BK70&gt;0,MIN($F70:$G70)&gt;=150,$E70="Enerji Fazlası"),BK70*MIN($F70:$G70)*0.94,IF(AND(BK70&lt;0,MAX($F70:$G70)=4500,$E70="Enerji Açığı"),4500*1.05*1.06*BK70,IF(AND(BK70&lt;0,MAX($F70:$G70)=4500,$E70="Enerji Fazlası"),4500*1.05*1.03*BK70,IF(AND(BK70&lt;0,$E70="Enerji Açığı"),MAX($F70,$G70,150)*BK70*1.06,IF(AND(BK70&lt;0,$E70="Enerji Fazlası"),MAX($F70,$G70,150)*BK70*1.03,IF(AND(BK70&lt;0,$E70="Dengede"),MAX($F70:$G70,150)*1.03*BK70,MIN($F70:$G70)*0.97*BK70)))))))))</f>
        <v/>
      </c>
      <c r="BM70" s="34">
        <f>BE70-BI70-BN70</f>
        <v/>
      </c>
      <c r="BN70" s="34">
        <f>BB70</f>
        <v/>
      </c>
      <c r="BO70" s="34">
        <f>BE70-BI70</f>
        <v/>
      </c>
      <c r="BP70" s="34">
        <f>IF(AY70=0,0,BO70/AY70)</f>
        <v/>
      </c>
      <c r="BQ70" s="34">
        <f>MAX((AY70+MAX((-J70+L70-N70+Q70),0)),(MAX((J70-L70+N70-Q70),0)))</f>
        <v/>
      </c>
      <c r="BR70" s="82">
        <f>IFERROR(ABS(BK70/BQ70),0)</f>
        <v/>
      </c>
      <c r="BS70" s="34">
        <f>IF(BR70&lt;=0.1,0,BK70/BR70*(BR70-0.1))</f>
        <v/>
      </c>
      <c r="BT70" s="34">
        <f>IF((BS70)&lt;0,MAX(F70:G70)*(BS70)*1.03,MIN(F70:G70)*(BS70)*0.97)</f>
        <v/>
      </c>
      <c r="BU70" s="34">
        <f>IF(BR70&gt;0.1,1,0)</f>
        <v/>
      </c>
      <c r="BV70" s="34">
        <f>BF70+BG70+BH70+BY70-CA70</f>
        <v/>
      </c>
      <c r="BW70" s="34">
        <f>ABS(BX70)</f>
        <v/>
      </c>
      <c r="BX70" s="34">
        <f>AY70-(J70-L70+N70-Q70+T70-X70)</f>
        <v/>
      </c>
      <c r="BY70" s="34">
        <f>IF(AND(BX70&gt;0,MIN($F70:$G70)&lt;150,$E70="Enerji Açığı"),-100*BX70*1.03,IF(AND(BX70&gt;0,MIN($F70:$G70)&lt;150,$E70="Enerji Fazlası"),-100*BX70*1.06,IF(AND(BX70&gt;0,MIN($F70:$G70)&gt;=150,$E70="Enerji Açığı"),BX70*MIN($F70:$G70)*0.97,IF(AND(BX70&gt;0,MIN($F70:$G70)&gt;=150,$E70="Enerji Fazlası"),BX70*MIN($F70:$G70)*0.94,IF(AND(BX70&lt;0,MAX($F70:$G70)=4500,$E70="Enerji Açığı"),4500*1.05*1.06*BX70,IF(AND(BX70&lt;0,MAX($F70:$G70)=4500,$E70="Enerji Fazlası"),4500*1.05*1.03*BX70,IF(AND(BX70&lt;0,$E70="Enerji Açığı"),MAX($F70,$G70,150)*BX70*1.06,IF(AND(BX70&lt;0,$E70="Enerji Fazlası"),MAX($F70,$G70,150)*BX70*1.03,IF(AND(BX70&lt;0,$E70="Dengede"),MAX($F70:$G70,150)*1.03*BX70,MIN($F70:$G70)*0.97*BX70)))))))))</f>
        <v/>
      </c>
      <c r="BZ70" s="34">
        <f>BE70-BV70-CA70</f>
        <v/>
      </c>
      <c r="CA70" s="34">
        <f>BD70</f>
        <v/>
      </c>
      <c r="CB70" s="33">
        <f>BE70-BV70</f>
        <v/>
      </c>
      <c r="CC70" s="34">
        <f>IF(AY70=0,0,CB70/AY70)</f>
        <v/>
      </c>
      <c r="CD70" s="34">
        <f>MAX((AY70+MAX((-J70+L70-N70+Q70-T70+X70),0)),(MAX((J70-L70+N70-Q70+T70-X70),0)))</f>
        <v/>
      </c>
      <c r="CE70" s="82">
        <f>IFERROR(ABS(BX70/CD70),0)</f>
        <v/>
      </c>
      <c r="CF70" s="34">
        <f>IF(CE70&lt;=0.1,0,BX70/CE70*(CE70-0.1))</f>
        <v/>
      </c>
      <c r="CG70" s="34">
        <f>IF((CF70)&lt;0,MAX(F70:G70)*(CF70)*1.03,MIN(F70:G70)*(CF70)*0.97)</f>
        <v/>
      </c>
      <c r="CH70" s="34">
        <f>IF(CE70&gt;0.1,1,0)</f>
        <v/>
      </c>
      <c r="CI70" s="34">
        <f>(F70*BX70)-BY70</f>
        <v/>
      </c>
      <c r="CJ70" s="34">
        <f>IF(AY70=0,0,CI70/AY70)</f>
        <v/>
      </c>
    </row>
    <row r="71">
      <c r="A71" s="29" t="n">
        <v>46206.83333333334</v>
      </c>
      <c r="B71" s="29" t="inlineStr">
        <is>
          <t>20:00</t>
        </is>
      </c>
      <c r="C71" s="35">
        <f>INT(A71)</f>
        <v/>
      </c>
      <c r="D71" s="36">
        <f>MONTH(A71)</f>
        <v/>
      </c>
      <c r="E71" s="147" t="inlineStr">
        <is>
          <t>Enerji Açığı</t>
        </is>
      </c>
      <c r="F71" s="30" t="n">
        <v>4235.01</v>
      </c>
      <c r="G71" s="30" t="n">
        <v>4320</v>
      </c>
      <c r="H71" s="30" t="n">
        <v>90.91</v>
      </c>
      <c r="I71" s="30" t="n">
        <v>4343.86</v>
      </c>
      <c r="J71" s="119" t="n">
        <v>0</v>
      </c>
      <c r="K71" s="34">
        <f>F71*J71</f>
        <v/>
      </c>
      <c r="L71" s="119" t="n">
        <v>0</v>
      </c>
      <c r="M71" s="34">
        <f>L71*F71</f>
        <v/>
      </c>
      <c r="N71" s="119" t="n">
        <v>23</v>
      </c>
      <c r="O71" s="34">
        <f>F71</f>
        <v/>
      </c>
      <c r="P71" s="34">
        <f>N71*O71</f>
        <v/>
      </c>
      <c r="Q71" s="119" t="n">
        <v>0</v>
      </c>
      <c r="R71" s="34">
        <f>F71</f>
        <v/>
      </c>
      <c r="S71" s="34">
        <f>R71*Q71</f>
        <v/>
      </c>
      <c r="T71" s="34" t="n"/>
      <c r="U71" s="34">
        <f>IFERROR(W71/T71,0)</f>
        <v/>
      </c>
      <c r="V71" s="34">
        <f>IF(U71=0,0,U71-F71)</f>
        <v/>
      </c>
      <c r="W71" s="34" t="n"/>
      <c r="X71" s="34" t="n"/>
      <c r="Y71" s="34">
        <f>IFERROR(AA71/X71,0)</f>
        <v/>
      </c>
      <c r="Z71" s="34">
        <f>IF(Y71=0,0,F71-Y71)</f>
        <v/>
      </c>
      <c r="AA71" s="34" t="n"/>
      <c r="AB71" s="34" t="n">
        <v>0</v>
      </c>
      <c r="AC71" s="34" t="n">
        <v>0</v>
      </c>
      <c r="AD71" s="34">
        <f>IF(AB71&gt;AC71*1.05,AB71-AC71*1.05,IF(AB71&lt;AC71*0.95,AC71*0.95-AB71,0))</f>
        <v/>
      </c>
      <c r="AE71" s="34">
        <f>MAX(F71,G71,750)*0.05*AD71</f>
        <v/>
      </c>
      <c r="AF71" s="34" t="n">
        <v>0</v>
      </c>
      <c r="AG71" s="34">
        <f>IF(AB71&gt;AF71*1.05,AB71-AF71*1.05,IF(AB71&lt;AF71*0.95,AF71*0.95-AB71,0))</f>
        <v/>
      </c>
      <c r="AH71" s="34">
        <f>MAX(I71,J71,750)*0.05*AG71</f>
        <v/>
      </c>
      <c r="AI71" t="n">
        <v>10.17</v>
      </c>
      <c r="AJ71" t="n">
        <v>10</v>
      </c>
      <c r="AK71" s="34">
        <f>IF(AI71&gt;AJ71*1.05,AI71-AJ71*1.05,IF(AI71&lt;AJ71*0.95,AJ71*0.95-AI71,0))</f>
        <v/>
      </c>
      <c r="AL71" s="34">
        <f>MAX(F71,G71,750)*0.05*AK71</f>
        <v/>
      </c>
      <c r="AM71" s="39" t="n">
        <v>10</v>
      </c>
      <c r="AN71" s="34">
        <f>IF(AI71&gt;AM71*1.05,AI71-AM71*1.05,IF(AI71&lt;AM71*0.95,AM71*0.95-AI71,0))</f>
        <v/>
      </c>
      <c r="AO71" s="34">
        <f>MAX(F71,G71,750)*0.05*AN71</f>
        <v/>
      </c>
      <c r="AP71" s="34" t="n">
        <v>13.17</v>
      </c>
      <c r="AQ71" s="34" t="n">
        <v>13</v>
      </c>
      <c r="AR71" s="34">
        <f>IF(AP71&gt;AQ71*1.05,AP71-AQ71*1.05,IF(AP71&lt;AQ71*0.95,AQ71*0.95-AP71,0))</f>
        <v/>
      </c>
      <c r="AS71" s="34">
        <f>MAX(F71:G71,750)*0.05*AR71</f>
        <v/>
      </c>
      <c r="AT71" t="n">
        <v>13</v>
      </c>
      <c r="AU71" s="34">
        <f>IF(AP71&gt;AT71*1.05,AP71-AT71*1.05,IF(AP71&lt;AT71*0.95,AT71*0.95-AP71,0))</f>
        <v/>
      </c>
      <c r="AV71" s="34">
        <f>MAX(F71:G71,750)*0.05*AU71</f>
        <v/>
      </c>
      <c r="AW71" s="34">
        <f>AC71+AJ71+AQ71</f>
        <v/>
      </c>
      <c r="AX71" s="34">
        <f>AF71+AM71+AT71</f>
        <v/>
      </c>
      <c r="AY71" s="34">
        <f>AB71+AI71+AP71</f>
        <v/>
      </c>
      <c r="AZ71" s="34" t="n">
        <v>0</v>
      </c>
      <c r="BA71" s="34">
        <f>AD71+AK71+AR71</f>
        <v/>
      </c>
      <c r="BB71" s="34">
        <f>MAX(F71:G71,750)*0.05*BA71</f>
        <v/>
      </c>
      <c r="BC71" s="34">
        <f>AG71+AN71+AU71</f>
        <v/>
      </c>
      <c r="BD71" s="34">
        <f>MAX(F71:G71,750)*0.05*BC71</f>
        <v/>
      </c>
      <c r="BE71" s="34">
        <f>F71*AY71</f>
        <v/>
      </c>
      <c r="BF71" s="34">
        <f>K71-M71</f>
        <v/>
      </c>
      <c r="BG71" s="34">
        <f>P71-S71</f>
        <v/>
      </c>
      <c r="BH71" s="34">
        <f>W71-AA71</f>
        <v/>
      </c>
      <c r="BI71" s="34">
        <f>BF71+BG71+BL71-BN71</f>
        <v/>
      </c>
      <c r="BJ71" s="34">
        <f>ABS(BK71)</f>
        <v/>
      </c>
      <c r="BK71" s="34">
        <f>AY71-(J71-L71+N71-Q71)</f>
        <v/>
      </c>
      <c r="BL71" s="34">
        <f>IF(AND(BK71&gt;0,MIN($F71:$G71)&lt;150,$E71="Enerji Açığı"),-100*BK71*1.03,IF(AND(BK71&gt;0,MIN($F71:$G71)&lt;150,$E71="Enerji Fazlası"),-100*BK71*1.06,IF(AND(BK71&gt;0,MIN($F71:$G71)&gt;=150,$E71="Enerji Açığı"),BK71*MIN($F71:$G71)*0.97,IF(AND(BK71&gt;0,MIN($F71:$G71)&gt;=150,$E71="Enerji Fazlası"),BK71*MIN($F71:$G71)*0.94,IF(AND(BK71&lt;0,MAX($F71:$G71)=4500,$E71="Enerji Açığı"),4500*1.05*1.06*BK71,IF(AND(BK71&lt;0,MAX($F71:$G71)=4500,$E71="Enerji Fazlası"),4500*1.05*1.03*BK71,IF(AND(BK71&lt;0,$E71="Enerji Açığı"),MAX($F71,$G71,150)*BK71*1.06,IF(AND(BK71&lt;0,$E71="Enerji Fazlası"),MAX($F71,$G71,150)*BK71*1.03,IF(AND(BK71&lt;0,$E71="Dengede"),MAX($F71:$G71,150)*1.03*BK71,MIN($F71:$G71)*0.97*BK71)))))))))</f>
        <v/>
      </c>
      <c r="BM71" s="34">
        <f>BE71-BI71-BN71</f>
        <v/>
      </c>
      <c r="BN71" s="34">
        <f>BB71</f>
        <v/>
      </c>
      <c r="BO71" s="34">
        <f>BE71-BI71</f>
        <v/>
      </c>
      <c r="BP71" s="34">
        <f>IF(AY71=0,0,BO71/AY71)</f>
        <v/>
      </c>
      <c r="BQ71" s="34">
        <f>MAX((AY71+MAX((-J71+L71-N71+Q71),0)),(MAX((J71-L71+N71-Q71),0)))</f>
        <v/>
      </c>
      <c r="BR71" s="82">
        <f>IFERROR(ABS(BK71/BQ71),0)</f>
        <v/>
      </c>
      <c r="BS71" s="34">
        <f>IF(BR71&lt;=0.1,0,BK71/BR71*(BR71-0.1))</f>
        <v/>
      </c>
      <c r="BT71" s="34">
        <f>IF((BS71)&lt;0,MAX(F71:G71)*(BS71)*1.03,MIN(F71:G71)*(BS71)*0.97)</f>
        <v/>
      </c>
      <c r="BU71" s="34">
        <f>IF(BR71&gt;0.1,1,0)</f>
        <v/>
      </c>
      <c r="BV71" s="34">
        <f>BF71+BG71+BH71+BY71-CA71</f>
        <v/>
      </c>
      <c r="BW71" s="34">
        <f>ABS(BX71)</f>
        <v/>
      </c>
      <c r="BX71" s="34">
        <f>AY71-(J71-L71+N71-Q71+T71-X71)</f>
        <v/>
      </c>
      <c r="BY71" s="34">
        <f>IF(AND(BX71&gt;0,MIN($F71:$G71)&lt;150,$E71="Enerji Açığı"),-100*BX71*1.03,IF(AND(BX71&gt;0,MIN($F71:$G71)&lt;150,$E71="Enerji Fazlası"),-100*BX71*1.06,IF(AND(BX71&gt;0,MIN($F71:$G71)&gt;=150,$E71="Enerji Açığı"),BX71*MIN($F71:$G71)*0.97,IF(AND(BX71&gt;0,MIN($F71:$G71)&gt;=150,$E71="Enerji Fazlası"),BX71*MIN($F71:$G71)*0.94,IF(AND(BX71&lt;0,MAX($F71:$G71)=4500,$E71="Enerji Açığı"),4500*1.05*1.06*BX71,IF(AND(BX71&lt;0,MAX($F71:$G71)=4500,$E71="Enerji Fazlası"),4500*1.05*1.03*BX71,IF(AND(BX71&lt;0,$E71="Enerji Açığı"),MAX($F71,$G71,150)*BX71*1.06,IF(AND(BX71&lt;0,$E71="Enerji Fazlası"),MAX($F71,$G71,150)*BX71*1.03,IF(AND(BX71&lt;0,$E71="Dengede"),MAX($F71:$G71,150)*1.03*BX71,MIN($F71:$G71)*0.97*BX71)))))))))</f>
        <v/>
      </c>
      <c r="BZ71" s="34">
        <f>BE71-BV71-CA71</f>
        <v/>
      </c>
      <c r="CA71" s="34">
        <f>BD71</f>
        <v/>
      </c>
      <c r="CB71" s="33">
        <f>BE71-BV71</f>
        <v/>
      </c>
      <c r="CC71" s="34">
        <f>IF(AY71=0,0,CB71/AY71)</f>
        <v/>
      </c>
      <c r="CD71" s="34">
        <f>MAX((AY71+MAX((-J71+L71-N71+Q71-T71+X71),0)),(MAX((J71-L71+N71-Q71+T71-X71),0)))</f>
        <v/>
      </c>
      <c r="CE71" s="82">
        <f>IFERROR(ABS(BX71/CD71),0)</f>
        <v/>
      </c>
      <c r="CF71" s="34">
        <f>IF(CE71&lt;=0.1,0,BX71/CE71*(CE71-0.1))</f>
        <v/>
      </c>
      <c r="CG71" s="34">
        <f>IF((CF71)&lt;0,MAX(F71:G71)*(CF71)*1.03,MIN(F71:G71)*(CF71)*0.97)</f>
        <v/>
      </c>
      <c r="CH71" s="34">
        <f>IF(CE71&gt;0.1,1,0)</f>
        <v/>
      </c>
      <c r="CI71" s="34">
        <f>(F71*BX71)-BY71</f>
        <v/>
      </c>
      <c r="CJ71" s="34">
        <f>IF(AY71=0,0,CI71/AY71)</f>
        <v/>
      </c>
    </row>
    <row r="72">
      <c r="A72" s="29" t="n">
        <v>46206.875</v>
      </c>
      <c r="B72" s="29" t="inlineStr">
        <is>
          <t>21:00</t>
        </is>
      </c>
      <c r="C72" s="35">
        <f>INT(A72)</f>
        <v/>
      </c>
      <c r="D72" s="36">
        <f>MONTH(A72)</f>
        <v/>
      </c>
      <c r="E72" s="147" t="inlineStr">
        <is>
          <t>Enerji Açığı</t>
        </is>
      </c>
      <c r="F72" s="30" t="n">
        <v>4200</v>
      </c>
      <c r="G72" s="30" t="n">
        <v>4320</v>
      </c>
      <c r="H72" s="30" t="n">
        <v>90.15000000000001</v>
      </c>
      <c r="I72" s="30" t="n">
        <v>4299.01</v>
      </c>
      <c r="J72" s="119" t="n">
        <v>0</v>
      </c>
      <c r="K72" s="34">
        <f>F72*J72</f>
        <v/>
      </c>
      <c r="L72" s="119" t="n">
        <v>0</v>
      </c>
      <c r="M72" s="34">
        <f>L72*F72</f>
        <v/>
      </c>
      <c r="N72" s="119" t="n">
        <v>21</v>
      </c>
      <c r="O72" s="34">
        <f>F72</f>
        <v/>
      </c>
      <c r="P72" s="34">
        <f>N72*O72</f>
        <v/>
      </c>
      <c r="Q72" s="119" t="n">
        <v>0</v>
      </c>
      <c r="R72" s="34">
        <f>F72</f>
        <v/>
      </c>
      <c r="S72" s="34">
        <f>R72*Q72</f>
        <v/>
      </c>
      <c r="T72" s="34" t="n"/>
      <c r="U72" s="34">
        <f>IFERROR(W72/T72,0)</f>
        <v/>
      </c>
      <c r="V72" s="34">
        <f>IF(U72=0,0,U72-F72)</f>
        <v/>
      </c>
      <c r="W72" s="34" t="n"/>
      <c r="X72" s="34" t="n"/>
      <c r="Y72" s="34">
        <f>IFERROR(AA72/X72,0)</f>
        <v/>
      </c>
      <c r="Z72" s="34">
        <f>IF(Y72=0,0,F72-Y72)</f>
        <v/>
      </c>
      <c r="AA72" s="34" t="n"/>
      <c r="AB72" s="34" t="n">
        <v>0</v>
      </c>
      <c r="AC72" s="34" t="n">
        <v>0</v>
      </c>
      <c r="AD72" s="34">
        <f>IF(AB72&gt;AC72*1.05,AB72-AC72*1.05,IF(AB72&lt;AC72*0.95,AC72*0.95-AB72,0))</f>
        <v/>
      </c>
      <c r="AE72" s="34">
        <f>MAX(F72,G72,750)*0.05*AD72</f>
        <v/>
      </c>
      <c r="AF72" s="34" t="n">
        <v>0</v>
      </c>
      <c r="AG72" s="34">
        <f>IF(AB72&gt;AF72*1.05,AB72-AF72*1.05,IF(AB72&lt;AF72*0.95,AF72*0.95-AB72,0))</f>
        <v/>
      </c>
      <c r="AH72" s="34">
        <f>MAX(I72,J72,750)*0.05*AG72</f>
        <v/>
      </c>
      <c r="AI72" t="n">
        <v>10.13</v>
      </c>
      <c r="AJ72" t="n">
        <v>10</v>
      </c>
      <c r="AK72" s="34">
        <f>IF(AI72&gt;AJ72*1.05,AI72-AJ72*1.05,IF(AI72&lt;AJ72*0.95,AJ72*0.95-AI72,0))</f>
        <v/>
      </c>
      <c r="AL72" s="34">
        <f>MAX(F72,G72,750)*0.05*AK72</f>
        <v/>
      </c>
      <c r="AM72" s="39" t="n">
        <v>10</v>
      </c>
      <c r="AN72" s="34">
        <f>IF(AI72&gt;AM72*1.05,AI72-AM72*1.05,IF(AI72&lt;AM72*0.95,AM72*0.95-AI72,0))</f>
        <v/>
      </c>
      <c r="AO72" s="34">
        <f>MAX(F72,G72,750)*0.05*AN72</f>
        <v/>
      </c>
      <c r="AP72" s="34" t="n">
        <v>11.57</v>
      </c>
      <c r="AQ72" s="34" t="n">
        <v>11</v>
      </c>
      <c r="AR72" s="34">
        <f>IF(AP72&gt;AQ72*1.05,AP72-AQ72*1.05,IF(AP72&lt;AQ72*0.95,AQ72*0.95-AP72,0))</f>
        <v/>
      </c>
      <c r="AS72" s="34">
        <f>MAX(F72:G72,750)*0.05*AR72</f>
        <v/>
      </c>
      <c r="AT72" t="n">
        <v>11</v>
      </c>
      <c r="AU72" s="34">
        <f>IF(AP72&gt;AT72*1.05,AP72-AT72*1.05,IF(AP72&lt;AT72*0.95,AT72*0.95-AP72,0))</f>
        <v/>
      </c>
      <c r="AV72" s="34">
        <f>MAX(F72:G72,750)*0.05*AU72</f>
        <v/>
      </c>
      <c r="AW72" s="34">
        <f>AC72+AJ72+AQ72</f>
        <v/>
      </c>
      <c r="AX72" s="34">
        <f>AF72+AM72+AT72</f>
        <v/>
      </c>
      <c r="AY72" s="34">
        <f>AB72+AI72+AP72</f>
        <v/>
      </c>
      <c r="AZ72" s="34" t="n">
        <v>0</v>
      </c>
      <c r="BA72" s="34">
        <f>AD72+AK72+AR72</f>
        <v/>
      </c>
      <c r="BB72" s="34">
        <f>MAX(F72:G72,750)*0.05*BA72</f>
        <v/>
      </c>
      <c r="BC72" s="34">
        <f>AG72+AN72+AU72</f>
        <v/>
      </c>
      <c r="BD72" s="34">
        <f>MAX(F72:G72,750)*0.05*BC72</f>
        <v/>
      </c>
      <c r="BE72" s="34">
        <f>F72*AY72</f>
        <v/>
      </c>
      <c r="BF72" s="34">
        <f>K72-M72</f>
        <v/>
      </c>
      <c r="BG72" s="34">
        <f>P72-S72</f>
        <v/>
      </c>
      <c r="BH72" s="34">
        <f>W72-AA72</f>
        <v/>
      </c>
      <c r="BI72" s="34">
        <f>BF72+BG72+BL72-BN72</f>
        <v/>
      </c>
      <c r="BJ72" s="34">
        <f>ABS(BK72)</f>
        <v/>
      </c>
      <c r="BK72" s="34">
        <f>AY72-(J72-L72+N72-Q72)</f>
        <v/>
      </c>
      <c r="BL72" s="34">
        <f>IF(AND(BK72&gt;0,MIN($F72:$G72)&lt;150,$E72="Enerji Açığı"),-100*BK72*1.03,IF(AND(BK72&gt;0,MIN($F72:$G72)&lt;150,$E72="Enerji Fazlası"),-100*BK72*1.06,IF(AND(BK72&gt;0,MIN($F72:$G72)&gt;=150,$E72="Enerji Açığı"),BK72*MIN($F72:$G72)*0.97,IF(AND(BK72&gt;0,MIN($F72:$G72)&gt;=150,$E72="Enerji Fazlası"),BK72*MIN($F72:$G72)*0.94,IF(AND(BK72&lt;0,MAX($F72:$G72)=4500,$E72="Enerji Açığı"),4500*1.05*1.06*BK72,IF(AND(BK72&lt;0,MAX($F72:$G72)=4500,$E72="Enerji Fazlası"),4500*1.05*1.03*BK72,IF(AND(BK72&lt;0,$E72="Enerji Açığı"),MAX($F72,$G72,150)*BK72*1.06,IF(AND(BK72&lt;0,$E72="Enerji Fazlası"),MAX($F72,$G72,150)*BK72*1.03,IF(AND(BK72&lt;0,$E72="Dengede"),MAX($F72:$G72,150)*1.03*BK72,MIN($F72:$G72)*0.97*BK72)))))))))</f>
        <v/>
      </c>
      <c r="BM72" s="34">
        <f>BE72-BI72-BN72</f>
        <v/>
      </c>
      <c r="BN72" s="34">
        <f>BB72</f>
        <v/>
      </c>
      <c r="BO72" s="34">
        <f>BE72-BI72</f>
        <v/>
      </c>
      <c r="BP72" s="34">
        <f>IF(AY72=0,0,BO72/AY72)</f>
        <v/>
      </c>
      <c r="BQ72" s="34">
        <f>MAX((AY72+MAX((-J72+L72-N72+Q72),0)),(MAX((J72-L72+N72-Q72),0)))</f>
        <v/>
      </c>
      <c r="BR72" s="82">
        <f>IFERROR(ABS(BK72/BQ72),0)</f>
        <v/>
      </c>
      <c r="BS72" s="34">
        <f>IF(BR72&lt;=0.1,0,BK72/BR72*(BR72-0.1))</f>
        <v/>
      </c>
      <c r="BT72" s="34">
        <f>IF((BS72)&lt;0,MAX(F72:G72)*(BS72)*1.03,MIN(F72:G72)*(BS72)*0.97)</f>
        <v/>
      </c>
      <c r="BU72" s="34">
        <f>IF(BR72&gt;0.1,1,0)</f>
        <v/>
      </c>
      <c r="BV72" s="34">
        <f>BF72+BG72+BH72+BY72-CA72</f>
        <v/>
      </c>
      <c r="BW72" s="34">
        <f>ABS(BX72)</f>
        <v/>
      </c>
      <c r="BX72" s="34">
        <f>AY72-(J72-L72+N72-Q72+T72-X72)</f>
        <v/>
      </c>
      <c r="BY72" s="34">
        <f>IF(AND(BX72&gt;0,MIN($F72:$G72)&lt;150,$E72="Enerji Açığı"),-100*BX72*1.03,IF(AND(BX72&gt;0,MIN($F72:$G72)&lt;150,$E72="Enerji Fazlası"),-100*BX72*1.06,IF(AND(BX72&gt;0,MIN($F72:$G72)&gt;=150,$E72="Enerji Açığı"),BX72*MIN($F72:$G72)*0.97,IF(AND(BX72&gt;0,MIN($F72:$G72)&gt;=150,$E72="Enerji Fazlası"),BX72*MIN($F72:$G72)*0.94,IF(AND(BX72&lt;0,MAX($F72:$G72)=4500,$E72="Enerji Açığı"),4500*1.05*1.06*BX72,IF(AND(BX72&lt;0,MAX($F72:$G72)=4500,$E72="Enerji Fazlası"),4500*1.05*1.03*BX72,IF(AND(BX72&lt;0,$E72="Enerji Açığı"),MAX($F72,$G72,150)*BX72*1.06,IF(AND(BX72&lt;0,$E72="Enerji Fazlası"),MAX($F72,$G72,150)*BX72*1.03,IF(AND(BX72&lt;0,$E72="Dengede"),MAX($F72:$G72,150)*1.03*BX72,MIN($F72:$G72)*0.97*BX72)))))))))</f>
        <v/>
      </c>
      <c r="BZ72" s="34">
        <f>BE72-BV72-CA72</f>
        <v/>
      </c>
      <c r="CA72" s="34">
        <f>BD72</f>
        <v/>
      </c>
      <c r="CB72" s="33">
        <f>BE72-BV72</f>
        <v/>
      </c>
      <c r="CC72" s="34">
        <f>IF(AY72=0,0,CB72/AY72)</f>
        <v/>
      </c>
      <c r="CD72" s="34">
        <f>MAX((AY72+MAX((-J72+L72-N72+Q72-T72+X72),0)),(MAX((J72-L72+N72-Q72+T72-X72),0)))</f>
        <v/>
      </c>
      <c r="CE72" s="82">
        <f>IFERROR(ABS(BX72/CD72),0)</f>
        <v/>
      </c>
      <c r="CF72" s="34">
        <f>IF(CE72&lt;=0.1,0,BX72/CE72*(CE72-0.1))</f>
        <v/>
      </c>
      <c r="CG72" s="34">
        <f>IF((CF72)&lt;0,MAX(F72:G72)*(CF72)*1.03,MIN(F72:G72)*(CF72)*0.97)</f>
        <v/>
      </c>
      <c r="CH72" s="34">
        <f>IF(CE72&gt;0.1,1,0)</f>
        <v/>
      </c>
      <c r="CI72" s="34">
        <f>(F72*BX72)-BY72</f>
        <v/>
      </c>
      <c r="CJ72" s="34">
        <f>IF(AY72=0,0,CI72/AY72)</f>
        <v/>
      </c>
    </row>
    <row r="73">
      <c r="A73" s="29" t="n">
        <v>46206.91666666666</v>
      </c>
      <c r="B73" s="29" t="inlineStr">
        <is>
          <t>22:00</t>
        </is>
      </c>
      <c r="C73" s="35">
        <f>INT(A73)</f>
        <v/>
      </c>
      <c r="D73" s="36">
        <f>MONTH(A73)</f>
        <v/>
      </c>
      <c r="E73" s="147" t="inlineStr">
        <is>
          <t>Enerji Açığı</t>
        </is>
      </c>
      <c r="F73" s="30" t="n">
        <v>3488.19</v>
      </c>
      <c r="G73" s="30" t="n">
        <v>4250</v>
      </c>
      <c r="H73" s="30" t="n">
        <v>74.88</v>
      </c>
      <c r="I73" s="30" t="n">
        <v>3703.99</v>
      </c>
      <c r="J73" s="119" t="n">
        <v>0</v>
      </c>
      <c r="K73" s="34">
        <f>F73*J73</f>
        <v/>
      </c>
      <c r="L73" s="119" t="n">
        <v>0</v>
      </c>
      <c r="M73" s="34">
        <f>L73*F73</f>
        <v/>
      </c>
      <c r="N73" s="119" t="n">
        <v>21</v>
      </c>
      <c r="O73" s="34">
        <f>F73</f>
        <v/>
      </c>
      <c r="P73" s="34">
        <f>N73*O73</f>
        <v/>
      </c>
      <c r="Q73" s="119" t="n">
        <v>0</v>
      </c>
      <c r="R73" s="34">
        <f>F73</f>
        <v/>
      </c>
      <c r="S73" s="34">
        <f>R73*Q73</f>
        <v/>
      </c>
      <c r="T73" s="34" t="n"/>
      <c r="U73" s="34">
        <f>IFERROR(W73/T73,0)</f>
        <v/>
      </c>
      <c r="V73" s="34">
        <f>IF(U73=0,0,U73-F73)</f>
        <v/>
      </c>
      <c r="W73" s="34" t="n"/>
      <c r="X73" s="34" t="n"/>
      <c r="Y73" s="34">
        <f>IFERROR(AA73/X73,0)</f>
        <v/>
      </c>
      <c r="Z73" s="34">
        <f>IF(Y73=0,0,F73-Y73)</f>
        <v/>
      </c>
      <c r="AA73" s="34" t="n"/>
      <c r="AB73" s="34" t="n">
        <v>0</v>
      </c>
      <c r="AC73" s="34" t="n">
        <v>0</v>
      </c>
      <c r="AD73" s="34">
        <f>IF(AB73&gt;AC73*1.05,AB73-AC73*1.05,IF(AB73&lt;AC73*0.95,AC73*0.95-AB73,0))</f>
        <v/>
      </c>
      <c r="AE73" s="34">
        <f>MAX(F73,G73,750)*0.05*AD73</f>
        <v/>
      </c>
      <c r="AF73" s="34" t="n">
        <v>0</v>
      </c>
      <c r="AG73" s="34">
        <f>IF(AB73&gt;AF73*1.05,AB73-AF73*1.05,IF(AB73&lt;AF73*0.95,AF73*0.95-AB73,0))</f>
        <v/>
      </c>
      <c r="AH73" s="34">
        <f>MAX(I73,J73,750)*0.05*AG73</f>
        <v/>
      </c>
      <c r="AI73" t="n">
        <v>10.12</v>
      </c>
      <c r="AJ73" t="n">
        <v>10</v>
      </c>
      <c r="AK73" s="34">
        <f>IF(AI73&gt;AJ73*1.05,AI73-AJ73*1.05,IF(AI73&lt;AJ73*0.95,AJ73*0.95-AI73,0))</f>
        <v/>
      </c>
      <c r="AL73" s="34">
        <f>MAX(F73,G73,750)*0.05*AK73</f>
        <v/>
      </c>
      <c r="AM73" s="39" t="n">
        <v>10</v>
      </c>
      <c r="AN73" s="34">
        <f>IF(AI73&gt;AM73*1.05,AI73-AM73*1.05,IF(AI73&lt;AM73*0.95,AM73*0.95-AI73,0))</f>
        <v/>
      </c>
      <c r="AO73" s="34">
        <f>MAX(F73,G73,750)*0.05*AN73</f>
        <v/>
      </c>
      <c r="AP73" s="34" t="n">
        <v>11.08</v>
      </c>
      <c r="AQ73" s="34" t="n">
        <v>11</v>
      </c>
      <c r="AR73" s="34">
        <f>IF(AP73&gt;AQ73*1.05,AP73-AQ73*1.05,IF(AP73&lt;AQ73*0.95,AQ73*0.95-AP73,0))</f>
        <v/>
      </c>
      <c r="AS73" s="34">
        <f>MAX(F73:G73,750)*0.05*AR73</f>
        <v/>
      </c>
      <c r="AT73" t="n">
        <v>11</v>
      </c>
      <c r="AU73" s="34">
        <f>IF(AP73&gt;AT73*1.05,AP73-AT73*1.05,IF(AP73&lt;AT73*0.95,AT73*0.95-AP73,0))</f>
        <v/>
      </c>
      <c r="AV73" s="34">
        <f>MAX(F73:G73,750)*0.05*AU73</f>
        <v/>
      </c>
      <c r="AW73" s="34">
        <f>AC73+AJ73+AQ73</f>
        <v/>
      </c>
      <c r="AX73" s="34">
        <f>AF73+AM73+AT73</f>
        <v/>
      </c>
      <c r="AY73" s="34">
        <f>AB73+AI73+AP73</f>
        <v/>
      </c>
      <c r="AZ73" s="34" t="n">
        <v>0</v>
      </c>
      <c r="BA73" s="34">
        <f>AD73+AK73+AR73</f>
        <v/>
      </c>
      <c r="BB73" s="34">
        <f>MAX(F73:G73,750)*0.05*BA73</f>
        <v/>
      </c>
      <c r="BC73" s="34">
        <f>AG73+AN73+AU73</f>
        <v/>
      </c>
      <c r="BD73" s="34">
        <f>MAX(F73:G73,750)*0.05*BC73</f>
        <v/>
      </c>
      <c r="BE73" s="34">
        <f>F73*AY73</f>
        <v/>
      </c>
      <c r="BF73" s="34">
        <f>K73-M73</f>
        <v/>
      </c>
      <c r="BG73" s="34">
        <f>P73-S73</f>
        <v/>
      </c>
      <c r="BH73" s="34">
        <f>W73-AA73</f>
        <v/>
      </c>
      <c r="BI73" s="34">
        <f>BF73+BG73+BL73-BN73</f>
        <v/>
      </c>
      <c r="BJ73" s="34">
        <f>ABS(BK73)</f>
        <v/>
      </c>
      <c r="BK73" s="34">
        <f>AY73-(J73-L73+N73-Q73)</f>
        <v/>
      </c>
      <c r="BL73" s="34">
        <f>IF(AND(BK73&gt;0,MIN($F73:$G73)&lt;150,$E73="Enerji Açığı"),-100*BK73*1.03,IF(AND(BK73&gt;0,MIN($F73:$G73)&lt;150,$E73="Enerji Fazlası"),-100*BK73*1.06,IF(AND(BK73&gt;0,MIN($F73:$G73)&gt;=150,$E73="Enerji Açığı"),BK73*MIN($F73:$G73)*0.97,IF(AND(BK73&gt;0,MIN($F73:$G73)&gt;=150,$E73="Enerji Fazlası"),BK73*MIN($F73:$G73)*0.94,IF(AND(BK73&lt;0,MAX($F73:$G73)=4500,$E73="Enerji Açığı"),4500*1.05*1.06*BK73,IF(AND(BK73&lt;0,MAX($F73:$G73)=4500,$E73="Enerji Fazlası"),4500*1.05*1.03*BK73,IF(AND(BK73&lt;0,$E73="Enerji Açığı"),MAX($F73,$G73,150)*BK73*1.06,IF(AND(BK73&lt;0,$E73="Enerji Fazlası"),MAX($F73,$G73,150)*BK73*1.03,IF(AND(BK73&lt;0,$E73="Dengede"),MAX($F73:$G73,150)*1.03*BK73,MIN($F73:$G73)*0.97*BK73)))))))))</f>
        <v/>
      </c>
      <c r="BM73" s="34">
        <f>BE73-BI73-BN73</f>
        <v/>
      </c>
      <c r="BN73" s="34">
        <f>BB73</f>
        <v/>
      </c>
      <c r="BO73" s="34">
        <f>BE73-BI73</f>
        <v/>
      </c>
      <c r="BP73" s="34">
        <f>IF(AY73=0,0,BO73/AY73)</f>
        <v/>
      </c>
      <c r="BQ73" s="34">
        <f>MAX((AY73+MAX((-J73+L73-N73+Q73),0)),(MAX((J73-L73+N73-Q73),0)))</f>
        <v/>
      </c>
      <c r="BR73" s="82">
        <f>IFERROR(ABS(BK73/BQ73),0)</f>
        <v/>
      </c>
      <c r="BS73" s="34">
        <f>IF(BR73&lt;=0.1,0,BK73/BR73*(BR73-0.1))</f>
        <v/>
      </c>
      <c r="BT73" s="34">
        <f>IF((BS73)&lt;0,MAX(F73:G73)*(BS73)*1.03,MIN(F73:G73)*(BS73)*0.97)</f>
        <v/>
      </c>
      <c r="BU73" s="34">
        <f>IF(BR73&gt;0.1,1,0)</f>
        <v/>
      </c>
      <c r="BV73" s="34">
        <f>BF73+BG73+BH73+BY73-CA73</f>
        <v/>
      </c>
      <c r="BW73" s="34">
        <f>ABS(BX73)</f>
        <v/>
      </c>
      <c r="BX73" s="34">
        <f>AY73-(J73-L73+N73-Q73+T73-X73)</f>
        <v/>
      </c>
      <c r="BY73" s="34">
        <f>IF(AND(BX73&gt;0,MIN($F73:$G73)&lt;150,$E73="Enerji Açığı"),-100*BX73*1.03,IF(AND(BX73&gt;0,MIN($F73:$G73)&lt;150,$E73="Enerji Fazlası"),-100*BX73*1.06,IF(AND(BX73&gt;0,MIN($F73:$G73)&gt;=150,$E73="Enerji Açığı"),BX73*MIN($F73:$G73)*0.97,IF(AND(BX73&gt;0,MIN($F73:$G73)&gt;=150,$E73="Enerji Fazlası"),BX73*MIN($F73:$G73)*0.94,IF(AND(BX73&lt;0,MAX($F73:$G73)=4500,$E73="Enerji Açığı"),4500*1.05*1.06*BX73,IF(AND(BX73&lt;0,MAX($F73:$G73)=4500,$E73="Enerji Fazlası"),4500*1.05*1.03*BX73,IF(AND(BX73&lt;0,$E73="Enerji Açığı"),MAX($F73,$G73,150)*BX73*1.06,IF(AND(BX73&lt;0,$E73="Enerji Fazlası"),MAX($F73,$G73,150)*BX73*1.03,IF(AND(BX73&lt;0,$E73="Dengede"),MAX($F73:$G73,150)*1.03*BX73,MIN($F73:$G73)*0.97*BX73)))))))))</f>
        <v/>
      </c>
      <c r="BZ73" s="34">
        <f>BE73-BV73-CA73</f>
        <v/>
      </c>
      <c r="CA73" s="34">
        <f>BD73</f>
        <v/>
      </c>
      <c r="CB73" s="33">
        <f>BE73-BV73</f>
        <v/>
      </c>
      <c r="CC73" s="34">
        <f>IF(AY73=0,0,CB73/AY73)</f>
        <v/>
      </c>
      <c r="CD73" s="34">
        <f>MAX((AY73+MAX((-J73+L73-N73+Q73-T73+X73),0)),(MAX((J73-L73+N73-Q73+T73-X73),0)))</f>
        <v/>
      </c>
      <c r="CE73" s="82">
        <f>IFERROR(ABS(BX73/CD73),0)</f>
        <v/>
      </c>
      <c r="CF73" s="34">
        <f>IF(CE73&lt;=0.1,0,BX73/CE73*(CE73-0.1))</f>
        <v/>
      </c>
      <c r="CG73" s="34">
        <f>IF((CF73)&lt;0,MAX(F73:G73)*(CF73)*1.03,MIN(F73:G73)*(CF73)*0.97)</f>
        <v/>
      </c>
      <c r="CH73" s="34">
        <f>IF(CE73&gt;0.1,1,0)</f>
        <v/>
      </c>
      <c r="CI73" s="34">
        <f>(F73*BX73)-BY73</f>
        <v/>
      </c>
      <c r="CJ73" s="34">
        <f>IF(AY73=0,0,CI73/AY73)</f>
        <v/>
      </c>
      <c r="CK73" t="inlineStr">
        <is>
          <t>l</t>
        </is>
      </c>
    </row>
    <row r="74">
      <c r="A74" s="29" t="n">
        <v>46206.95833333334</v>
      </c>
      <c r="B74" s="29" t="inlineStr">
        <is>
          <t>23:00</t>
        </is>
      </c>
      <c r="C74" s="35">
        <f>INT(A74)</f>
        <v/>
      </c>
      <c r="D74" s="36">
        <f>MONTH(A74)</f>
        <v/>
      </c>
      <c r="E74" s="147" t="inlineStr">
        <is>
          <t>Enerji Açığı</t>
        </is>
      </c>
      <c r="F74" s="30" t="n">
        <v>2924.18</v>
      </c>
      <c r="G74" s="30" t="n">
        <v>2934.18</v>
      </c>
      <c r="H74" s="30" t="n">
        <v>62.77</v>
      </c>
      <c r="I74" s="30" t="n">
        <v>3257.28</v>
      </c>
      <c r="J74" s="119" t="n">
        <v>0</v>
      </c>
      <c r="K74" s="34">
        <f>F74*J74</f>
        <v/>
      </c>
      <c r="L74" s="119" t="n">
        <v>0</v>
      </c>
      <c r="M74" s="34">
        <f>L74*F74</f>
        <v/>
      </c>
      <c r="N74" s="119" t="n">
        <v>21</v>
      </c>
      <c r="O74" s="34">
        <f>F74</f>
        <v/>
      </c>
      <c r="P74" s="34">
        <f>N74*O74</f>
        <v/>
      </c>
      <c r="Q74" s="119" t="n">
        <v>0</v>
      </c>
      <c r="R74" s="34">
        <f>F74</f>
        <v/>
      </c>
      <c r="S74" s="34">
        <f>R74*Q74</f>
        <v/>
      </c>
      <c r="T74" s="34" t="n"/>
      <c r="U74" s="34">
        <f>IFERROR(W74/T74,0)</f>
        <v/>
      </c>
      <c r="V74" s="34">
        <f>IF(U74=0,0,U74-F74)</f>
        <v/>
      </c>
      <c r="W74" s="34" t="n"/>
      <c r="X74" s="34" t="n"/>
      <c r="Y74" s="34">
        <f>IFERROR(AA74/X74,0)</f>
        <v/>
      </c>
      <c r="Z74" s="34">
        <f>IF(Y74=0,0,F74-Y74)</f>
        <v/>
      </c>
      <c r="AA74" s="34" t="n"/>
      <c r="AB74" s="34" t="n">
        <v>0</v>
      </c>
      <c r="AC74" s="34" t="n">
        <v>0</v>
      </c>
      <c r="AD74" s="34">
        <f>IF(AB74&gt;AC74*1.05,AB74-AC74*1.05,IF(AB74&lt;AC74*0.95,AC74*0.95-AB74,0))</f>
        <v/>
      </c>
      <c r="AE74" s="34">
        <f>MAX(F74,G74,750)*0.05*AD74</f>
        <v/>
      </c>
      <c r="AF74" s="34" t="n">
        <v>0</v>
      </c>
      <c r="AG74" s="34">
        <f>IF(AB74&gt;AF74*1.05,AB74-AF74*1.05,IF(AB74&lt;AF74*0.95,AF74*0.95-AB74,0))</f>
        <v/>
      </c>
      <c r="AH74" s="34">
        <f>MAX(I74,J74,750)*0.05*AG74</f>
        <v/>
      </c>
      <c r="AI74" t="n">
        <v>10.17</v>
      </c>
      <c r="AJ74" t="n">
        <v>10</v>
      </c>
      <c r="AK74" s="34">
        <f>IF(AI74&gt;AJ74*1.05,AI74-AJ74*1.05,IF(AI74&lt;AJ74*0.95,AJ74*0.95-AI74,0))</f>
        <v/>
      </c>
      <c r="AL74" s="34">
        <f>MAX(F74,G74,750)*0.05*AK74</f>
        <v/>
      </c>
      <c r="AM74" s="39" t="n">
        <v>10</v>
      </c>
      <c r="AN74" s="34">
        <f>IF(AI74&gt;AM74*1.05,AI74-AM74*1.05,IF(AI74&lt;AM74*0.95,AM74*0.95-AI74,0))</f>
        <v/>
      </c>
      <c r="AO74" s="34">
        <f>MAX(F74,G74,750)*0.05*AN74</f>
        <v/>
      </c>
      <c r="AP74" s="34" t="n">
        <v>12.07</v>
      </c>
      <c r="AQ74" s="34" t="n">
        <v>11</v>
      </c>
      <c r="AR74" s="34">
        <f>IF(AP74&gt;AQ74*1.05,AP74-AQ74*1.05,IF(AP74&lt;AQ74*0.95,AQ74*0.95-AP74,0))</f>
        <v/>
      </c>
      <c r="AS74" s="34">
        <f>MAX(F74:G74,750)*0.05*AR74</f>
        <v/>
      </c>
      <c r="AT74" t="n">
        <v>12</v>
      </c>
      <c r="AU74" s="34">
        <f>IF(AP74&gt;AT74*1.05,AP74-AT74*1.05,IF(AP74&lt;AT74*0.95,AT74*0.95-AP74,0))</f>
        <v/>
      </c>
      <c r="AV74" s="34">
        <f>MAX(F74:G74,750)*0.05*AU74</f>
        <v/>
      </c>
      <c r="AW74" s="34">
        <f>AC74+AJ74+AQ74</f>
        <v/>
      </c>
      <c r="AX74" s="34">
        <f>AF74+AM74+AT74</f>
        <v/>
      </c>
      <c r="AY74" s="34">
        <f>AB74+AI74+AP74</f>
        <v/>
      </c>
      <c r="AZ74" s="34" t="n">
        <v>0</v>
      </c>
      <c r="BA74" s="34">
        <f>AD74+AK74+AR74</f>
        <v/>
      </c>
      <c r="BB74" s="34">
        <f>MAX(F74:G74,750)*0.05*BA74</f>
        <v/>
      </c>
      <c r="BC74" s="34">
        <f>AG74+AN74+AU74</f>
        <v/>
      </c>
      <c r="BD74" s="34">
        <f>MAX(F74:G74,750)*0.05*BC74</f>
        <v/>
      </c>
      <c r="BE74" s="34">
        <f>F74*AY74</f>
        <v/>
      </c>
      <c r="BF74" s="34">
        <f>K74-M74</f>
        <v/>
      </c>
      <c r="BG74" s="34">
        <f>P74-S74</f>
        <v/>
      </c>
      <c r="BH74" s="34">
        <f>W74-AA74</f>
        <v/>
      </c>
      <c r="BI74" s="34">
        <f>BF74+BG74+BL74-BN74</f>
        <v/>
      </c>
      <c r="BJ74" s="34">
        <f>ABS(BK74)</f>
        <v/>
      </c>
      <c r="BK74" s="34">
        <f>AY74-(J74-L74+N74-Q74)</f>
        <v/>
      </c>
      <c r="BL74" s="34">
        <f>IF(AND(BK74&gt;0,MIN($F74:$G74)&lt;150,$E74="Enerji Açığı"),-100*BK74*1.03,IF(AND(BK74&gt;0,MIN($F74:$G74)&lt;150,$E74="Enerji Fazlası"),-100*BK74*1.06,IF(AND(BK74&gt;0,MIN($F74:$G74)&gt;=150,$E74="Enerji Açığı"),BK74*MIN($F74:$G74)*0.97,IF(AND(BK74&gt;0,MIN($F74:$G74)&gt;=150,$E74="Enerji Fazlası"),BK74*MIN($F74:$G74)*0.94,IF(AND(BK74&lt;0,MAX($F74:$G74)=4500,$E74="Enerji Açığı"),4500*1.05*1.06*BK74,IF(AND(BK74&lt;0,MAX($F74:$G74)=4500,$E74="Enerji Fazlası"),4500*1.05*1.03*BK74,IF(AND(BK74&lt;0,$E74="Enerji Açığı"),MAX($F74,$G74,150)*BK74*1.06,IF(AND(BK74&lt;0,$E74="Enerji Fazlası"),MAX($F74,$G74,150)*BK74*1.03,IF(AND(BK74&lt;0,$E74="Dengede"),MAX($F74:$G74,150)*1.03*BK74,MIN($F74:$G74)*0.97*BK74)))))))))</f>
        <v/>
      </c>
      <c r="BM74" s="34">
        <f>BE74-BI74-BN74</f>
        <v/>
      </c>
      <c r="BN74" s="34">
        <f>BB74</f>
        <v/>
      </c>
      <c r="BO74" s="34">
        <f>BE74-BI74</f>
        <v/>
      </c>
      <c r="BP74" s="34">
        <f>IF(AY74=0,0,BO74/AY74)</f>
        <v/>
      </c>
      <c r="BQ74" s="34">
        <f>MAX((AY74+MAX((-J74+L74-N74+Q74),0)),(MAX((J74-L74+N74-Q74),0)))</f>
        <v/>
      </c>
      <c r="BR74" s="82">
        <f>IFERROR(ABS(BK74/BQ74),0)</f>
        <v/>
      </c>
      <c r="BS74" s="34">
        <f>IF(BR74&lt;=0.1,0,BK74/BR74*(BR74-0.1))</f>
        <v/>
      </c>
      <c r="BT74" s="34">
        <f>IF((BS74)&lt;0,MAX(F74:G74)*(BS74)*1.03,MIN(F74:G74)*(BS74)*0.97)</f>
        <v/>
      </c>
      <c r="BU74" s="34">
        <f>IF(BR74&gt;0.1,1,0)</f>
        <v/>
      </c>
      <c r="BV74" s="34">
        <f>BF74+BG74+BH74+BY74-CA74</f>
        <v/>
      </c>
      <c r="BW74" s="34">
        <f>ABS(BX74)</f>
        <v/>
      </c>
      <c r="BX74" s="34">
        <f>AY74-(J74-L74+N74-Q74+T74-X74)</f>
        <v/>
      </c>
      <c r="BY74" s="34">
        <f>IF(AND(BX74&gt;0,MIN($F74:$G74)&lt;150,$E74="Enerji Açığı"),-100*BX74*1.03,IF(AND(BX74&gt;0,MIN($F74:$G74)&lt;150,$E74="Enerji Fazlası"),-100*BX74*1.06,IF(AND(BX74&gt;0,MIN($F74:$G74)&gt;=150,$E74="Enerji Açığı"),BX74*MIN($F74:$G74)*0.97,IF(AND(BX74&gt;0,MIN($F74:$G74)&gt;=150,$E74="Enerji Fazlası"),BX74*MIN($F74:$G74)*0.94,IF(AND(BX74&lt;0,MAX($F74:$G74)=4500,$E74="Enerji Açığı"),4500*1.05*1.06*BX74,IF(AND(BX74&lt;0,MAX($F74:$G74)=4500,$E74="Enerji Fazlası"),4500*1.05*1.03*BX74,IF(AND(BX74&lt;0,$E74="Enerji Açığı"),MAX($F74,$G74,150)*BX74*1.06,IF(AND(BX74&lt;0,$E74="Enerji Fazlası"),MAX($F74,$G74,150)*BX74*1.03,IF(AND(BX74&lt;0,$E74="Dengede"),MAX($F74:$G74,150)*1.03*BX74,MIN($F74:$G74)*0.97*BX74)))))))))</f>
        <v/>
      </c>
      <c r="BZ74" s="34">
        <f>BE74-BV74-CA74</f>
        <v/>
      </c>
      <c r="CA74" s="34">
        <f>BD74</f>
        <v/>
      </c>
      <c r="CB74" s="33">
        <f>BE74-BV74</f>
        <v/>
      </c>
      <c r="CC74" s="34">
        <f>IF(AY74=0,0,CB74/AY74)</f>
        <v/>
      </c>
      <c r="CD74" s="34">
        <f>MAX((AY74+MAX((-J74+L74-N74+Q74-T74+X74),0)),(MAX((J74-L74+N74-Q74+T74-X74),0)))</f>
        <v/>
      </c>
      <c r="CE74" s="82">
        <f>IFERROR(ABS(BX74/CD74),0)</f>
        <v/>
      </c>
      <c r="CF74" s="34">
        <f>IF(CE74&lt;=0.1,0,BX74/CE74*(CE74-0.1))</f>
        <v/>
      </c>
      <c r="CG74" s="34">
        <f>IF((CF74)&lt;0,MAX(F74:G74)*(CF74)*1.03,MIN(F74:G74)*(CF74)*0.97)</f>
        <v/>
      </c>
      <c r="CH74" s="34">
        <f>IF(CE74&gt;0.1,1,0)</f>
        <v/>
      </c>
      <c r="CI74" s="34">
        <f>(F74*BX74)-BY74</f>
        <v/>
      </c>
      <c r="CJ74" s="34">
        <f>IF(AY74=0,0,CI74/AY74)</f>
        <v/>
      </c>
    </row>
    <row r="75">
      <c r="A75" s="29" t="n">
        <v>46207</v>
      </c>
      <c r="B75" s="29" t="inlineStr">
        <is>
          <t>00:00</t>
        </is>
      </c>
      <c r="C75" s="35">
        <f>INT(A75)</f>
        <v/>
      </c>
      <c r="D75" s="36">
        <f>MONTH(A75)</f>
        <v/>
      </c>
      <c r="E75" s="147" t="inlineStr">
        <is>
          <t>Enerji Açığı</t>
        </is>
      </c>
      <c r="F75" s="30" t="n">
        <v>3400</v>
      </c>
      <c r="G75" s="30" t="n">
        <v>3699</v>
      </c>
      <c r="H75" s="30" t="n">
        <v>72.95</v>
      </c>
      <c r="I75" s="30" t="n">
        <v>3633.88</v>
      </c>
      <c r="J75" s="119" t="n">
        <v>0</v>
      </c>
      <c r="K75" s="34">
        <f>F75*J75</f>
        <v/>
      </c>
      <c r="L75" s="119" t="n">
        <v>0</v>
      </c>
      <c r="M75" s="34">
        <f>L75*F75</f>
        <v/>
      </c>
      <c r="N75" s="119" t="n">
        <v>19</v>
      </c>
      <c r="O75" s="34">
        <f>F75</f>
        <v/>
      </c>
      <c r="P75" s="34">
        <f>N75*O75</f>
        <v/>
      </c>
      <c r="Q75" s="117" t="n">
        <v>0</v>
      </c>
      <c r="R75" s="34">
        <f>F75</f>
        <v/>
      </c>
      <c r="S75" s="34">
        <f>R75*Q75</f>
        <v/>
      </c>
      <c r="T75" s="34" t="n"/>
      <c r="U75" s="34">
        <f>IFERROR(W75/T75,0)</f>
        <v/>
      </c>
      <c r="V75" s="34">
        <f>IF(U75=0,0,U75-F75)</f>
        <v/>
      </c>
      <c r="W75" s="34" t="n"/>
      <c r="X75" s="34" t="n"/>
      <c r="Y75" s="34">
        <f>IFERROR(AA75/X75,0)</f>
        <v/>
      </c>
      <c r="Z75" s="34">
        <f>IF(Y75=0,0,F75-Y75)</f>
        <v/>
      </c>
      <c r="AA75" s="34" t="n"/>
      <c r="AB75" s="34" t="n">
        <v>0</v>
      </c>
      <c r="AC75" s="34" t="n">
        <v>0</v>
      </c>
      <c r="AD75" s="34">
        <f>IF(AB75&gt;AC75*1.05,AB75-AC75*1.05,IF(AB75&lt;AC75*0.95,AC75*0.95-AB75,0))</f>
        <v/>
      </c>
      <c r="AE75" s="34">
        <f>MAX(F75,G75,750)*0.05*AD75</f>
        <v/>
      </c>
      <c r="AF75" s="34" t="n">
        <v>0</v>
      </c>
      <c r="AG75" s="34">
        <f>IF(AB75&gt;AF75*1.05,AB75-AF75*1.05,IF(AB75&lt;AF75*0.95,AF75*0.95-AB75,0))</f>
        <v/>
      </c>
      <c r="AH75" s="34">
        <f>MAX(I75,J75,750)*0.05*AG75</f>
        <v/>
      </c>
      <c r="AI75" t="n">
        <v>10.2</v>
      </c>
      <c r="AJ75" t="n">
        <v>8</v>
      </c>
      <c r="AK75" s="34">
        <f>IF(AI75&gt;AJ75*1.05,AI75-AJ75*1.05,IF(AI75&lt;AJ75*0.95,AJ75*0.95-AI75,0))</f>
        <v/>
      </c>
      <c r="AL75" s="34">
        <f>MAX(F75,G75,750)*0.05*AK75</f>
        <v/>
      </c>
      <c r="AM75" s="39" t="n">
        <v>10</v>
      </c>
      <c r="AN75" s="34">
        <f>IF(AI75&gt;AM75*1.05,AI75-AM75*1.05,IF(AI75&lt;AM75*0.95,AM75*0.95-AI75,0))</f>
        <v/>
      </c>
      <c r="AO75" s="34">
        <f>MAX(F75,G75,750)*0.05*AN75</f>
        <v/>
      </c>
      <c r="AP75" s="34" t="n">
        <v>12.17</v>
      </c>
      <c r="AQ75" s="34" t="n">
        <v>11</v>
      </c>
      <c r="AR75" s="34">
        <f>IF(AP75&gt;AQ75*1.05,AP75-AQ75*1.05,IF(AP75&lt;AQ75*0.95,AQ75*0.95-AP75,0))</f>
        <v/>
      </c>
      <c r="AS75" s="34">
        <f>MAX(F75:G75,750)*0.05*AR75</f>
        <v/>
      </c>
      <c r="AT75" t="n">
        <v>12</v>
      </c>
      <c r="AU75" s="34">
        <f>IF(AP75&gt;AT75*1.05,AP75-AT75*1.05,IF(AP75&lt;AT75*0.95,AT75*0.95-AP75,0))</f>
        <v/>
      </c>
      <c r="AV75" s="34">
        <f>MAX(F75:G75,750)*0.05*AU75</f>
        <v/>
      </c>
      <c r="AW75" s="34">
        <f>AC75+AJ75+AQ75</f>
        <v/>
      </c>
      <c r="AX75" s="34">
        <f>AF75+AM75+AT75</f>
        <v/>
      </c>
      <c r="AY75" s="34">
        <f>AB75+AI75+AP75</f>
        <v/>
      </c>
      <c r="AZ75" s="34" t="n">
        <v>0</v>
      </c>
      <c r="BA75" s="34">
        <f>AD75+AK75+AR75</f>
        <v/>
      </c>
      <c r="BB75" s="34">
        <f>MAX(F75:G75,750)*0.05*BA75</f>
        <v/>
      </c>
      <c r="BC75" s="34">
        <f>AG75+AN75+AU75</f>
        <v/>
      </c>
      <c r="BD75" s="34">
        <f>MAX(F75:G75,750)*0.05*BC75</f>
        <v/>
      </c>
      <c r="BE75" s="34">
        <f>F75*AY75</f>
        <v/>
      </c>
      <c r="BF75" s="34">
        <f>K75-M75</f>
        <v/>
      </c>
      <c r="BG75" s="34">
        <f>P75-S75</f>
        <v/>
      </c>
      <c r="BH75" s="34">
        <f>W75-AA75</f>
        <v/>
      </c>
      <c r="BI75" s="34">
        <f>BF75+BG75+BL75-BN75</f>
        <v/>
      </c>
      <c r="BJ75" s="34">
        <f>ABS(BK75)</f>
        <v/>
      </c>
      <c r="BK75" s="34">
        <f>AY75-(J75-L75+N75-Q75)</f>
        <v/>
      </c>
      <c r="BL75" s="34">
        <f>IF(AND(BK75&gt;0,MIN($F75:$G75)&lt;150,$E75="Enerji Açığı"),-100*BK75*1.03,IF(AND(BK75&gt;0,MIN($F75:$G75)&lt;150,$E75="Enerji Fazlası"),-100*BK75*1.06,IF(AND(BK75&gt;0,MIN($F75:$G75)&gt;=150,$E75="Enerji Açığı"),BK75*MIN($F75:$G75)*0.97,IF(AND(BK75&gt;0,MIN($F75:$G75)&gt;=150,$E75="Enerji Fazlası"),BK75*MIN($F75:$G75)*0.94,IF(AND(BK75&lt;0,MAX($F75:$G75)=4500,$E75="Enerji Açığı"),4500*1.05*1.06*BK75,IF(AND(BK75&lt;0,MAX($F75:$G75)=4500,$E75="Enerji Fazlası"),4500*1.05*1.03*BK75,IF(AND(BK75&lt;0,$E75="Enerji Açığı"),MAX($F75,$G75,150)*BK75*1.06,IF(AND(BK75&lt;0,$E75="Enerji Fazlası"),MAX($F75,$G75,150)*BK75*1.03,IF(AND(BK75&lt;0,$E75="Dengede"),MAX($F75:$G75,150)*1.03*BK75,MIN($F75:$G75)*0.97*BK75)))))))))</f>
        <v/>
      </c>
      <c r="BM75" s="34">
        <f>BE75-BI75-BN75</f>
        <v/>
      </c>
      <c r="BN75" s="34">
        <f>BB75</f>
        <v/>
      </c>
      <c r="BO75" s="34">
        <f>BE75-BI75</f>
        <v/>
      </c>
      <c r="BP75" s="34">
        <f>IF(AY75=0,0,BO75/AY75)</f>
        <v/>
      </c>
      <c r="BQ75" s="34">
        <f>MAX((AY75+MAX((-J75+L75-N75+Q75),0)),(MAX((J75-L75+N75-Q75),0)))</f>
        <v/>
      </c>
      <c r="BR75" s="82">
        <f>IFERROR(ABS(BK75/BQ75),0)</f>
        <v/>
      </c>
      <c r="BS75" s="34">
        <f>IF(BR75&lt;=0.1,0,BK75/BR75*(BR75-0.1))</f>
        <v/>
      </c>
      <c r="BT75" s="34">
        <f>IF((BS75)&lt;0,MAX(F75:G75)*(BS75)*1.03,MIN(F75:G75)*(BS75)*0.97)</f>
        <v/>
      </c>
      <c r="BU75" s="34">
        <f>IF(BR75&gt;0.1,1,0)</f>
        <v/>
      </c>
      <c r="BV75" s="34">
        <f>BF75+BG75+BH75+BY75-CA75</f>
        <v/>
      </c>
      <c r="BW75" s="34">
        <f>ABS(BX75)</f>
        <v/>
      </c>
      <c r="BX75" s="34">
        <f>AY75-(J75-L75+N75-Q75+T75-X75)</f>
        <v/>
      </c>
      <c r="BY75" s="34">
        <f>IF(AND(BX75&gt;0,MIN($F75:$G75)&lt;150,$E75="Enerji Açığı"),-100*BX75*1.03,IF(AND(BX75&gt;0,MIN($F75:$G75)&lt;150,$E75="Enerji Fazlası"),-100*BX75*1.06,IF(AND(BX75&gt;0,MIN($F75:$G75)&gt;=150,$E75="Enerji Açığı"),BX75*MIN($F75:$G75)*0.97,IF(AND(BX75&gt;0,MIN($F75:$G75)&gt;=150,$E75="Enerji Fazlası"),BX75*MIN($F75:$G75)*0.94,IF(AND(BX75&lt;0,MAX($F75:$G75)=4500,$E75="Enerji Açığı"),4500*1.05*1.06*BX75,IF(AND(BX75&lt;0,MAX($F75:$G75)=4500,$E75="Enerji Fazlası"),4500*1.05*1.03*BX75,IF(AND(BX75&lt;0,$E75="Enerji Açığı"),MAX($F75,$G75,150)*BX75*1.06,IF(AND(BX75&lt;0,$E75="Enerji Fazlası"),MAX($F75,$G75,150)*BX75*1.03,IF(AND(BX75&lt;0,$E75="Dengede"),MAX($F75:$G75,150)*1.03*BX75,MIN($F75:$G75)*0.97*BX75)))))))))</f>
        <v/>
      </c>
      <c r="BZ75" s="34">
        <f>BE75-BV75-CA75</f>
        <v/>
      </c>
      <c r="CA75" s="34">
        <f>BD75</f>
        <v/>
      </c>
      <c r="CB75" s="33">
        <f>BE75-BV75</f>
        <v/>
      </c>
      <c r="CC75" s="34">
        <f>IF(AY75=0,0,CB75/AY75)</f>
        <v/>
      </c>
      <c r="CD75" s="34">
        <f>MAX((AY75+MAX((-J75+L75-N75+Q75-T75+X75),0)),(MAX((J75-L75+N75-Q75+T75-X75),0)))</f>
        <v/>
      </c>
      <c r="CE75" s="82">
        <f>IFERROR(ABS(BX75/CD75),0)</f>
        <v/>
      </c>
      <c r="CF75" s="34">
        <f>IF(CE75&lt;=0.1,0,BX75/CE75*(CE75-0.1))</f>
        <v/>
      </c>
      <c r="CG75" s="34">
        <f>IF((CF75)&lt;0,MAX(F75:G75)*(CF75)*1.03,MIN(F75:G75)*(CF75)*0.97)</f>
        <v/>
      </c>
      <c r="CH75" s="34">
        <f>IF(CE75&gt;0.1,1,0)</f>
        <v/>
      </c>
      <c r="CI75" s="34">
        <f>(F75*BX75)-BY75</f>
        <v/>
      </c>
      <c r="CJ75" s="34">
        <f>IF(AY75=0,0,CI75/AY75)</f>
        <v/>
      </c>
    </row>
    <row r="76">
      <c r="A76" s="29" t="n">
        <v>46207.04166666666</v>
      </c>
      <c r="B76" s="29" t="inlineStr">
        <is>
          <t>01:00</t>
        </is>
      </c>
      <c r="C76" s="35">
        <f>INT(A76)</f>
        <v/>
      </c>
      <c r="D76" s="36">
        <f>MONTH(A76)</f>
        <v/>
      </c>
      <c r="E76" s="147" t="inlineStr">
        <is>
          <t>Enerji Açığı</t>
        </is>
      </c>
      <c r="F76" s="30" t="n">
        <v>3677.01</v>
      </c>
      <c r="G76" s="30" t="n">
        <v>3699</v>
      </c>
      <c r="H76" s="30" t="n">
        <v>78.89</v>
      </c>
      <c r="I76" s="30" t="n">
        <v>4004.84</v>
      </c>
      <c r="J76" s="119" t="n">
        <v>0</v>
      </c>
      <c r="K76" s="34">
        <f>F76*J76</f>
        <v/>
      </c>
      <c r="L76" s="119" t="n">
        <v>0</v>
      </c>
      <c r="M76" s="34">
        <f>L76*F76</f>
        <v/>
      </c>
      <c r="N76" s="119" t="n">
        <v>19</v>
      </c>
      <c r="O76" s="34">
        <f>F76</f>
        <v/>
      </c>
      <c r="P76" s="34">
        <f>N76*O76</f>
        <v/>
      </c>
      <c r="Q76" s="117" t="n">
        <v>0</v>
      </c>
      <c r="R76" s="34">
        <f>F76</f>
        <v/>
      </c>
      <c r="S76" s="34">
        <f>R76*Q76</f>
        <v/>
      </c>
      <c r="T76" s="34" t="n"/>
      <c r="U76" s="34">
        <f>IFERROR(W76/T76,0)</f>
        <v/>
      </c>
      <c r="V76" s="34">
        <f>IF(U76=0,0,U76-F76)</f>
        <v/>
      </c>
      <c r="W76" s="34" t="n"/>
      <c r="X76" s="34" t="n"/>
      <c r="Y76" s="34">
        <f>IFERROR(AA76/X76,0)</f>
        <v/>
      </c>
      <c r="Z76" s="34">
        <f>IF(Y76=0,0,F76-Y76)</f>
        <v/>
      </c>
      <c r="AA76" s="34" t="n"/>
      <c r="AB76" s="34" t="n">
        <v>0</v>
      </c>
      <c r="AC76" s="34" t="n">
        <v>0</v>
      </c>
      <c r="AD76" s="34">
        <f>IF(AB76&gt;AC76*1.05,AB76-AC76*1.05,IF(AB76&lt;AC76*0.95,AC76*0.95-AB76,0))</f>
        <v/>
      </c>
      <c r="AE76" s="34">
        <f>MAX(F76,G76,750)*0.05*AD76</f>
        <v/>
      </c>
      <c r="AF76" s="34" t="n">
        <v>0</v>
      </c>
      <c r="AG76" s="34">
        <f>IF(AB76&gt;AF76*1.05,AB76-AF76*1.05,IF(AB76&lt;AF76*0.95,AF76*0.95-AB76,0))</f>
        <v/>
      </c>
      <c r="AH76" s="34">
        <f>MAX(I76,J76,750)*0.05*AG76</f>
        <v/>
      </c>
      <c r="AI76" t="n">
        <v>10.16</v>
      </c>
      <c r="AJ76" t="n">
        <v>8</v>
      </c>
      <c r="AK76" s="34">
        <f>IF(AI76&gt;AJ76*1.05,AI76-AJ76*1.05,IF(AI76&lt;AJ76*0.95,AJ76*0.95-AI76,0))</f>
        <v/>
      </c>
      <c r="AL76" s="34">
        <f>MAX(F76,G76,750)*0.05*AK76</f>
        <v/>
      </c>
      <c r="AM76" s="39" t="n">
        <v>10</v>
      </c>
      <c r="AN76" s="34">
        <f>IF(AI76&gt;AM76*1.05,AI76-AM76*1.05,IF(AI76&lt;AM76*0.95,AM76*0.95-AI76,0))</f>
        <v/>
      </c>
      <c r="AO76" s="34">
        <f>MAX(F76,G76,750)*0.05*AN76</f>
        <v/>
      </c>
      <c r="AP76" s="34" t="n">
        <v>13.13</v>
      </c>
      <c r="AQ76" s="34" t="n">
        <v>11</v>
      </c>
      <c r="AR76" s="34">
        <f>IF(AP76&gt;AQ76*1.05,AP76-AQ76*1.05,IF(AP76&lt;AQ76*0.95,AQ76*0.95-AP76,0))</f>
        <v/>
      </c>
      <c r="AS76" s="34">
        <f>MAX(F76:G76,750)*0.05*AR76</f>
        <v/>
      </c>
      <c r="AT76" t="n">
        <v>13</v>
      </c>
      <c r="AU76" s="34">
        <f>IF(AP76&gt;AT76*1.05,AP76-AT76*1.05,IF(AP76&lt;AT76*0.95,AT76*0.95-AP76,0))</f>
        <v/>
      </c>
      <c r="AV76" s="34">
        <f>MAX(F76:G76,750)*0.05*AU76</f>
        <v/>
      </c>
      <c r="AW76" s="34">
        <f>AC76+AJ76+AQ76</f>
        <v/>
      </c>
      <c r="AX76" s="34">
        <f>AF76+AM76+AT76</f>
        <v/>
      </c>
      <c r="AY76" s="34">
        <f>AB76+AI76+AP76</f>
        <v/>
      </c>
      <c r="AZ76" s="34" t="n">
        <v>0</v>
      </c>
      <c r="BA76" s="34">
        <f>AD76+AK76+AR76</f>
        <v/>
      </c>
      <c r="BB76" s="34">
        <f>MAX(F76:G76,750)*0.05*BA76</f>
        <v/>
      </c>
      <c r="BC76" s="34">
        <f>AG76+AN76+AU76</f>
        <v/>
      </c>
      <c r="BD76" s="34">
        <f>MAX(F76:G76,750)*0.05*BC76</f>
        <v/>
      </c>
      <c r="BE76" s="34">
        <f>F76*AY76</f>
        <v/>
      </c>
      <c r="BF76" s="34">
        <f>K76-M76</f>
        <v/>
      </c>
      <c r="BG76" s="34">
        <f>P76-S76</f>
        <v/>
      </c>
      <c r="BH76" s="34">
        <f>W76-AA76</f>
        <v/>
      </c>
      <c r="BI76" s="34">
        <f>BF76+BG76+BL76-BN76</f>
        <v/>
      </c>
      <c r="BJ76" s="34">
        <f>ABS(BK76)</f>
        <v/>
      </c>
      <c r="BK76" s="34">
        <f>AY76-(J76-L76+N76-Q76)</f>
        <v/>
      </c>
      <c r="BL76" s="34">
        <f>IF(AND(BK76&gt;0,MIN($F76:$G76)&lt;150,$E76="Enerji Açığı"),-100*BK76*1.03,IF(AND(BK76&gt;0,MIN($F76:$G76)&lt;150,$E76="Enerji Fazlası"),-100*BK76*1.06,IF(AND(BK76&gt;0,MIN($F76:$G76)&gt;=150,$E76="Enerji Açığı"),BK76*MIN($F76:$G76)*0.97,IF(AND(BK76&gt;0,MIN($F76:$G76)&gt;=150,$E76="Enerji Fazlası"),BK76*MIN($F76:$G76)*0.94,IF(AND(BK76&lt;0,MAX($F76:$G76)=4500,$E76="Enerji Açığı"),4500*1.05*1.06*BK76,IF(AND(BK76&lt;0,MAX($F76:$G76)=4500,$E76="Enerji Fazlası"),4500*1.05*1.03*BK76,IF(AND(BK76&lt;0,$E76="Enerji Açığı"),MAX($F76,$G76,150)*BK76*1.06,IF(AND(BK76&lt;0,$E76="Enerji Fazlası"),MAX($F76,$G76,150)*BK76*1.03,IF(AND(BK76&lt;0,$E76="Dengede"),MAX($F76:$G76,150)*1.03*BK76,MIN($F76:$G76)*0.97*BK76)))))))))</f>
        <v/>
      </c>
      <c r="BM76" s="34">
        <f>BE76-BI76-BN76</f>
        <v/>
      </c>
      <c r="BN76" s="34">
        <f>BB76</f>
        <v/>
      </c>
      <c r="BO76" s="34">
        <f>BE76-BI76</f>
        <v/>
      </c>
      <c r="BP76" s="34">
        <f>IF(AY76=0,0,BO76/AY76)</f>
        <v/>
      </c>
      <c r="BQ76" s="34">
        <f>MAX((AY76+MAX((-J76+L76-N76+Q76),0)),(MAX((J76-L76+N76-Q76),0)))</f>
        <v/>
      </c>
      <c r="BR76" s="82">
        <f>IFERROR(ABS(BK76/BQ76),0)</f>
        <v/>
      </c>
      <c r="BS76" s="34">
        <f>IF(BR76&lt;=0.1,0,BK76/BR76*(BR76-0.1))</f>
        <v/>
      </c>
      <c r="BT76" s="34">
        <f>IF((BS76)&lt;0,MAX(F76:G76)*(BS76)*1.03,MIN(F76:G76)*(BS76)*0.97)</f>
        <v/>
      </c>
      <c r="BU76" s="34">
        <f>IF(BR76&gt;0.1,1,0)</f>
        <v/>
      </c>
      <c r="BV76" s="34">
        <f>BF76+BG76+BH76+BY76-CA76</f>
        <v/>
      </c>
      <c r="BW76" s="34">
        <f>ABS(BX76)</f>
        <v/>
      </c>
      <c r="BX76" s="34">
        <f>AY76-(J76-L76+N76-Q76+T76-X76)</f>
        <v/>
      </c>
      <c r="BY76" s="34">
        <f>IF(AND(BX76&gt;0,MIN($F76:$G76)&lt;150,$E76="Enerji Açığı"),-100*BX76*1.03,IF(AND(BX76&gt;0,MIN($F76:$G76)&lt;150,$E76="Enerji Fazlası"),-100*BX76*1.06,IF(AND(BX76&gt;0,MIN($F76:$G76)&gt;=150,$E76="Enerji Açığı"),BX76*MIN($F76:$G76)*0.97,IF(AND(BX76&gt;0,MIN($F76:$G76)&gt;=150,$E76="Enerji Fazlası"),BX76*MIN($F76:$G76)*0.94,IF(AND(BX76&lt;0,MAX($F76:$G76)=4500,$E76="Enerji Açığı"),4500*1.05*1.06*BX76,IF(AND(BX76&lt;0,MAX($F76:$G76)=4500,$E76="Enerji Fazlası"),4500*1.05*1.03*BX76,IF(AND(BX76&lt;0,$E76="Enerji Açığı"),MAX($F76,$G76,150)*BX76*1.06,IF(AND(BX76&lt;0,$E76="Enerji Fazlası"),MAX($F76,$G76,150)*BX76*1.03,IF(AND(BX76&lt;0,$E76="Dengede"),MAX($F76:$G76,150)*1.03*BX76,MIN($F76:$G76)*0.97*BX76)))))))))</f>
        <v/>
      </c>
      <c r="BZ76" s="34">
        <f>BE76-BV76-CA76</f>
        <v/>
      </c>
      <c r="CA76" s="34">
        <f>BD76</f>
        <v/>
      </c>
      <c r="CB76" s="33">
        <f>BE76-BV76</f>
        <v/>
      </c>
      <c r="CC76" s="34">
        <f>IF(AY76=0,0,CB76/AY76)</f>
        <v/>
      </c>
      <c r="CD76" s="34">
        <f>MAX((AY76+MAX((-J76+L76-N76+Q76-T76+X76),0)),(MAX((J76-L76+N76-Q76+T76-X76),0)))</f>
        <v/>
      </c>
      <c r="CE76" s="82">
        <f>IFERROR(ABS(BX76/CD76),0)</f>
        <v/>
      </c>
      <c r="CF76" s="34">
        <f>IF(CE76&lt;=0.1,0,BX76/CE76*(CE76-0.1))</f>
        <v/>
      </c>
      <c r="CG76" s="34">
        <f>IF((CF76)&lt;0,MAX(F76:G76)*(CF76)*1.03,MIN(F76:G76)*(CF76)*0.97)</f>
        <v/>
      </c>
      <c r="CH76" s="34">
        <f>IF(CE76&gt;0.1,1,0)</f>
        <v/>
      </c>
      <c r="CI76" s="34">
        <f>(F76*BX76)-BY76</f>
        <v/>
      </c>
      <c r="CJ76" s="34">
        <f>IF(AY76=0,0,CI76/AY76)</f>
        <v/>
      </c>
    </row>
    <row r="77">
      <c r="A77" s="29" t="n">
        <v>46207.08333333334</v>
      </c>
      <c r="B77" s="29" t="inlineStr">
        <is>
          <t>02:00</t>
        </is>
      </c>
      <c r="C77" s="35">
        <f>INT(A77)</f>
        <v/>
      </c>
      <c r="D77" s="36">
        <f>MONTH(A77)</f>
        <v/>
      </c>
      <c r="E77" s="147" t="inlineStr">
        <is>
          <t>Enerji Açığı</t>
        </is>
      </c>
      <c r="F77" s="30" t="n">
        <v>3400.01</v>
      </c>
      <c r="G77" s="30" t="n">
        <v>3699</v>
      </c>
      <c r="H77" s="30" t="n">
        <v>72.95</v>
      </c>
      <c r="I77" s="30" t="n">
        <v>3754.47</v>
      </c>
      <c r="J77" s="119" t="n">
        <v>0</v>
      </c>
      <c r="K77" s="34">
        <f>F77*J77</f>
        <v/>
      </c>
      <c r="L77" s="119" t="n">
        <v>0</v>
      </c>
      <c r="M77" s="34">
        <f>L77*F77</f>
        <v/>
      </c>
      <c r="N77" s="119" t="n">
        <v>19</v>
      </c>
      <c r="O77" s="34">
        <f>F77</f>
        <v/>
      </c>
      <c r="P77" s="34">
        <f>N77*O77</f>
        <v/>
      </c>
      <c r="Q77" s="117" t="n">
        <v>0</v>
      </c>
      <c r="R77" s="34">
        <f>F77</f>
        <v/>
      </c>
      <c r="S77" s="34">
        <f>R77*Q77</f>
        <v/>
      </c>
      <c r="T77" s="34" t="n"/>
      <c r="U77" s="34">
        <f>IFERROR(W77/T77,0)</f>
        <v/>
      </c>
      <c r="V77" s="34">
        <f>IF(U77=0,0,U77-F77)</f>
        <v/>
      </c>
      <c r="W77" s="34" t="n"/>
      <c r="X77" s="34" t="n"/>
      <c r="Y77" s="34">
        <f>IFERROR(AA77/X77,0)</f>
        <v/>
      </c>
      <c r="Z77" s="34">
        <f>IF(Y77=0,0,F77-Y77)</f>
        <v/>
      </c>
      <c r="AA77" s="34" t="n"/>
      <c r="AB77" s="34" t="n">
        <v>0</v>
      </c>
      <c r="AC77" s="34" t="n">
        <v>0</v>
      </c>
      <c r="AD77" s="34">
        <f>IF(AB77&gt;AC77*1.05,AB77-AC77*1.05,IF(AB77&lt;AC77*0.95,AC77*0.95-AB77,0))</f>
        <v/>
      </c>
      <c r="AE77" s="34">
        <f>MAX(F77,G77,750)*0.05*AD77</f>
        <v/>
      </c>
      <c r="AF77" s="34" t="n">
        <v>0</v>
      </c>
      <c r="AG77" s="34">
        <f>IF(AB77&gt;AF77*1.05,AB77-AF77*1.05,IF(AB77&lt;AF77*0.95,AF77*0.95-AB77,0))</f>
        <v/>
      </c>
      <c r="AH77" s="34">
        <f>MAX(I77,J77,750)*0.05*AG77</f>
        <v/>
      </c>
      <c r="AI77" t="n">
        <v>10.3</v>
      </c>
      <c r="AJ77" t="n">
        <v>8</v>
      </c>
      <c r="AK77" s="34">
        <f>IF(AI77&gt;AJ77*1.05,AI77-AJ77*1.05,IF(AI77&lt;AJ77*0.95,AJ77*0.95-AI77,0))</f>
        <v/>
      </c>
      <c r="AL77" s="34">
        <f>MAX(F77,G77,750)*0.05*AK77</f>
        <v/>
      </c>
      <c r="AM77" s="39" t="n">
        <v>10</v>
      </c>
      <c r="AN77" s="34">
        <f>IF(AI77&gt;AM77*1.05,AI77-AM77*1.05,IF(AI77&lt;AM77*0.95,AM77*0.95-AI77,0))</f>
        <v/>
      </c>
      <c r="AO77" s="34">
        <f>MAX(F77,G77,750)*0.05*AN77</f>
        <v/>
      </c>
      <c r="AP77" s="34" t="n">
        <v>13.14</v>
      </c>
      <c r="AQ77" s="34" t="n">
        <v>11</v>
      </c>
      <c r="AR77" s="34">
        <f>IF(AP77&gt;AQ77*1.05,AP77-AQ77*1.05,IF(AP77&lt;AQ77*0.95,AQ77*0.95-AP77,0))</f>
        <v/>
      </c>
      <c r="AS77" s="34">
        <f>MAX(F77:G77,750)*0.05*AR77</f>
        <v/>
      </c>
      <c r="AT77" t="n">
        <v>13</v>
      </c>
      <c r="AU77" s="34">
        <f>IF(AP77&gt;AT77*1.05,AP77-AT77*1.05,IF(AP77&lt;AT77*0.95,AT77*0.95-AP77,0))</f>
        <v/>
      </c>
      <c r="AV77" s="34">
        <f>MAX(F77:G77,750)*0.05*AU77</f>
        <v/>
      </c>
      <c r="AW77" s="34">
        <f>AC77+AJ77+AQ77</f>
        <v/>
      </c>
      <c r="AX77" s="34">
        <f>AF77+AM77+AT77</f>
        <v/>
      </c>
      <c r="AY77" s="34">
        <f>AB77+AI77+AP77</f>
        <v/>
      </c>
      <c r="AZ77" s="34" t="n">
        <v>0</v>
      </c>
      <c r="BA77" s="34">
        <f>AD77+AK77+AR77</f>
        <v/>
      </c>
      <c r="BB77" s="34">
        <f>MAX(F77:G77,750)*0.05*BA77</f>
        <v/>
      </c>
      <c r="BC77" s="34">
        <f>AG77+AN77+AU77</f>
        <v/>
      </c>
      <c r="BD77" s="34">
        <f>MAX(F77:G77,750)*0.05*BC77</f>
        <v/>
      </c>
      <c r="BE77" s="34">
        <f>F77*AY77</f>
        <v/>
      </c>
      <c r="BF77" s="34">
        <f>K77-M77</f>
        <v/>
      </c>
      <c r="BG77" s="34">
        <f>P77-S77</f>
        <v/>
      </c>
      <c r="BH77" s="34">
        <f>W77-AA77</f>
        <v/>
      </c>
      <c r="BI77" s="34">
        <f>BF77+BG77+BL77-BN77</f>
        <v/>
      </c>
      <c r="BJ77" s="34">
        <f>ABS(BK77)</f>
        <v/>
      </c>
      <c r="BK77" s="34">
        <f>AY77-(J77-L77+N77-Q77)</f>
        <v/>
      </c>
      <c r="BL77" s="34">
        <f>IF(AND(BK77&gt;0,MIN($F77:$G77)&lt;150,$E77="Enerji Açığı"),-100*BK77*1.03,IF(AND(BK77&gt;0,MIN($F77:$G77)&lt;150,$E77="Enerji Fazlası"),-100*BK77*1.06,IF(AND(BK77&gt;0,MIN($F77:$G77)&gt;=150,$E77="Enerji Açığı"),BK77*MIN($F77:$G77)*0.97,IF(AND(BK77&gt;0,MIN($F77:$G77)&gt;=150,$E77="Enerji Fazlası"),BK77*MIN($F77:$G77)*0.94,IF(AND(BK77&lt;0,MAX($F77:$G77)=4500,$E77="Enerji Açığı"),4500*1.05*1.06*BK77,IF(AND(BK77&lt;0,MAX($F77:$G77)=4500,$E77="Enerji Fazlası"),4500*1.05*1.03*BK77,IF(AND(BK77&lt;0,$E77="Enerji Açığı"),MAX($F77,$G77,150)*BK77*1.06,IF(AND(BK77&lt;0,$E77="Enerji Fazlası"),MAX($F77,$G77,150)*BK77*1.03,IF(AND(BK77&lt;0,$E77="Dengede"),MAX($F77:$G77,150)*1.03*BK77,MIN($F77:$G77)*0.97*BK77)))))))))</f>
        <v/>
      </c>
      <c r="BM77" s="34">
        <f>BE77-BI77-BN77</f>
        <v/>
      </c>
      <c r="BN77" s="34">
        <f>BB77</f>
        <v/>
      </c>
      <c r="BO77" s="34">
        <f>BE77-BI77</f>
        <v/>
      </c>
      <c r="BP77" s="34">
        <f>IF(AY77=0,0,BO77/AY77)</f>
        <v/>
      </c>
      <c r="BQ77" s="34">
        <f>MAX((AY77+MAX((-J77+L77-N77+Q77),0)),(MAX((J77-L77+N77-Q77),0)))</f>
        <v/>
      </c>
      <c r="BR77" s="82">
        <f>IFERROR(ABS(BK77/BQ77),0)</f>
        <v/>
      </c>
      <c r="BS77" s="34">
        <f>IF(BR77&lt;=0.1,0,BK77/BR77*(BR77-0.1))</f>
        <v/>
      </c>
      <c r="BT77" s="34">
        <f>IF((BS77)&lt;0,MAX(F77:G77)*(BS77)*1.03,MIN(F77:G77)*(BS77)*0.97)</f>
        <v/>
      </c>
      <c r="BU77" s="34">
        <f>IF(BR77&gt;0.1,1,0)</f>
        <v/>
      </c>
      <c r="BV77" s="34">
        <f>BF77+BG77+BH77+BY77-CA77</f>
        <v/>
      </c>
      <c r="BW77" s="34">
        <f>ABS(BX77)</f>
        <v/>
      </c>
      <c r="BX77" s="34">
        <f>AY77-(J77-L77+N77-Q77+T77-X77)</f>
        <v/>
      </c>
      <c r="BY77" s="34">
        <f>IF(AND(BX77&gt;0,MIN($F77:$G77)&lt;150,$E77="Enerji Açığı"),-100*BX77*1.03,IF(AND(BX77&gt;0,MIN($F77:$G77)&lt;150,$E77="Enerji Fazlası"),-100*BX77*1.06,IF(AND(BX77&gt;0,MIN($F77:$G77)&gt;=150,$E77="Enerji Açığı"),BX77*MIN($F77:$G77)*0.97,IF(AND(BX77&gt;0,MIN($F77:$G77)&gt;=150,$E77="Enerji Fazlası"),BX77*MIN($F77:$G77)*0.94,IF(AND(BX77&lt;0,MAX($F77:$G77)=4500,$E77="Enerji Açığı"),4500*1.05*1.06*BX77,IF(AND(BX77&lt;0,MAX($F77:$G77)=4500,$E77="Enerji Fazlası"),4500*1.05*1.03*BX77,IF(AND(BX77&lt;0,$E77="Enerji Açığı"),MAX($F77,$G77,150)*BX77*1.06,IF(AND(BX77&lt;0,$E77="Enerji Fazlası"),MAX($F77,$G77,150)*BX77*1.03,IF(AND(BX77&lt;0,$E77="Dengede"),MAX($F77:$G77,150)*1.03*BX77,MIN($F77:$G77)*0.97*BX77)))))))))</f>
        <v/>
      </c>
      <c r="BZ77" s="34">
        <f>BE77-BV77-CA77</f>
        <v/>
      </c>
      <c r="CA77" s="34">
        <f>BD77</f>
        <v/>
      </c>
      <c r="CB77" s="33">
        <f>BE77-BV77</f>
        <v/>
      </c>
      <c r="CC77" s="34">
        <f>IF(AY77=0,0,CB77/AY77)</f>
        <v/>
      </c>
      <c r="CD77" s="34">
        <f>MAX((AY77+MAX((-J77+L77-N77+Q77-T77+X77),0)),(MAX((J77-L77+N77-Q77+T77-X77),0)))</f>
        <v/>
      </c>
      <c r="CE77" s="82">
        <f>IFERROR(ABS(BX77/CD77),0)</f>
        <v/>
      </c>
      <c r="CF77" s="34">
        <f>IF(CE77&lt;=0.1,0,BX77/CE77*(CE77-0.1))</f>
        <v/>
      </c>
      <c r="CG77" s="34">
        <f>IF((CF77)&lt;0,MAX(F77:G77)*(CF77)*1.03,MIN(F77:G77)*(CF77)*0.97)</f>
        <v/>
      </c>
      <c r="CH77" s="34">
        <f>IF(CE77&gt;0.1,1,0)</f>
        <v/>
      </c>
      <c r="CI77" s="34">
        <f>(F77*BX77)-BY77</f>
        <v/>
      </c>
      <c r="CJ77" s="34">
        <f>IF(AY77=0,0,CI77/AY77)</f>
        <v/>
      </c>
    </row>
    <row r="78">
      <c r="A78" s="29" t="n">
        <v>46207.125</v>
      </c>
      <c r="B78" s="29" t="inlineStr">
        <is>
          <t>03:00</t>
        </is>
      </c>
      <c r="C78" s="35">
        <f>INT(A78)</f>
        <v/>
      </c>
      <c r="D78" s="36">
        <f>MONTH(A78)</f>
        <v/>
      </c>
      <c r="E78" s="147" t="inlineStr">
        <is>
          <t>Enerji Fazlası</t>
        </is>
      </c>
      <c r="F78" s="30" t="n">
        <v>3658</v>
      </c>
      <c r="G78" s="30" t="n">
        <v>2723.66</v>
      </c>
      <c r="H78" s="30" t="n">
        <v>78.48</v>
      </c>
      <c r="I78" s="30" t="n">
        <v>3758</v>
      </c>
      <c r="J78" s="119" t="n">
        <v>0</v>
      </c>
      <c r="K78" s="34">
        <f>F78*J78</f>
        <v/>
      </c>
      <c r="L78" s="119" t="n">
        <v>0</v>
      </c>
      <c r="M78" s="34">
        <f>L78*F78</f>
        <v/>
      </c>
      <c r="N78" s="119" t="n">
        <v>19</v>
      </c>
      <c r="O78" s="34">
        <f>F78</f>
        <v/>
      </c>
      <c r="P78" s="34">
        <f>N78*O78</f>
        <v/>
      </c>
      <c r="Q78" s="117" t="n">
        <v>0</v>
      </c>
      <c r="R78" s="34">
        <f>F78</f>
        <v/>
      </c>
      <c r="S78" s="34">
        <f>R78*Q78</f>
        <v/>
      </c>
      <c r="T78" s="34" t="n"/>
      <c r="U78" s="34">
        <f>IFERROR(W78/T78,0)</f>
        <v/>
      </c>
      <c r="V78" s="34">
        <f>IF(U78=0,0,U78-F78)</f>
        <v/>
      </c>
      <c r="W78" s="34" t="n"/>
      <c r="X78" s="34" t="n"/>
      <c r="Y78" s="34">
        <f>IFERROR(AA78/X78,0)</f>
        <v/>
      </c>
      <c r="Z78" s="34">
        <f>IF(Y78=0,0,F78-Y78)</f>
        <v/>
      </c>
      <c r="AA78" s="34" t="n"/>
      <c r="AB78" s="34" t="n">
        <v>0</v>
      </c>
      <c r="AC78" s="34" t="n">
        <v>0</v>
      </c>
      <c r="AD78" s="34">
        <f>IF(AB78&gt;AC78*1.05,AB78-AC78*1.05,IF(AB78&lt;AC78*0.95,AC78*0.95-AB78,0))</f>
        <v/>
      </c>
      <c r="AE78" s="34">
        <f>MAX(F78,G78,750)*0.05*AD78</f>
        <v/>
      </c>
      <c r="AF78" s="34" t="n">
        <v>0</v>
      </c>
      <c r="AG78" s="34">
        <f>IF(AB78&gt;AF78*1.05,AB78-AF78*1.05,IF(AB78&lt;AF78*0.95,AF78*0.95-AB78,0))</f>
        <v/>
      </c>
      <c r="AH78" s="34">
        <f>MAX(I78,J78,750)*0.05*AG78</f>
        <v/>
      </c>
      <c r="AI78" t="n">
        <v>11.2</v>
      </c>
      <c r="AJ78" t="n">
        <v>8</v>
      </c>
      <c r="AK78" s="34">
        <f>IF(AI78&gt;AJ78*1.05,AI78-AJ78*1.05,IF(AI78&lt;AJ78*0.95,AJ78*0.95-AI78,0))</f>
        <v/>
      </c>
      <c r="AL78" s="34">
        <f>MAX(F78,G78,750)*0.05*AK78</f>
        <v/>
      </c>
      <c r="AM78" s="39" t="n">
        <v>11</v>
      </c>
      <c r="AN78" s="34">
        <f>IF(AI78&gt;AM78*1.05,AI78-AM78*1.05,IF(AI78&lt;AM78*0.95,AM78*0.95-AI78,0))</f>
        <v/>
      </c>
      <c r="AO78" s="34">
        <f>MAX(F78,G78,750)*0.05*AN78</f>
        <v/>
      </c>
      <c r="AP78" s="34" t="n">
        <v>14.17</v>
      </c>
      <c r="AQ78" s="34" t="n">
        <v>11</v>
      </c>
      <c r="AR78" s="34">
        <f>IF(AP78&gt;AQ78*1.05,AP78-AQ78*1.05,IF(AP78&lt;AQ78*0.95,AQ78*0.95-AP78,0))</f>
        <v/>
      </c>
      <c r="AS78" s="34">
        <f>MAX(F78:G78,750)*0.05*AR78</f>
        <v/>
      </c>
      <c r="AT78" t="n">
        <v>14</v>
      </c>
      <c r="AU78" s="34">
        <f>IF(AP78&gt;AT78*1.05,AP78-AT78*1.05,IF(AP78&lt;AT78*0.95,AT78*0.95-AP78,0))</f>
        <v/>
      </c>
      <c r="AV78" s="34">
        <f>MAX(F78:G78,750)*0.05*AU78</f>
        <v/>
      </c>
      <c r="AW78" s="34">
        <f>AC78+AJ78+AQ78</f>
        <v/>
      </c>
      <c r="AX78" s="34">
        <f>AF78+AM78+AT78</f>
        <v/>
      </c>
      <c r="AY78" s="34">
        <f>AB78+AI78+AP78</f>
        <v/>
      </c>
      <c r="AZ78" s="34" t="n">
        <v>0</v>
      </c>
      <c r="BA78" s="34">
        <f>AD78+AK78+AR78</f>
        <v/>
      </c>
      <c r="BB78" s="34">
        <f>MAX(F78:G78,750)*0.05*BA78</f>
        <v/>
      </c>
      <c r="BC78" s="34">
        <f>AG78+AN78+AU78</f>
        <v/>
      </c>
      <c r="BD78" s="34">
        <f>MAX(F78:G78,750)*0.05*BC78</f>
        <v/>
      </c>
      <c r="BE78" s="34">
        <f>F78*AY78</f>
        <v/>
      </c>
      <c r="BF78" s="34">
        <f>K78-M78</f>
        <v/>
      </c>
      <c r="BG78" s="34">
        <f>P78-S78</f>
        <v/>
      </c>
      <c r="BH78" s="34">
        <f>W78-AA78</f>
        <v/>
      </c>
      <c r="BI78" s="34">
        <f>BF78+BG78+BL78-BN78</f>
        <v/>
      </c>
      <c r="BJ78" s="34">
        <f>ABS(BK78)</f>
        <v/>
      </c>
      <c r="BK78" s="34">
        <f>AY78-(J78-L78+N78-Q78)</f>
        <v/>
      </c>
      <c r="BL78" s="34">
        <f>IF(AND(BK78&gt;0,MIN($F78:$G78)&lt;150,$E78="Enerji Açığı"),-100*BK78*1.03,IF(AND(BK78&gt;0,MIN($F78:$G78)&lt;150,$E78="Enerji Fazlası"),-100*BK78*1.06,IF(AND(BK78&gt;0,MIN($F78:$G78)&gt;=150,$E78="Enerji Açığı"),BK78*MIN($F78:$G78)*0.97,IF(AND(BK78&gt;0,MIN($F78:$G78)&gt;=150,$E78="Enerji Fazlası"),BK78*MIN($F78:$G78)*0.94,IF(AND(BK78&lt;0,MAX($F78:$G78)=4500,$E78="Enerji Açığı"),4500*1.05*1.06*BK78,IF(AND(BK78&lt;0,MAX($F78:$G78)=4500,$E78="Enerji Fazlası"),4500*1.05*1.03*BK78,IF(AND(BK78&lt;0,$E78="Enerji Açığı"),MAX($F78,$G78,150)*BK78*1.06,IF(AND(BK78&lt;0,$E78="Enerji Fazlası"),MAX($F78,$G78,150)*BK78*1.03,IF(AND(BK78&lt;0,$E78="Dengede"),MAX($F78:$G78,150)*1.03*BK78,MIN($F78:$G78)*0.97*BK78)))))))))</f>
        <v/>
      </c>
      <c r="BM78" s="34">
        <f>BE78-BI78-BN78</f>
        <v/>
      </c>
      <c r="BN78" s="34">
        <f>BB78</f>
        <v/>
      </c>
      <c r="BO78" s="34">
        <f>BE78-BI78</f>
        <v/>
      </c>
      <c r="BP78" s="34">
        <f>IF(AY78=0,0,BO78/AY78)</f>
        <v/>
      </c>
      <c r="BQ78" s="34">
        <f>MAX((AY78+MAX((-J78+L78-N78+Q78),0)),(MAX((J78-L78+N78-Q78),0)))</f>
        <v/>
      </c>
      <c r="BR78" s="82">
        <f>IFERROR(ABS(BK78/BQ78),0)</f>
        <v/>
      </c>
      <c r="BS78" s="34">
        <f>IF(BR78&lt;=0.1,0,BK78/BR78*(BR78-0.1))</f>
        <v/>
      </c>
      <c r="BT78" s="34">
        <f>IF((BS78)&lt;0,MAX(F78:G78)*(BS78)*1.03,MIN(F78:G78)*(BS78)*0.97)</f>
        <v/>
      </c>
      <c r="BU78" s="34">
        <f>IF(BR78&gt;0.1,1,0)</f>
        <v/>
      </c>
      <c r="BV78" s="34">
        <f>BF78+BG78+BH78+BY78-CA78</f>
        <v/>
      </c>
      <c r="BW78" s="34">
        <f>ABS(BX78)</f>
        <v/>
      </c>
      <c r="BX78" s="34">
        <f>AY78-(J78-L78+N78-Q78+T78-X78)</f>
        <v/>
      </c>
      <c r="BY78" s="34">
        <f>IF(AND(BX78&gt;0,MIN($F78:$G78)&lt;150,$E78="Enerji Açığı"),-100*BX78*1.03,IF(AND(BX78&gt;0,MIN($F78:$G78)&lt;150,$E78="Enerji Fazlası"),-100*BX78*1.06,IF(AND(BX78&gt;0,MIN($F78:$G78)&gt;=150,$E78="Enerji Açığı"),BX78*MIN($F78:$G78)*0.97,IF(AND(BX78&gt;0,MIN($F78:$G78)&gt;=150,$E78="Enerji Fazlası"),BX78*MIN($F78:$G78)*0.94,IF(AND(BX78&lt;0,MAX($F78:$G78)=4500,$E78="Enerji Açığı"),4500*1.05*1.06*BX78,IF(AND(BX78&lt;0,MAX($F78:$G78)=4500,$E78="Enerji Fazlası"),4500*1.05*1.03*BX78,IF(AND(BX78&lt;0,$E78="Enerji Açığı"),MAX($F78,$G78,150)*BX78*1.06,IF(AND(BX78&lt;0,$E78="Enerji Fazlası"),MAX($F78,$G78,150)*BX78*1.03,IF(AND(BX78&lt;0,$E78="Dengede"),MAX($F78:$G78,150)*1.03*BX78,MIN($F78:$G78)*0.97*BX78)))))))))</f>
        <v/>
      </c>
      <c r="BZ78" s="34">
        <f>BE78-BV78-CA78</f>
        <v/>
      </c>
      <c r="CA78" s="34">
        <f>BD78</f>
        <v/>
      </c>
      <c r="CB78" s="33">
        <f>BE78-BV78</f>
        <v/>
      </c>
      <c r="CC78" s="34">
        <f>IF(AY78=0,0,CB78/AY78)</f>
        <v/>
      </c>
      <c r="CD78" s="34">
        <f>MAX((AY78+MAX((-J78+L78-N78+Q78-T78+X78),0)),(MAX((J78-L78+N78-Q78+T78-X78),0)))</f>
        <v/>
      </c>
      <c r="CE78" s="82">
        <f>IFERROR(ABS(BX78/CD78),0)</f>
        <v/>
      </c>
      <c r="CF78" s="34">
        <f>IF(CE78&lt;=0.1,0,BX78/CE78*(CE78-0.1))</f>
        <v/>
      </c>
      <c r="CG78" s="34">
        <f>IF((CF78)&lt;0,MAX(F78:G78)*(CF78)*1.03,MIN(F78:G78)*(CF78)*0.97)</f>
        <v/>
      </c>
      <c r="CH78" s="34">
        <f>IF(CE78&gt;0.1,1,0)</f>
        <v/>
      </c>
      <c r="CI78" s="34">
        <f>(F78*BX78)-BY78</f>
        <v/>
      </c>
      <c r="CJ78" s="34">
        <f>IF(AY78=0,0,CI78/AY78)</f>
        <v/>
      </c>
    </row>
    <row r="79">
      <c r="A79" s="29" t="n">
        <v>46207.16666666666</v>
      </c>
      <c r="B79" s="29" t="inlineStr">
        <is>
          <t>04:00</t>
        </is>
      </c>
      <c r="C79" s="35">
        <f>INT(A79)</f>
        <v/>
      </c>
      <c r="D79" s="36">
        <f>MONTH(A79)</f>
        <v/>
      </c>
      <c r="E79" s="147" t="inlineStr">
        <is>
          <t>Enerji Fazlası</t>
        </is>
      </c>
      <c r="F79" s="30" t="n">
        <v>3677.01</v>
      </c>
      <c r="G79" s="30" t="n">
        <v>2241</v>
      </c>
      <c r="H79" s="30" t="n">
        <v>78.89</v>
      </c>
      <c r="I79" s="30" t="n">
        <v>3799.56</v>
      </c>
      <c r="J79" s="119" t="n">
        <v>0</v>
      </c>
      <c r="K79" s="34">
        <f>F79*J79</f>
        <v/>
      </c>
      <c r="L79" s="119" t="n">
        <v>0</v>
      </c>
      <c r="M79" s="34">
        <f>L79*F79</f>
        <v/>
      </c>
      <c r="N79" s="119" t="n">
        <v>19</v>
      </c>
      <c r="O79" s="34">
        <f>F79</f>
        <v/>
      </c>
      <c r="P79" s="34">
        <f>N79*O79</f>
        <v/>
      </c>
      <c r="Q79" s="117" t="n">
        <v>0</v>
      </c>
      <c r="R79" s="34">
        <f>F79</f>
        <v/>
      </c>
      <c r="S79" s="34">
        <f>R79*Q79</f>
        <v/>
      </c>
      <c r="T79" s="34" t="n"/>
      <c r="U79" s="34">
        <f>IFERROR(W79/T79,0)</f>
        <v/>
      </c>
      <c r="V79" s="34">
        <f>IF(U79=0,0,U79-F79)</f>
        <v/>
      </c>
      <c r="W79" s="34" t="n"/>
      <c r="X79" s="34" t="n"/>
      <c r="Y79" s="34">
        <f>IFERROR(AA79/X79,0)</f>
        <v/>
      </c>
      <c r="Z79" s="34">
        <f>IF(Y79=0,0,F79-Y79)</f>
        <v/>
      </c>
      <c r="AA79" s="34" t="n"/>
      <c r="AB79" s="34" t="n">
        <v>0</v>
      </c>
      <c r="AC79" s="34" t="n">
        <v>0</v>
      </c>
      <c r="AD79" s="34">
        <f>IF(AB79&gt;AC79*1.05,AB79-AC79*1.05,IF(AB79&lt;AC79*0.95,AC79*0.95-AB79,0))</f>
        <v/>
      </c>
      <c r="AE79" s="34">
        <f>MAX(F79,G79,750)*0.05*AD79</f>
        <v/>
      </c>
      <c r="AF79" s="34" t="n">
        <v>0</v>
      </c>
      <c r="AG79" s="34">
        <f>IF(AB79&gt;AF79*1.05,AB79-AF79*1.05,IF(AB79&lt;AF79*0.95,AF79*0.95-AB79,0))</f>
        <v/>
      </c>
      <c r="AH79" s="34">
        <f>MAX(I79,J79,750)*0.05*AG79</f>
        <v/>
      </c>
      <c r="AI79" t="n">
        <v>10.1</v>
      </c>
      <c r="AJ79" t="n">
        <v>8</v>
      </c>
      <c r="AK79" s="34">
        <f>IF(AI79&gt;AJ79*1.05,AI79-AJ79*1.05,IF(AI79&lt;AJ79*0.95,AJ79*0.95-AI79,0))</f>
        <v/>
      </c>
      <c r="AL79" s="34">
        <f>MAX(F79,G79,750)*0.05*AK79</f>
        <v/>
      </c>
      <c r="AM79" s="39" t="n">
        <v>9</v>
      </c>
      <c r="AN79" s="34">
        <f>IF(AI79&gt;AM79*1.05,AI79-AM79*1.05,IF(AI79&lt;AM79*0.95,AM79*0.95-AI79,0))</f>
        <v/>
      </c>
      <c r="AO79" s="34">
        <f>MAX(F79,G79,750)*0.05*AN79</f>
        <v/>
      </c>
      <c r="AP79" s="34" t="n">
        <v>14.14</v>
      </c>
      <c r="AQ79" s="34" t="n">
        <v>11</v>
      </c>
      <c r="AR79" s="34">
        <f>IF(AP79&gt;AQ79*1.05,AP79-AQ79*1.05,IF(AP79&lt;AQ79*0.95,AQ79*0.95-AP79,0))</f>
        <v/>
      </c>
      <c r="AS79" s="34">
        <f>MAX(F79:G79,750)*0.05*AR79</f>
        <v/>
      </c>
      <c r="AT79" t="n">
        <v>14</v>
      </c>
      <c r="AU79" s="34">
        <f>IF(AP79&gt;AT79*1.05,AP79-AT79*1.05,IF(AP79&lt;AT79*0.95,AT79*0.95-AP79,0))</f>
        <v/>
      </c>
      <c r="AV79" s="34">
        <f>MAX(F79:G79,750)*0.05*AU79</f>
        <v/>
      </c>
      <c r="AW79" s="34">
        <f>AC79+AJ79+AQ79</f>
        <v/>
      </c>
      <c r="AX79" s="34">
        <f>AF79+AM79+AT79</f>
        <v/>
      </c>
      <c r="AY79" s="34">
        <f>AB79+AI79+AP79</f>
        <v/>
      </c>
      <c r="AZ79" s="34" t="n">
        <v>0</v>
      </c>
      <c r="BA79" s="34">
        <f>AD79+AK79+AR79</f>
        <v/>
      </c>
      <c r="BB79" s="34">
        <f>MAX(F79:G79,750)*0.05*BA79</f>
        <v/>
      </c>
      <c r="BC79" s="34">
        <f>AG79+AN79+AU79</f>
        <v/>
      </c>
      <c r="BD79" s="34">
        <f>MAX(F79:G79,750)*0.05*BC79</f>
        <v/>
      </c>
      <c r="BE79" s="34">
        <f>F79*AY79</f>
        <v/>
      </c>
      <c r="BF79" s="34">
        <f>K79-M79</f>
        <v/>
      </c>
      <c r="BG79" s="34">
        <f>P79-S79</f>
        <v/>
      </c>
      <c r="BH79" s="34">
        <f>W79-AA79</f>
        <v/>
      </c>
      <c r="BI79" s="34">
        <f>BF79+BG79+BL79-BN79</f>
        <v/>
      </c>
      <c r="BJ79" s="34">
        <f>ABS(BK79)</f>
        <v/>
      </c>
      <c r="BK79" s="34">
        <f>AY79-(J79-L79+N79-Q79)</f>
        <v/>
      </c>
      <c r="BL79" s="34">
        <f>IF(AND(BK79&gt;0,MIN($F79:$G79)&lt;150,$E79="Enerji Açığı"),-100*BK79*1.03,IF(AND(BK79&gt;0,MIN($F79:$G79)&lt;150,$E79="Enerji Fazlası"),-100*BK79*1.06,IF(AND(BK79&gt;0,MIN($F79:$G79)&gt;=150,$E79="Enerji Açığı"),BK79*MIN($F79:$G79)*0.97,IF(AND(BK79&gt;0,MIN($F79:$G79)&gt;=150,$E79="Enerji Fazlası"),BK79*MIN($F79:$G79)*0.94,IF(AND(BK79&lt;0,MAX($F79:$G79)=4500,$E79="Enerji Açığı"),4500*1.05*1.06*BK79,IF(AND(BK79&lt;0,MAX($F79:$G79)=4500,$E79="Enerji Fazlası"),4500*1.05*1.03*BK79,IF(AND(BK79&lt;0,$E79="Enerji Açığı"),MAX($F79,$G79,150)*BK79*1.06,IF(AND(BK79&lt;0,$E79="Enerji Fazlası"),MAX($F79,$G79,150)*BK79*1.03,IF(AND(BK79&lt;0,$E79="Dengede"),MAX($F79:$G79,150)*1.03*BK79,MIN($F79:$G79)*0.97*BK79)))))))))</f>
        <v/>
      </c>
      <c r="BM79" s="34">
        <f>BE79-BI79-BN79</f>
        <v/>
      </c>
      <c r="BN79" s="34">
        <f>BB79</f>
        <v/>
      </c>
      <c r="BO79" s="34">
        <f>BE79-BI79</f>
        <v/>
      </c>
      <c r="BP79" s="34">
        <f>IF(AY79=0,0,BO79/AY79)</f>
        <v/>
      </c>
      <c r="BQ79" s="34">
        <f>MAX((AY79+MAX((-J79+L79-N79+Q79),0)),(MAX((J79-L79+N79-Q79),0)))</f>
        <v/>
      </c>
      <c r="BR79" s="82">
        <f>IFERROR(ABS(BK79/BQ79),0)</f>
        <v/>
      </c>
      <c r="BS79" s="34">
        <f>IF(BR79&lt;=0.1,0,BK79/BR79*(BR79-0.1))</f>
        <v/>
      </c>
      <c r="BT79" s="34">
        <f>IF((BS79)&lt;0,MAX(F79:G79)*(BS79)*1.03,MIN(F79:G79)*(BS79)*0.97)</f>
        <v/>
      </c>
      <c r="BU79" s="34">
        <f>IF(BR79&gt;0.1,1,0)</f>
        <v/>
      </c>
      <c r="BV79" s="34">
        <f>BF79+BG79+BH79+BY79-CA79</f>
        <v/>
      </c>
      <c r="BW79" s="34">
        <f>ABS(BX79)</f>
        <v/>
      </c>
      <c r="BX79" s="34">
        <f>AY79-(J79-L79+N79-Q79+T79-X79)</f>
        <v/>
      </c>
      <c r="BY79" s="34">
        <f>IF(AND(BX79&gt;0,MIN($F79:$G79)&lt;150,$E79="Enerji Açığı"),-100*BX79*1.03,IF(AND(BX79&gt;0,MIN($F79:$G79)&lt;150,$E79="Enerji Fazlası"),-100*BX79*1.06,IF(AND(BX79&gt;0,MIN($F79:$G79)&gt;=150,$E79="Enerji Açığı"),BX79*MIN($F79:$G79)*0.97,IF(AND(BX79&gt;0,MIN($F79:$G79)&gt;=150,$E79="Enerji Fazlası"),BX79*MIN($F79:$G79)*0.94,IF(AND(BX79&lt;0,MAX($F79:$G79)=4500,$E79="Enerji Açığı"),4500*1.05*1.06*BX79,IF(AND(BX79&lt;0,MAX($F79:$G79)=4500,$E79="Enerji Fazlası"),4500*1.05*1.03*BX79,IF(AND(BX79&lt;0,$E79="Enerji Açığı"),MAX($F79,$G79,150)*BX79*1.06,IF(AND(BX79&lt;0,$E79="Enerji Fazlası"),MAX($F79,$G79,150)*BX79*1.03,IF(AND(BX79&lt;0,$E79="Dengede"),MAX($F79:$G79,150)*1.03*BX79,MIN($F79:$G79)*0.97*BX79)))))))))</f>
        <v/>
      </c>
      <c r="BZ79" s="34">
        <f>BE79-BV79-CA79</f>
        <v/>
      </c>
      <c r="CA79" s="34">
        <f>BD79</f>
        <v/>
      </c>
      <c r="CB79" s="33">
        <f>BE79-BV79</f>
        <v/>
      </c>
      <c r="CC79" s="34">
        <f>IF(AY79=0,0,CB79/AY79)</f>
        <v/>
      </c>
      <c r="CD79" s="34">
        <f>MAX((AY79+MAX((-J79+L79-N79+Q79-T79+X79),0)),(MAX((J79-L79+N79-Q79+T79-X79),0)))</f>
        <v/>
      </c>
      <c r="CE79" s="82">
        <f>IFERROR(ABS(BX79/CD79),0)</f>
        <v/>
      </c>
      <c r="CF79" s="34">
        <f>IF(CE79&lt;=0.1,0,BX79/CE79*(CE79-0.1))</f>
        <v/>
      </c>
      <c r="CG79" s="34">
        <f>IF((CF79)&lt;0,MAX(F79:G79)*(CF79)*1.03,MIN(F79:G79)*(CF79)*0.97)</f>
        <v/>
      </c>
      <c r="CH79" s="34">
        <f>IF(CE79&gt;0.1,1,0)</f>
        <v/>
      </c>
      <c r="CI79" s="34">
        <f>(F79*BX79)-BY79</f>
        <v/>
      </c>
      <c r="CJ79" s="34">
        <f>IF(AY79=0,0,CI79/AY79)</f>
        <v/>
      </c>
    </row>
    <row r="80">
      <c r="A80" s="29" t="n">
        <v>46207.20833333334</v>
      </c>
      <c r="B80" s="29" t="inlineStr">
        <is>
          <t>05:00</t>
        </is>
      </c>
      <c r="C80" s="35">
        <f>INT(A80)</f>
        <v/>
      </c>
      <c r="D80" s="36">
        <f>MONTH(A80)</f>
        <v/>
      </c>
      <c r="E80" s="147" t="inlineStr">
        <is>
          <t>Enerji Fazlası</t>
        </is>
      </c>
      <c r="F80" s="30" t="n">
        <v>3389.89</v>
      </c>
      <c r="G80" s="30" t="n">
        <v>1389.89</v>
      </c>
      <c r="H80" s="30" t="n">
        <v>72.73</v>
      </c>
      <c r="I80" s="30" t="n">
        <v>3638.63</v>
      </c>
      <c r="J80" s="119" t="n">
        <v>0</v>
      </c>
      <c r="K80" s="34">
        <f>F80*J80</f>
        <v/>
      </c>
      <c r="L80" s="119" t="n">
        <v>0</v>
      </c>
      <c r="M80" s="34">
        <f>L80*F80</f>
        <v/>
      </c>
      <c r="N80" s="119" t="n">
        <v>19</v>
      </c>
      <c r="O80" s="34">
        <f>F80</f>
        <v/>
      </c>
      <c r="P80" s="34">
        <f>N80*O80</f>
        <v/>
      </c>
      <c r="Q80" s="117" t="n">
        <v>0</v>
      </c>
      <c r="R80" s="34">
        <f>F80</f>
        <v/>
      </c>
      <c r="S80" s="34">
        <f>R80*Q80</f>
        <v/>
      </c>
      <c r="T80" s="34" t="n"/>
      <c r="U80" s="34">
        <f>IFERROR(W80/T80,0)</f>
        <v/>
      </c>
      <c r="V80" s="34">
        <f>IF(U80=0,0,U80-F80)</f>
        <v/>
      </c>
      <c r="W80" s="34" t="n"/>
      <c r="X80" s="34" t="n"/>
      <c r="Y80" s="34">
        <f>IFERROR(AA80/X80,0)</f>
        <v/>
      </c>
      <c r="Z80" s="34">
        <f>IF(Y80=0,0,F80-Y80)</f>
        <v/>
      </c>
      <c r="AA80" s="34" t="n"/>
      <c r="AB80" s="34" t="n">
        <v>0</v>
      </c>
      <c r="AC80" s="34" t="n">
        <v>0</v>
      </c>
      <c r="AD80" s="34">
        <f>IF(AB80&gt;AC80*1.05,AB80-AC80*1.05,IF(AB80&lt;AC80*0.95,AC80*0.95-AB80,0))</f>
        <v/>
      </c>
      <c r="AE80" s="34">
        <f>MAX(F80,G80,750)*0.05*AD80</f>
        <v/>
      </c>
      <c r="AF80" s="34" t="n">
        <v>0</v>
      </c>
      <c r="AG80" s="34">
        <f>IF(AB80&gt;AF80*1.05,AB80-AF80*1.05,IF(AB80&lt;AF80*0.95,AF80*0.95-AB80,0))</f>
        <v/>
      </c>
      <c r="AH80" s="34">
        <f>MAX(I80,J80,750)*0.05*AG80</f>
        <v/>
      </c>
      <c r="AI80" t="n">
        <v>10.76</v>
      </c>
      <c r="AJ80" t="n">
        <v>8</v>
      </c>
      <c r="AK80" s="34">
        <f>IF(AI80&gt;AJ80*1.05,AI80-AJ80*1.05,IF(AI80&lt;AJ80*0.95,AJ80*0.95-AI80,0))</f>
        <v/>
      </c>
      <c r="AL80" s="34">
        <f>MAX(F80,G80,750)*0.05*AK80</f>
        <v/>
      </c>
      <c r="AM80" s="39" t="n">
        <v>10</v>
      </c>
      <c r="AN80" s="34">
        <f>IF(AI80&gt;AM80*1.05,AI80-AM80*1.05,IF(AI80&lt;AM80*0.95,AM80*0.95-AI80,0))</f>
        <v/>
      </c>
      <c r="AO80" s="34">
        <f>MAX(F80,G80,750)*0.05*AN80</f>
        <v/>
      </c>
      <c r="AP80" s="34" t="n">
        <v>10.51</v>
      </c>
      <c r="AQ80" s="34" t="n">
        <v>11</v>
      </c>
      <c r="AR80" s="34">
        <f>IF(AP80&gt;AQ80*1.05,AP80-AQ80*1.05,IF(AP80&lt;AQ80*0.95,AQ80*0.95-AP80,0))</f>
        <v/>
      </c>
      <c r="AS80" s="34">
        <f>MAX(F80:G80,750)*0.05*AR80</f>
        <v/>
      </c>
      <c r="AT80" t="n">
        <v>14</v>
      </c>
      <c r="AU80" s="34">
        <f>IF(AP80&gt;AT80*1.05,AP80-AT80*1.05,IF(AP80&lt;AT80*0.95,AT80*0.95-AP80,0))</f>
        <v/>
      </c>
      <c r="AV80" s="34">
        <f>MAX(F80:G80,750)*0.05*AU80</f>
        <v/>
      </c>
      <c r="AW80" s="34">
        <f>AC80+AJ80+AQ80</f>
        <v/>
      </c>
      <c r="AX80" s="34">
        <f>AF80+AM80+AT80</f>
        <v/>
      </c>
      <c r="AY80" s="34">
        <f>AB80+AI80+AP80</f>
        <v/>
      </c>
      <c r="AZ80" s="34" t="n">
        <v>0</v>
      </c>
      <c r="BA80" s="34">
        <f>AD80+AK80+AR80</f>
        <v/>
      </c>
      <c r="BB80" s="34">
        <f>MAX(F80:G80,750)*0.05*BA80</f>
        <v/>
      </c>
      <c r="BC80" s="34">
        <f>AG80+AN80+AU80</f>
        <v/>
      </c>
      <c r="BD80" s="34">
        <f>MAX(F80:G80,750)*0.05*BC80</f>
        <v/>
      </c>
      <c r="BE80" s="34">
        <f>F80*AY80</f>
        <v/>
      </c>
      <c r="BF80" s="34">
        <f>K80-M80</f>
        <v/>
      </c>
      <c r="BG80" s="34">
        <f>P80-S80</f>
        <v/>
      </c>
      <c r="BH80" s="34">
        <f>W80-AA80</f>
        <v/>
      </c>
      <c r="BI80" s="34">
        <f>BF80+BG80+BL80-BN80</f>
        <v/>
      </c>
      <c r="BJ80" s="34">
        <f>ABS(BK80)</f>
        <v/>
      </c>
      <c r="BK80" s="34">
        <f>AY80-(J80-L80+N80-Q80)</f>
        <v/>
      </c>
      <c r="BL80" s="34">
        <f>IF(AND(BK80&gt;0,MIN($F80:$G80)&lt;150,$E80="Enerji Açığı"),-100*BK80*1.03,IF(AND(BK80&gt;0,MIN($F80:$G80)&lt;150,$E80="Enerji Fazlası"),-100*BK80*1.06,IF(AND(BK80&gt;0,MIN($F80:$G80)&gt;=150,$E80="Enerji Açığı"),BK80*MIN($F80:$G80)*0.97,IF(AND(BK80&gt;0,MIN($F80:$G80)&gt;=150,$E80="Enerji Fazlası"),BK80*MIN($F80:$G80)*0.94,IF(AND(BK80&lt;0,MAX($F80:$G80)=4500,$E80="Enerji Açığı"),4500*1.05*1.06*BK80,IF(AND(BK80&lt;0,MAX($F80:$G80)=4500,$E80="Enerji Fazlası"),4500*1.05*1.03*BK80,IF(AND(BK80&lt;0,$E80="Enerji Açığı"),MAX($F80,$G80,150)*BK80*1.06,IF(AND(BK80&lt;0,$E80="Enerji Fazlası"),MAX($F80,$G80,150)*BK80*1.03,IF(AND(BK80&lt;0,$E80="Dengede"),MAX($F80:$G80,150)*1.03*BK80,MIN($F80:$G80)*0.97*BK80)))))))))</f>
        <v/>
      </c>
      <c r="BM80" s="34">
        <f>BE80-BI80-BN80</f>
        <v/>
      </c>
      <c r="BN80" s="34">
        <f>BB80</f>
        <v/>
      </c>
      <c r="BO80" s="34">
        <f>BE80-BI80</f>
        <v/>
      </c>
      <c r="BP80" s="34">
        <f>IF(AY80=0,0,BO80/AY80)</f>
        <v/>
      </c>
      <c r="BQ80" s="34">
        <f>MAX((AY80+MAX((-J80+L80-N80+Q80),0)),(MAX((J80-L80+N80-Q80),0)))</f>
        <v/>
      </c>
      <c r="BR80" s="82">
        <f>IFERROR(ABS(BK80/BQ80),0)</f>
        <v/>
      </c>
      <c r="BS80" s="34">
        <f>IF(BR80&lt;=0.1,0,BK80/BR80*(BR80-0.1))</f>
        <v/>
      </c>
      <c r="BT80" s="34">
        <f>IF((BS80)&lt;0,MAX(F80:G80)*(BS80)*1.03,MIN(F80:G80)*(BS80)*0.97)</f>
        <v/>
      </c>
      <c r="BU80" s="34">
        <f>IF(BR80&gt;0.1,1,0)</f>
        <v/>
      </c>
      <c r="BV80" s="34">
        <f>BF80+BG80+BH80+BY80-CA80</f>
        <v/>
      </c>
      <c r="BW80" s="34">
        <f>ABS(BX80)</f>
        <v/>
      </c>
      <c r="BX80" s="34">
        <f>AY80-(J80-L80+N80-Q80+T80-X80)</f>
        <v/>
      </c>
      <c r="BY80" s="34">
        <f>IF(AND(BX80&gt;0,MIN($F80:$G80)&lt;150,$E80="Enerji Açığı"),-100*BX80*1.03,IF(AND(BX80&gt;0,MIN($F80:$G80)&lt;150,$E80="Enerji Fazlası"),-100*BX80*1.06,IF(AND(BX80&gt;0,MIN($F80:$G80)&gt;=150,$E80="Enerji Açığı"),BX80*MIN($F80:$G80)*0.97,IF(AND(BX80&gt;0,MIN($F80:$G80)&gt;=150,$E80="Enerji Fazlası"),BX80*MIN($F80:$G80)*0.94,IF(AND(BX80&lt;0,MAX($F80:$G80)=4500,$E80="Enerji Açığı"),4500*1.05*1.06*BX80,IF(AND(BX80&lt;0,MAX($F80:$G80)=4500,$E80="Enerji Fazlası"),4500*1.05*1.03*BX80,IF(AND(BX80&lt;0,$E80="Enerji Açığı"),MAX($F80,$G80,150)*BX80*1.06,IF(AND(BX80&lt;0,$E80="Enerji Fazlası"),MAX($F80,$G80,150)*BX80*1.03,IF(AND(BX80&lt;0,$E80="Dengede"),MAX($F80:$G80,150)*1.03*BX80,MIN($F80:$G80)*0.97*BX80)))))))))</f>
        <v/>
      </c>
      <c r="BZ80" s="34">
        <f>BE80-BV80-CA80</f>
        <v/>
      </c>
      <c r="CA80" s="34">
        <f>BD80</f>
        <v/>
      </c>
      <c r="CB80" s="33">
        <f>BE80-BV80</f>
        <v/>
      </c>
      <c r="CC80" s="34">
        <f>IF(AY80=0,0,CB80/AY80)</f>
        <v/>
      </c>
      <c r="CD80" s="34">
        <f>MAX((AY80+MAX((-J80+L80-N80+Q80-T80+X80),0)),(MAX((J80-L80+N80-Q80+T80-X80),0)))</f>
        <v/>
      </c>
      <c r="CE80" s="82">
        <f>IFERROR(ABS(BX80/CD80),0)</f>
        <v/>
      </c>
      <c r="CF80" s="34">
        <f>IF(CE80&lt;=0.1,0,BX80/CE80*(CE80-0.1))</f>
        <v/>
      </c>
      <c r="CG80" s="34">
        <f>IF((CF80)&lt;0,MAX(F80:G80)*(CF80)*1.03,MIN(F80:G80)*(CF80)*0.97)</f>
        <v/>
      </c>
      <c r="CH80" s="34">
        <f>IF(CE80&gt;0.1,1,0)</f>
        <v/>
      </c>
      <c r="CI80" s="34">
        <f>(F80*BX80)-BY80</f>
        <v/>
      </c>
      <c r="CJ80" s="34">
        <f>IF(AY80=0,0,CI80/AY80)</f>
        <v/>
      </c>
    </row>
    <row r="81">
      <c r="A81" s="29" t="n">
        <v>46207.25</v>
      </c>
      <c r="B81" s="29" t="inlineStr">
        <is>
          <t>06:00</t>
        </is>
      </c>
      <c r="C81" s="35">
        <f>INT(A81)</f>
        <v/>
      </c>
      <c r="D81" s="36">
        <f>MONTH(A81)</f>
        <v/>
      </c>
      <c r="E81" s="147" t="inlineStr">
        <is>
          <t>Enerji Fazlası</t>
        </is>
      </c>
      <c r="F81" s="30" t="n">
        <v>2538</v>
      </c>
      <c r="G81" s="30" t="n">
        <v>600</v>
      </c>
      <c r="H81" s="30" t="n">
        <v>54.45</v>
      </c>
      <c r="I81" s="30" t="n">
        <v>2647.38</v>
      </c>
      <c r="J81" s="119" t="n">
        <v>0</v>
      </c>
      <c r="K81" s="34">
        <f>F81*J81</f>
        <v/>
      </c>
      <c r="L81" s="119" t="n">
        <v>0</v>
      </c>
      <c r="M81" s="34">
        <f>L81*F81</f>
        <v/>
      </c>
      <c r="N81" s="119" t="n">
        <v>22.2</v>
      </c>
      <c r="O81" s="34">
        <f>F81</f>
        <v/>
      </c>
      <c r="P81" s="34">
        <f>N81*O81</f>
        <v/>
      </c>
      <c r="Q81" s="117" t="n">
        <v>0</v>
      </c>
      <c r="R81" s="34">
        <f>F81</f>
        <v/>
      </c>
      <c r="S81" s="34">
        <f>R81*Q81</f>
        <v/>
      </c>
      <c r="T81" s="34" t="n"/>
      <c r="U81" s="34">
        <f>IFERROR(W81/T81,0)</f>
        <v/>
      </c>
      <c r="V81" s="34">
        <f>IF(U81=0,0,U81-F81)</f>
        <v/>
      </c>
      <c r="W81" s="34" t="n"/>
      <c r="X81" s="34" t="n"/>
      <c r="Y81" s="34">
        <f>IFERROR(AA81/X81,0)</f>
        <v/>
      </c>
      <c r="Z81" s="34">
        <f>IF(Y81=0,0,F81-Y81)</f>
        <v/>
      </c>
      <c r="AA81" s="34" t="n"/>
      <c r="AB81" s="34" t="n">
        <v>0</v>
      </c>
      <c r="AC81" s="34" t="n">
        <v>0</v>
      </c>
      <c r="AD81" s="34">
        <f>IF(AB81&gt;AC81*1.05,AB81-AC81*1.05,IF(AB81&lt;AC81*0.95,AC81*0.95-AB81,0))</f>
        <v/>
      </c>
      <c r="AE81" s="34">
        <f>MAX(F81,G81,750)*0.05*AD81</f>
        <v/>
      </c>
      <c r="AF81" s="34" t="n">
        <v>0</v>
      </c>
      <c r="AG81" s="34">
        <f>IF(AB81&gt;AF81*1.05,AB81-AF81*1.05,IF(AB81&lt;AF81*0.95,AF81*0.95-AB81,0))</f>
        <v/>
      </c>
      <c r="AH81" s="34">
        <f>MAX(I81,J81,750)*0.05*AG81</f>
        <v/>
      </c>
      <c r="AI81" t="n">
        <v>8.390000000000001</v>
      </c>
      <c r="AJ81" t="n">
        <v>9</v>
      </c>
      <c r="AK81" s="34">
        <f>IF(AI81&gt;AJ81*1.05,AI81-AJ81*1.05,IF(AI81&lt;AJ81*0.95,AJ81*0.95-AI81,0))</f>
        <v/>
      </c>
      <c r="AL81" s="34">
        <f>MAX(F81,G81,750)*0.05*AK81</f>
        <v/>
      </c>
      <c r="AM81" s="39" t="n">
        <v>9</v>
      </c>
      <c r="AN81" s="34">
        <f>IF(AI81&gt;AM81*1.05,AI81-AM81*1.05,IF(AI81&lt;AM81*0.95,AM81*0.95-AI81,0))</f>
        <v/>
      </c>
      <c r="AO81" s="34">
        <f>MAX(F81,G81,750)*0.05*AN81</f>
        <v/>
      </c>
      <c r="AP81" s="34" t="n">
        <v>15.18</v>
      </c>
      <c r="AQ81" s="34" t="n">
        <v>13.2</v>
      </c>
      <c r="AR81" s="34">
        <f>IF(AP81&gt;AQ81*1.05,AP81-AQ81*1.05,IF(AP81&lt;AQ81*0.95,AQ81*0.95-AP81,0))</f>
        <v/>
      </c>
      <c r="AS81" s="34">
        <f>MAX(F81:G81,750)*0.05*AR81</f>
        <v/>
      </c>
      <c r="AT81" t="n">
        <v>14</v>
      </c>
      <c r="AU81" s="34">
        <f>IF(AP81&gt;AT81*1.05,AP81-AT81*1.05,IF(AP81&lt;AT81*0.95,AT81*0.95-AP81,0))</f>
        <v/>
      </c>
      <c r="AV81" s="34">
        <f>MAX(F81:G81,750)*0.05*AU81</f>
        <v/>
      </c>
      <c r="AW81" s="34">
        <f>AC81+AJ81+AQ81</f>
        <v/>
      </c>
      <c r="AX81" s="34">
        <f>AF81+AM81+AT81</f>
        <v/>
      </c>
      <c r="AY81" s="34">
        <f>AB81+AI81+AP81</f>
        <v/>
      </c>
      <c r="AZ81" s="34" t="n">
        <v>0</v>
      </c>
      <c r="BA81" s="34">
        <f>AD81+AK81+AR81</f>
        <v/>
      </c>
      <c r="BB81" s="34">
        <f>MAX(F81:G81,750)*0.05*BA81</f>
        <v/>
      </c>
      <c r="BC81" s="34">
        <f>AG81+AN81+AU81</f>
        <v/>
      </c>
      <c r="BD81" s="34">
        <f>MAX(F81:G81,750)*0.05*BC81</f>
        <v/>
      </c>
      <c r="BE81" s="34">
        <f>F81*AY81</f>
        <v/>
      </c>
      <c r="BF81" s="34">
        <f>K81-M81</f>
        <v/>
      </c>
      <c r="BG81" s="34">
        <f>P81-S81</f>
        <v/>
      </c>
      <c r="BH81" s="34">
        <f>W81-AA81</f>
        <v/>
      </c>
      <c r="BI81" s="34">
        <f>BF81+BG81+BL81-BN81</f>
        <v/>
      </c>
      <c r="BJ81" s="34">
        <f>ABS(BK81)</f>
        <v/>
      </c>
      <c r="BK81" s="34">
        <f>AY81-(J81-L81+N81-Q81)</f>
        <v/>
      </c>
      <c r="BL81" s="34">
        <f>IF(AND(BK81&gt;0,MIN($F81:$G81)&lt;150,$E81="Enerji Açığı"),-100*BK81*1.03,IF(AND(BK81&gt;0,MIN($F81:$G81)&lt;150,$E81="Enerji Fazlası"),-100*BK81*1.06,IF(AND(BK81&gt;0,MIN($F81:$G81)&gt;=150,$E81="Enerji Açığı"),BK81*MIN($F81:$G81)*0.97,IF(AND(BK81&gt;0,MIN($F81:$G81)&gt;=150,$E81="Enerji Fazlası"),BK81*MIN($F81:$G81)*0.94,IF(AND(BK81&lt;0,MAX($F81:$G81)=4500,$E81="Enerji Açığı"),4500*1.05*1.06*BK81,IF(AND(BK81&lt;0,MAX($F81:$G81)=4500,$E81="Enerji Fazlası"),4500*1.05*1.03*BK81,IF(AND(BK81&lt;0,$E81="Enerji Açığı"),MAX($F81,$G81,150)*BK81*1.06,IF(AND(BK81&lt;0,$E81="Enerji Fazlası"),MAX($F81,$G81,150)*BK81*1.03,IF(AND(BK81&lt;0,$E81="Dengede"),MAX($F81:$G81,150)*1.03*BK81,MIN($F81:$G81)*0.97*BK81)))))))))</f>
        <v/>
      </c>
      <c r="BM81" s="34">
        <f>BE81-BI81-BN81</f>
        <v/>
      </c>
      <c r="BN81" s="34">
        <f>BB81</f>
        <v/>
      </c>
      <c r="BO81" s="34">
        <f>BE81-BI81</f>
        <v/>
      </c>
      <c r="BP81" s="34">
        <f>IF(AY81=0,0,BO81/AY81)</f>
        <v/>
      </c>
      <c r="BQ81" s="34">
        <f>MAX((AY81+MAX((-J81+L81-N81+Q81),0)),(MAX((J81-L81+N81-Q81),0)))</f>
        <v/>
      </c>
      <c r="BR81" s="82">
        <f>IFERROR(ABS(BK81/BQ81),0)</f>
        <v/>
      </c>
      <c r="BS81" s="34">
        <f>IF(BR81&lt;=0.1,0,BK81/BR81*(BR81-0.1))</f>
        <v/>
      </c>
      <c r="BT81" s="34">
        <f>IF((BS81)&lt;0,MAX(F81:G81)*(BS81)*1.03,MIN(F81:G81)*(BS81)*0.97)</f>
        <v/>
      </c>
      <c r="BU81" s="34">
        <f>IF(BR81&gt;0.1,1,0)</f>
        <v/>
      </c>
      <c r="BV81" s="34">
        <f>BF81+BG81+BH81+BY81-CA81</f>
        <v/>
      </c>
      <c r="BW81" s="34">
        <f>ABS(BX81)</f>
        <v/>
      </c>
      <c r="BX81" s="34">
        <f>AY81-(J81-L81+N81-Q81+T81-X81)</f>
        <v/>
      </c>
      <c r="BY81" s="34">
        <f>IF(AND(BX81&gt;0,MIN($F81:$G81)&lt;150,$E81="Enerji Açığı"),-100*BX81*1.03,IF(AND(BX81&gt;0,MIN($F81:$G81)&lt;150,$E81="Enerji Fazlası"),-100*BX81*1.06,IF(AND(BX81&gt;0,MIN($F81:$G81)&gt;=150,$E81="Enerji Açığı"),BX81*MIN($F81:$G81)*0.97,IF(AND(BX81&gt;0,MIN($F81:$G81)&gt;=150,$E81="Enerji Fazlası"),BX81*MIN($F81:$G81)*0.94,IF(AND(BX81&lt;0,MAX($F81:$G81)=4500,$E81="Enerji Açığı"),4500*1.05*1.06*BX81,IF(AND(BX81&lt;0,MAX($F81:$G81)=4500,$E81="Enerji Fazlası"),4500*1.05*1.03*BX81,IF(AND(BX81&lt;0,$E81="Enerji Açığı"),MAX($F81,$G81,150)*BX81*1.06,IF(AND(BX81&lt;0,$E81="Enerji Fazlası"),MAX($F81,$G81,150)*BX81*1.03,IF(AND(BX81&lt;0,$E81="Dengede"),MAX($F81:$G81,150)*1.03*BX81,MIN($F81:$G81)*0.97*BX81)))))))))</f>
        <v/>
      </c>
      <c r="BZ81" s="34">
        <f>BE81-BV81-CA81</f>
        <v/>
      </c>
      <c r="CA81" s="34">
        <f>BD81</f>
        <v/>
      </c>
      <c r="CB81" s="33">
        <f>BE81-BV81</f>
        <v/>
      </c>
      <c r="CC81" s="34">
        <f>IF(AY81=0,0,CB81/AY81)</f>
        <v/>
      </c>
      <c r="CD81" s="34">
        <f>MAX((AY81+MAX((-J81+L81-N81+Q81-T81+X81),0)),(MAX((J81-L81+N81-Q81+T81-X81),0)))</f>
        <v/>
      </c>
      <c r="CE81" s="82">
        <f>IFERROR(ABS(BX81/CD81),0)</f>
        <v/>
      </c>
      <c r="CF81" s="34">
        <f>IF(CE81&lt;=0.1,0,BX81/CE81*(CE81-0.1))</f>
        <v/>
      </c>
      <c r="CG81" s="34">
        <f>IF((CF81)&lt;0,MAX(F81:G81)*(CF81)*1.03,MIN(F81:G81)*(CF81)*0.97)</f>
        <v/>
      </c>
      <c r="CH81" s="34">
        <f>IF(CE81&gt;0.1,1,0)</f>
        <v/>
      </c>
      <c r="CI81" s="34">
        <f>(F81*BX81)-BY81</f>
        <v/>
      </c>
      <c r="CJ81" s="34">
        <f>IF(AY81=0,0,CI81/AY81)</f>
        <v/>
      </c>
    </row>
    <row r="82">
      <c r="A82" s="29" t="n">
        <v>46207.29166666666</v>
      </c>
      <c r="B82" s="29" t="inlineStr">
        <is>
          <t>07:00</t>
        </is>
      </c>
      <c r="C82" s="35">
        <f>INT(A82)</f>
        <v/>
      </c>
      <c r="D82" s="36">
        <f>MONTH(A82)</f>
        <v/>
      </c>
      <c r="E82" s="147" t="inlineStr">
        <is>
          <t>Enerji Açığı</t>
        </is>
      </c>
      <c r="F82" s="30" t="n">
        <v>1500</v>
      </c>
      <c r="G82" s="30" t="n">
        <v>2500</v>
      </c>
      <c r="H82" s="30" t="n">
        <v>32.18</v>
      </c>
      <c r="I82" s="30" t="n">
        <v>1590.72</v>
      </c>
      <c r="J82" s="119" t="n">
        <v>0</v>
      </c>
      <c r="K82" s="34">
        <f>F82*J82</f>
        <v/>
      </c>
      <c r="L82" s="119" t="n">
        <v>0</v>
      </c>
      <c r="M82" s="34">
        <f>L82*F82</f>
        <v/>
      </c>
      <c r="N82" s="119" t="n">
        <v>22.5</v>
      </c>
      <c r="O82" s="34">
        <f>F82</f>
        <v/>
      </c>
      <c r="P82" s="34">
        <f>N82*O82</f>
        <v/>
      </c>
      <c r="Q82" s="117" t="n">
        <v>0</v>
      </c>
      <c r="R82" s="34">
        <f>F82</f>
        <v/>
      </c>
      <c r="S82" s="34">
        <f>R82*Q82</f>
        <v/>
      </c>
      <c r="T82" s="34" t="n"/>
      <c r="U82" s="34">
        <f>IFERROR(W82/T82,0)</f>
        <v/>
      </c>
      <c r="V82" s="34">
        <f>IF(U82=0,0,U82-F82)</f>
        <v/>
      </c>
      <c r="W82" s="34" t="n"/>
      <c r="X82" s="34" t="n"/>
      <c r="Y82" s="34">
        <f>IFERROR(AA82/X82,0)</f>
        <v/>
      </c>
      <c r="Z82" s="34">
        <f>IF(Y82=0,0,F82-Y82)</f>
        <v/>
      </c>
      <c r="AA82" s="34" t="n"/>
      <c r="AB82" s="34" t="n">
        <v>0</v>
      </c>
      <c r="AC82" s="34" t="n">
        <v>0</v>
      </c>
      <c r="AD82" s="34">
        <f>IF(AB82&gt;AC82*1.05,AB82-AC82*1.05,IF(AB82&lt;AC82*0.95,AC82*0.95-AB82,0))</f>
        <v/>
      </c>
      <c r="AE82" s="34">
        <f>MAX(F82,G82,750)*0.05*AD82</f>
        <v/>
      </c>
      <c r="AF82" s="34" t="n">
        <v>0</v>
      </c>
      <c r="AG82" s="34">
        <f>IF(AB82&gt;AF82*1.05,AB82-AF82*1.05,IF(AB82&lt;AF82*0.95,AF82*0.95-AB82,0))</f>
        <v/>
      </c>
      <c r="AH82" s="34">
        <f>MAX(I82,J82,750)*0.05*AG82</f>
        <v/>
      </c>
      <c r="AI82" t="n">
        <v>9.23</v>
      </c>
      <c r="AJ82" t="n">
        <v>9</v>
      </c>
      <c r="AK82" s="34">
        <f>IF(AI82&gt;AJ82*1.05,AI82-AJ82*1.05,IF(AI82&lt;AJ82*0.95,AJ82*0.95-AI82,0))</f>
        <v/>
      </c>
      <c r="AL82" s="34">
        <f>MAX(F82,G82,750)*0.05*AK82</f>
        <v/>
      </c>
      <c r="AM82" s="39" t="n">
        <v>9</v>
      </c>
      <c r="AN82" s="34">
        <f>IF(AI82&gt;AM82*1.05,AI82-AM82*1.05,IF(AI82&lt;AM82*0.95,AM82*0.95-AI82,0))</f>
        <v/>
      </c>
      <c r="AO82" s="34">
        <f>MAX(F82,G82,750)*0.05*AN82</f>
        <v/>
      </c>
      <c r="AP82" s="34" t="n">
        <v>13.59</v>
      </c>
      <c r="AQ82" s="34" t="n">
        <v>13.5</v>
      </c>
      <c r="AR82" s="34">
        <f>IF(AP82&gt;AQ82*1.05,AP82-AQ82*1.05,IF(AP82&lt;AQ82*0.95,AQ82*0.95-AP82,0))</f>
        <v/>
      </c>
      <c r="AS82" s="34">
        <f>MAX(F82:G82,750)*0.05*AR82</f>
        <v/>
      </c>
      <c r="AT82" t="n">
        <v>13.5</v>
      </c>
      <c r="AU82" s="34">
        <f>IF(AP82&gt;AT82*1.05,AP82-AT82*1.05,IF(AP82&lt;AT82*0.95,AT82*0.95-AP82,0))</f>
        <v/>
      </c>
      <c r="AV82" s="34">
        <f>MAX(F82:G82,750)*0.05*AU82</f>
        <v/>
      </c>
      <c r="AW82" s="34">
        <f>AC82+AJ82+AQ82</f>
        <v/>
      </c>
      <c r="AX82" s="34">
        <f>AF82+AM82+AT82</f>
        <v/>
      </c>
      <c r="AY82" s="34">
        <f>AB82+AI82+AP82</f>
        <v/>
      </c>
      <c r="AZ82" s="34" t="n">
        <v>0</v>
      </c>
      <c r="BA82" s="34">
        <f>AD82+AK82+AR82</f>
        <v/>
      </c>
      <c r="BB82" s="34">
        <f>MAX(F82:G82,750)*0.05*BA82</f>
        <v/>
      </c>
      <c r="BC82" s="34">
        <f>AG82+AN82+AU82</f>
        <v/>
      </c>
      <c r="BD82" s="34">
        <f>MAX(F82:G82,750)*0.05*BC82</f>
        <v/>
      </c>
      <c r="BE82" s="34">
        <f>F82*AY82</f>
        <v/>
      </c>
      <c r="BF82" s="34">
        <f>K82-M82</f>
        <v/>
      </c>
      <c r="BG82" s="34">
        <f>P82-S82</f>
        <v/>
      </c>
      <c r="BH82" s="34">
        <f>W82-AA82</f>
        <v/>
      </c>
      <c r="BI82" s="34">
        <f>BF82+BG82+BL82-BN82</f>
        <v/>
      </c>
      <c r="BJ82" s="34">
        <f>ABS(BK82)</f>
        <v/>
      </c>
      <c r="BK82" s="34">
        <f>AY82-(J82-L82+N82-Q82)</f>
        <v/>
      </c>
      <c r="BL82" s="34">
        <f>IF(AND(BK82&gt;0,MIN($F82:$G82)&lt;150,$E82="Enerji Açığı"),-100*BK82*1.03,IF(AND(BK82&gt;0,MIN($F82:$G82)&lt;150,$E82="Enerji Fazlası"),-100*BK82*1.06,IF(AND(BK82&gt;0,MIN($F82:$G82)&gt;=150,$E82="Enerji Açığı"),BK82*MIN($F82:$G82)*0.97,IF(AND(BK82&gt;0,MIN($F82:$G82)&gt;=150,$E82="Enerji Fazlası"),BK82*MIN($F82:$G82)*0.94,IF(AND(BK82&lt;0,MAX($F82:$G82)=4500,$E82="Enerji Açığı"),4500*1.05*1.06*BK82,IF(AND(BK82&lt;0,MAX($F82:$G82)=4500,$E82="Enerji Fazlası"),4500*1.05*1.03*BK82,IF(AND(BK82&lt;0,$E82="Enerji Açığı"),MAX($F82,$G82,150)*BK82*1.06,IF(AND(BK82&lt;0,$E82="Enerji Fazlası"),MAX($F82,$G82,150)*BK82*1.03,IF(AND(BK82&lt;0,$E82="Dengede"),MAX($F82:$G82,150)*1.03*BK82,MIN($F82:$G82)*0.97*BK82)))))))))</f>
        <v/>
      </c>
      <c r="BM82" s="34">
        <f>BE82-BI82-BN82</f>
        <v/>
      </c>
      <c r="BN82" s="34">
        <f>BB82</f>
        <v/>
      </c>
      <c r="BO82" s="34">
        <f>BE82-BI82</f>
        <v/>
      </c>
      <c r="BP82" s="34">
        <f>IF(AY82=0,0,BO82/AY82)</f>
        <v/>
      </c>
      <c r="BQ82" s="34">
        <f>MAX((AY82+MAX((-J82+L82-N82+Q82),0)),(MAX((J82-L82+N82-Q82),0)))</f>
        <v/>
      </c>
      <c r="BR82" s="82">
        <f>IFERROR(ABS(BK82/BQ82),0)</f>
        <v/>
      </c>
      <c r="BS82" s="34">
        <f>IF(BR82&lt;=0.1,0,BK82/BR82*(BR82-0.1))</f>
        <v/>
      </c>
      <c r="BT82" s="34">
        <f>IF((BS82)&lt;0,MAX(F82:G82)*(BS82)*1.03,MIN(F82:G82)*(BS82)*0.97)</f>
        <v/>
      </c>
      <c r="BU82" s="34">
        <f>IF(BR82&gt;0.1,1,0)</f>
        <v/>
      </c>
      <c r="BV82" s="34">
        <f>BF82+BG82+BH82+BY82-CA82</f>
        <v/>
      </c>
      <c r="BW82" s="34">
        <f>ABS(BX82)</f>
        <v/>
      </c>
      <c r="BX82" s="34">
        <f>AY82-(J82-L82+N82-Q82+T82-X82)</f>
        <v/>
      </c>
      <c r="BY82" s="34">
        <f>IF(AND(BX82&gt;0,MIN($F82:$G82)&lt;150,$E82="Enerji Açığı"),-100*BX82*1.03,IF(AND(BX82&gt;0,MIN($F82:$G82)&lt;150,$E82="Enerji Fazlası"),-100*BX82*1.06,IF(AND(BX82&gt;0,MIN($F82:$G82)&gt;=150,$E82="Enerji Açığı"),BX82*MIN($F82:$G82)*0.97,IF(AND(BX82&gt;0,MIN($F82:$G82)&gt;=150,$E82="Enerji Fazlası"),BX82*MIN($F82:$G82)*0.94,IF(AND(BX82&lt;0,MAX($F82:$G82)=4500,$E82="Enerji Açığı"),4500*1.05*1.06*BX82,IF(AND(BX82&lt;0,MAX($F82:$G82)=4500,$E82="Enerji Fazlası"),4500*1.05*1.03*BX82,IF(AND(BX82&lt;0,$E82="Enerji Açığı"),MAX($F82,$G82,150)*BX82*1.06,IF(AND(BX82&lt;0,$E82="Enerji Fazlası"),MAX($F82,$G82,150)*BX82*1.03,IF(AND(BX82&lt;0,$E82="Dengede"),MAX($F82:$G82,150)*1.03*BX82,MIN($F82:$G82)*0.97*BX82)))))))))</f>
        <v/>
      </c>
      <c r="BZ82" s="34">
        <f>BE82-BV82-CA82</f>
        <v/>
      </c>
      <c r="CA82" s="34">
        <f>BD82</f>
        <v/>
      </c>
      <c r="CB82" s="33">
        <f>BE82-BV82</f>
        <v/>
      </c>
      <c r="CC82" s="34">
        <f>IF(AY82=0,0,CB82/AY82)</f>
        <v/>
      </c>
      <c r="CD82" s="34">
        <f>MAX((AY82+MAX((-J82+L82-N82+Q82-T82+X82),0)),(MAX((J82-L82+N82-Q82+T82-X82),0)))</f>
        <v/>
      </c>
      <c r="CE82" s="82">
        <f>IFERROR(ABS(BX82/CD82),0)</f>
        <v/>
      </c>
      <c r="CF82" s="34">
        <f>IF(CE82&lt;=0.1,0,BX82/CE82*(CE82-0.1))</f>
        <v/>
      </c>
      <c r="CG82" s="34">
        <f>IF((CF82)&lt;0,MAX(F82:G82)*(CF82)*1.03,MIN(F82:G82)*(CF82)*0.97)</f>
        <v/>
      </c>
      <c r="CH82" s="34">
        <f>IF(CE82&gt;0.1,1,0)</f>
        <v/>
      </c>
      <c r="CI82" s="34">
        <f>(F82*BX82)-BY82</f>
        <v/>
      </c>
      <c r="CJ82" s="34">
        <f>IF(AY82=0,0,CI82/AY82)</f>
        <v/>
      </c>
    </row>
    <row r="83">
      <c r="A83" s="29" t="n">
        <v>46207.33333333334</v>
      </c>
      <c r="B83" s="29" t="inlineStr">
        <is>
          <t>08:00</t>
        </is>
      </c>
      <c r="C83" s="35">
        <f>INT(A83)</f>
        <v/>
      </c>
      <c r="D83" s="36">
        <f>MONTH(A83)</f>
        <v/>
      </c>
      <c r="E83" s="147" t="inlineStr">
        <is>
          <t>Enerji Açığı</t>
        </is>
      </c>
      <c r="F83" s="30" t="n">
        <v>1850</v>
      </c>
      <c r="G83" s="30" t="n">
        <v>2277</v>
      </c>
      <c r="H83" s="30" t="n">
        <v>39.69</v>
      </c>
      <c r="I83" s="30" t="n">
        <v>2266.68</v>
      </c>
      <c r="J83" s="119" t="n">
        <v>0</v>
      </c>
      <c r="K83" s="34">
        <f>F83*J83</f>
        <v/>
      </c>
      <c r="L83" s="119" t="n">
        <v>0</v>
      </c>
      <c r="M83" s="34">
        <f>L83*F83</f>
        <v/>
      </c>
      <c r="N83" s="119" t="n">
        <v>24</v>
      </c>
      <c r="O83" s="34">
        <f>F83</f>
        <v/>
      </c>
      <c r="P83" s="34">
        <f>N83*O83</f>
        <v/>
      </c>
      <c r="Q83" s="117" t="n">
        <v>0</v>
      </c>
      <c r="R83" s="34">
        <f>F83</f>
        <v/>
      </c>
      <c r="S83" s="34">
        <f>R83*Q83</f>
        <v/>
      </c>
      <c r="T83" s="34" t="n"/>
      <c r="U83" s="34">
        <f>IFERROR(W83/T83,0)</f>
        <v/>
      </c>
      <c r="V83" s="34">
        <f>IF(U83=0,0,U83-F83)</f>
        <v/>
      </c>
      <c r="W83" s="34" t="n"/>
      <c r="X83" s="34" t="n"/>
      <c r="Y83" s="34">
        <f>IFERROR(AA83/X83,0)</f>
        <v/>
      </c>
      <c r="Z83" s="34">
        <f>IF(Y83=0,0,F83-Y83)</f>
        <v/>
      </c>
      <c r="AA83" s="34" t="n"/>
      <c r="AB83" s="34" t="n">
        <v>0</v>
      </c>
      <c r="AC83" s="34" t="n">
        <v>0</v>
      </c>
      <c r="AD83" s="34">
        <f>IF(AB83&gt;AC83*1.05,AB83-AC83*1.05,IF(AB83&lt;AC83*0.95,AC83*0.95-AB83,0))</f>
        <v/>
      </c>
      <c r="AE83" s="34">
        <f>MAX(F83,G83,750)*0.05*AD83</f>
        <v/>
      </c>
      <c r="AF83" s="34" t="n">
        <v>0</v>
      </c>
      <c r="AG83" s="34">
        <f>IF(AB83&gt;AF83*1.05,AB83-AF83*1.05,IF(AB83&lt;AF83*0.95,AF83*0.95-AB83,0))</f>
        <v/>
      </c>
      <c r="AH83" s="34">
        <f>MAX(I83,J83,750)*0.05*AG83</f>
        <v/>
      </c>
      <c r="AI83" t="n">
        <v>10.09</v>
      </c>
      <c r="AJ83" t="n">
        <v>9</v>
      </c>
      <c r="AK83" s="34">
        <f>IF(AI83&gt;AJ83*1.05,AI83-AJ83*1.05,IF(AI83&lt;AJ83*0.95,AJ83*0.95-AI83,0))</f>
        <v/>
      </c>
      <c r="AL83" s="34">
        <f>MAX(F83,G83,750)*0.05*AK83</f>
        <v/>
      </c>
      <c r="AM83" s="39" t="n">
        <v>9</v>
      </c>
      <c r="AN83" s="34">
        <f>IF(AI83&gt;AM83*1.05,AI83-AM83*1.05,IF(AI83&lt;AM83*0.95,AM83*0.95-AI83,0))</f>
        <v/>
      </c>
      <c r="AO83" s="34">
        <f>MAX(F83,G83,750)*0.05*AN83</f>
        <v/>
      </c>
      <c r="AP83" s="34" t="n">
        <v>15.26</v>
      </c>
      <c r="AQ83" s="34" t="n">
        <v>15</v>
      </c>
      <c r="AR83" s="34">
        <f>IF(AP83&gt;AQ83*1.05,AP83-AQ83*1.05,IF(AP83&lt;AQ83*0.95,AQ83*0.95-AP83,0))</f>
        <v/>
      </c>
      <c r="AS83" s="34">
        <f>MAX(F83:G83,750)*0.05*AR83</f>
        <v/>
      </c>
      <c r="AT83" t="n">
        <v>15</v>
      </c>
      <c r="AU83" s="34">
        <f>IF(AP83&gt;AT83*1.05,AP83-AT83*1.05,IF(AP83&lt;AT83*0.95,AT83*0.95-AP83,0))</f>
        <v/>
      </c>
      <c r="AV83" s="34">
        <f>MAX(F83:G83,750)*0.05*AU83</f>
        <v/>
      </c>
      <c r="AW83" s="34">
        <f>AC83+AJ83+AQ83</f>
        <v/>
      </c>
      <c r="AX83" s="34">
        <f>AF83+AM83+AT83</f>
        <v/>
      </c>
      <c r="AY83" s="34">
        <f>AB83+AI83+AP83</f>
        <v/>
      </c>
      <c r="AZ83" s="34" t="n">
        <v>0</v>
      </c>
      <c r="BA83" s="34">
        <f>AD83+AK83+AR83</f>
        <v/>
      </c>
      <c r="BB83" s="34">
        <f>MAX(F83:G83,750)*0.05*BA83</f>
        <v/>
      </c>
      <c r="BC83" s="34">
        <f>AG83+AN83+AU83</f>
        <v/>
      </c>
      <c r="BD83" s="34">
        <f>MAX(F83:G83,750)*0.05*BC83</f>
        <v/>
      </c>
      <c r="BE83" s="34">
        <f>F83*AY83</f>
        <v/>
      </c>
      <c r="BF83" s="34">
        <f>K83-M83</f>
        <v/>
      </c>
      <c r="BG83" s="34">
        <f>P83-S83</f>
        <v/>
      </c>
      <c r="BH83" s="34">
        <f>W83-AA83</f>
        <v/>
      </c>
      <c r="BI83" s="34">
        <f>BF83+BG83+BL83-BN83</f>
        <v/>
      </c>
      <c r="BJ83" s="34">
        <f>ABS(BK83)</f>
        <v/>
      </c>
      <c r="BK83" s="34">
        <f>AY83-(J83-L83+N83-Q83)</f>
        <v/>
      </c>
      <c r="BL83" s="34">
        <f>IF(AND(BK83&gt;0,MIN($F83:$G83)&lt;150,$E83="Enerji Açığı"),-100*BK83*1.03,IF(AND(BK83&gt;0,MIN($F83:$G83)&lt;150,$E83="Enerji Fazlası"),-100*BK83*1.06,IF(AND(BK83&gt;0,MIN($F83:$G83)&gt;=150,$E83="Enerji Açığı"),BK83*MIN($F83:$G83)*0.97,IF(AND(BK83&gt;0,MIN($F83:$G83)&gt;=150,$E83="Enerji Fazlası"),BK83*MIN($F83:$G83)*0.94,IF(AND(BK83&lt;0,MAX($F83:$G83)=4500,$E83="Enerji Açığı"),4500*1.05*1.06*BK83,IF(AND(BK83&lt;0,MAX($F83:$G83)=4500,$E83="Enerji Fazlası"),4500*1.05*1.03*BK83,IF(AND(BK83&lt;0,$E83="Enerji Açığı"),MAX($F83,$G83,150)*BK83*1.06,IF(AND(BK83&lt;0,$E83="Enerji Fazlası"),MAX($F83,$G83,150)*BK83*1.03,IF(AND(BK83&lt;0,$E83="Dengede"),MAX($F83:$G83,150)*1.03*BK83,MIN($F83:$G83)*0.97*BK83)))))))))</f>
        <v/>
      </c>
      <c r="BM83" s="34">
        <f>BE83-BI83-BN83</f>
        <v/>
      </c>
      <c r="BN83" s="34">
        <f>BB83</f>
        <v/>
      </c>
      <c r="BO83" s="34">
        <f>BE83-BI83</f>
        <v/>
      </c>
      <c r="BP83" s="34">
        <f>IF(AY83=0,0,BO83/AY83)</f>
        <v/>
      </c>
      <c r="BQ83" s="34">
        <f>MAX((AY83+MAX((-J83+L83-N83+Q83),0)),(MAX((J83-L83+N83-Q83),0)))</f>
        <v/>
      </c>
      <c r="BR83" s="82">
        <f>IFERROR(ABS(BK83/BQ83),0)</f>
        <v/>
      </c>
      <c r="BS83" s="34">
        <f>IF(BR83&lt;=0.1,0,BK83/BR83*(BR83-0.1))</f>
        <v/>
      </c>
      <c r="BT83" s="34">
        <f>IF((BS83)&lt;0,MAX(F83:G83)*(BS83)*1.03,MIN(F83:G83)*(BS83)*0.97)</f>
        <v/>
      </c>
      <c r="BU83" s="34">
        <f>IF(BR83&gt;0.1,1,0)</f>
        <v/>
      </c>
      <c r="BV83" s="34">
        <f>BF83+BG83+BH83+BY83-CA83</f>
        <v/>
      </c>
      <c r="BW83" s="34">
        <f>ABS(BX83)</f>
        <v/>
      </c>
      <c r="BX83" s="34">
        <f>AY83-(J83-L83+N83-Q83+T83-X83)</f>
        <v/>
      </c>
      <c r="BY83" s="34">
        <f>IF(AND(BX83&gt;0,MIN($F83:$G83)&lt;150,$E83="Enerji Açığı"),-100*BX83*1.03,IF(AND(BX83&gt;0,MIN($F83:$G83)&lt;150,$E83="Enerji Fazlası"),-100*BX83*1.06,IF(AND(BX83&gt;0,MIN($F83:$G83)&gt;=150,$E83="Enerji Açığı"),BX83*MIN($F83:$G83)*0.97,IF(AND(BX83&gt;0,MIN($F83:$G83)&gt;=150,$E83="Enerji Fazlası"),BX83*MIN($F83:$G83)*0.94,IF(AND(BX83&lt;0,MAX($F83:$G83)=4500,$E83="Enerji Açığı"),4500*1.05*1.06*BX83,IF(AND(BX83&lt;0,MAX($F83:$G83)=4500,$E83="Enerji Fazlası"),4500*1.05*1.03*BX83,IF(AND(BX83&lt;0,$E83="Enerji Açığı"),MAX($F83,$G83,150)*BX83*1.06,IF(AND(BX83&lt;0,$E83="Enerji Fazlası"),MAX($F83,$G83,150)*BX83*1.03,IF(AND(BX83&lt;0,$E83="Dengede"),MAX($F83:$G83,150)*1.03*BX83,MIN($F83:$G83)*0.97*BX83)))))))))</f>
        <v/>
      </c>
      <c r="BZ83" s="34">
        <f>BE83-BV83-CA83</f>
        <v/>
      </c>
      <c r="CA83" s="34">
        <f>BD83</f>
        <v/>
      </c>
      <c r="CB83" s="33">
        <f>BE83-BV83</f>
        <v/>
      </c>
      <c r="CC83" s="34">
        <f>IF(AY83=0,0,CB83/AY83)</f>
        <v/>
      </c>
      <c r="CD83" s="34">
        <f>MAX((AY83+MAX((-J83+L83-N83+Q83-T83+X83),0)),(MAX((J83-L83+N83-Q83+T83-X83),0)))</f>
        <v/>
      </c>
      <c r="CE83" s="82">
        <f>IFERROR(ABS(BX83/CD83),0)</f>
        <v/>
      </c>
      <c r="CF83" s="34">
        <f>IF(CE83&lt;=0.1,0,BX83/CE83*(CE83-0.1))</f>
        <v/>
      </c>
      <c r="CG83" s="34">
        <f>IF((CF83)&lt;0,MAX(F83:G83)*(CF83)*1.03,MIN(F83:G83)*(CF83)*0.97)</f>
        <v/>
      </c>
      <c r="CH83" s="34">
        <f>IF(CE83&gt;0.1,1,0)</f>
        <v/>
      </c>
      <c r="CI83" s="34">
        <f>(F83*BX83)-BY83</f>
        <v/>
      </c>
      <c r="CJ83" s="34">
        <f>IF(AY83=0,0,CI83/AY83)</f>
        <v/>
      </c>
    </row>
    <row r="84">
      <c r="A84" s="29" t="n">
        <v>46207.375</v>
      </c>
      <c r="B84" s="29" t="inlineStr">
        <is>
          <t>09:00</t>
        </is>
      </c>
      <c r="C84" s="35">
        <f>INT(A84)</f>
        <v/>
      </c>
      <c r="D84" s="36">
        <f>MONTH(A84)</f>
        <v/>
      </c>
      <c r="E84" s="147" t="inlineStr">
        <is>
          <t>Enerji Açığı</t>
        </is>
      </c>
      <c r="F84" s="30" t="n">
        <v>1764.01</v>
      </c>
      <c r="G84" s="30" t="n">
        <v>2500.01</v>
      </c>
      <c r="H84" s="30" t="n">
        <v>37.85</v>
      </c>
      <c r="I84" s="30" t="n">
        <v>2315.19</v>
      </c>
      <c r="J84" s="119" t="n">
        <v>0</v>
      </c>
      <c r="K84" s="34">
        <f>F84*J84</f>
        <v/>
      </c>
      <c r="L84" s="119" t="n">
        <v>0</v>
      </c>
      <c r="M84" s="34">
        <f>L84*F84</f>
        <v/>
      </c>
      <c r="N84" s="119" t="n">
        <v>24</v>
      </c>
      <c r="O84" s="34">
        <f>F84</f>
        <v/>
      </c>
      <c r="P84" s="34">
        <f>N84*O84</f>
        <v/>
      </c>
      <c r="Q84" s="117" t="n">
        <v>0</v>
      </c>
      <c r="R84" s="34">
        <f>F84</f>
        <v/>
      </c>
      <c r="S84" s="34">
        <f>R84*Q84</f>
        <v/>
      </c>
      <c r="T84" s="34" t="n"/>
      <c r="U84" s="34">
        <f>IFERROR(W84/T84,0)</f>
        <v/>
      </c>
      <c r="V84" s="34">
        <f>IF(U84=0,0,U84-F84)</f>
        <v/>
      </c>
      <c r="W84" s="34" t="n"/>
      <c r="X84" s="34" t="n"/>
      <c r="Y84" s="34">
        <f>IFERROR(AA84/X84,0)</f>
        <v/>
      </c>
      <c r="Z84" s="34">
        <f>IF(Y84=0,0,F84-Y84)</f>
        <v/>
      </c>
      <c r="AA84" s="34" t="n"/>
      <c r="AB84" s="34" t="n">
        <v>0</v>
      </c>
      <c r="AC84" s="34" t="n">
        <v>0</v>
      </c>
      <c r="AD84" s="34">
        <f>IF(AB84&gt;AC84*1.05,AB84-AC84*1.05,IF(AB84&lt;AC84*0.95,AC84*0.95-AB84,0))</f>
        <v/>
      </c>
      <c r="AE84" s="34">
        <f>MAX(F84,G84,750)*0.05*AD84</f>
        <v/>
      </c>
      <c r="AF84" s="34" t="n">
        <v>0</v>
      </c>
      <c r="AG84" s="34">
        <f>IF(AB84&gt;AF84*1.05,AB84-AF84*1.05,IF(AB84&lt;AF84*0.95,AF84*0.95-AB84,0))</f>
        <v/>
      </c>
      <c r="AH84" s="34">
        <f>MAX(I84,J84,750)*0.05*AG84</f>
        <v/>
      </c>
      <c r="AI84" t="n">
        <v>9.289999999999999</v>
      </c>
      <c r="AJ84" t="n">
        <v>9</v>
      </c>
      <c r="AK84" s="34">
        <f>IF(AI84&gt;AJ84*1.05,AI84-AJ84*1.05,IF(AI84&lt;AJ84*0.95,AJ84*0.95-AI84,0))</f>
        <v/>
      </c>
      <c r="AL84" s="34">
        <f>MAX(F84,G84,750)*0.05*AK84</f>
        <v/>
      </c>
      <c r="AM84" s="39" t="n">
        <v>9</v>
      </c>
      <c r="AN84" s="34">
        <f>IF(AI84&gt;AM84*1.05,AI84-AM84*1.05,IF(AI84&lt;AM84*0.95,AM84*0.95-AI84,0))</f>
        <v/>
      </c>
      <c r="AO84" s="34">
        <f>MAX(F84,G84,750)*0.05*AN84</f>
        <v/>
      </c>
      <c r="AP84" s="34" t="n">
        <v>15.16</v>
      </c>
      <c r="AQ84" s="34" t="n">
        <v>15</v>
      </c>
      <c r="AR84" s="34">
        <f>IF(AP84&gt;AQ84*1.05,AP84-AQ84*1.05,IF(AP84&lt;AQ84*0.95,AQ84*0.95-AP84,0))</f>
        <v/>
      </c>
      <c r="AS84" s="34">
        <f>MAX(F84:G84,750)*0.05*AR84</f>
        <v/>
      </c>
      <c r="AT84" t="n">
        <v>15</v>
      </c>
      <c r="AU84" s="34">
        <f>IF(AP84&gt;AT84*1.05,AP84-AT84*1.05,IF(AP84&lt;AT84*0.95,AT84*0.95-AP84,0))</f>
        <v/>
      </c>
      <c r="AV84" s="34">
        <f>MAX(F84:G84,750)*0.05*AU84</f>
        <v/>
      </c>
      <c r="AW84" s="34">
        <f>AC84+AJ84+AQ84</f>
        <v/>
      </c>
      <c r="AX84" s="34">
        <f>AF84+AM84+AT84</f>
        <v/>
      </c>
      <c r="AY84" s="34">
        <f>AB84+AI84+AP84</f>
        <v/>
      </c>
      <c r="AZ84" s="34" t="n">
        <v>0</v>
      </c>
      <c r="BA84" s="34">
        <f>AD84+AK84+AR84</f>
        <v/>
      </c>
      <c r="BB84" s="34">
        <f>MAX(F84:G84,750)*0.05*BA84</f>
        <v/>
      </c>
      <c r="BC84" s="34">
        <f>AG84+AN84+AU84</f>
        <v/>
      </c>
      <c r="BD84" s="34">
        <f>MAX(F84:G84,750)*0.05*BC84</f>
        <v/>
      </c>
      <c r="BE84" s="34">
        <f>F84*AY84</f>
        <v/>
      </c>
      <c r="BF84" s="34">
        <f>K84-M84</f>
        <v/>
      </c>
      <c r="BG84" s="34">
        <f>P84-S84</f>
        <v/>
      </c>
      <c r="BH84" s="34">
        <f>W84-AA84</f>
        <v/>
      </c>
      <c r="BI84" s="34">
        <f>BF84+BG84+BL84-BN84</f>
        <v/>
      </c>
      <c r="BJ84" s="34">
        <f>ABS(BK84)</f>
        <v/>
      </c>
      <c r="BK84" s="34">
        <f>AY84-(J84-L84+N84-Q84)</f>
        <v/>
      </c>
      <c r="BL84" s="34">
        <f>IF(AND(BK84&gt;0,MIN($F84:$G84)&lt;150,$E84="Enerji Açığı"),-100*BK84*1.03,IF(AND(BK84&gt;0,MIN($F84:$G84)&lt;150,$E84="Enerji Fazlası"),-100*BK84*1.06,IF(AND(BK84&gt;0,MIN($F84:$G84)&gt;=150,$E84="Enerji Açığı"),BK84*MIN($F84:$G84)*0.97,IF(AND(BK84&gt;0,MIN($F84:$G84)&gt;=150,$E84="Enerji Fazlası"),BK84*MIN($F84:$G84)*0.94,IF(AND(BK84&lt;0,MAX($F84:$G84)=4500,$E84="Enerji Açığı"),4500*1.05*1.06*BK84,IF(AND(BK84&lt;0,MAX($F84:$G84)=4500,$E84="Enerji Fazlası"),4500*1.05*1.03*BK84,IF(AND(BK84&lt;0,$E84="Enerji Açığı"),MAX($F84,$G84,150)*BK84*1.06,IF(AND(BK84&lt;0,$E84="Enerji Fazlası"),MAX($F84,$G84,150)*BK84*1.03,IF(AND(BK84&lt;0,$E84="Dengede"),MAX($F84:$G84,150)*1.03*BK84,MIN($F84:$G84)*0.97*BK84)))))))))</f>
        <v/>
      </c>
      <c r="BM84" s="34">
        <f>BE84-BI84-BN84</f>
        <v/>
      </c>
      <c r="BN84" s="34">
        <f>BB84</f>
        <v/>
      </c>
      <c r="BO84" s="34">
        <f>BE84-BI84</f>
        <v/>
      </c>
      <c r="BP84" s="34">
        <f>IF(AY84=0,0,BO84/AY84)</f>
        <v/>
      </c>
      <c r="BQ84" s="34">
        <f>MAX((AY84+MAX((-J84+L84-N84+Q84),0)),(MAX((J84-L84+N84-Q84),0)))</f>
        <v/>
      </c>
      <c r="BR84" s="82">
        <f>IFERROR(ABS(BK84/BQ84),0)</f>
        <v/>
      </c>
      <c r="BS84" s="34">
        <f>IF(BR84&lt;=0.1,0,BK84/BR84*(BR84-0.1))</f>
        <v/>
      </c>
      <c r="BT84" s="34">
        <f>IF((BS84)&lt;0,MAX(F84:G84)*(BS84)*1.03,MIN(F84:G84)*(BS84)*0.97)</f>
        <v/>
      </c>
      <c r="BU84" s="34">
        <f>IF(BR84&gt;0.1,1,0)</f>
        <v/>
      </c>
      <c r="BV84" s="34">
        <f>BF84+BG84+BH84+BY84-CA84</f>
        <v/>
      </c>
      <c r="BW84" s="34">
        <f>ABS(BX84)</f>
        <v/>
      </c>
      <c r="BX84" s="34">
        <f>AY84-(J84-L84+N84-Q84+T84-X84)</f>
        <v/>
      </c>
      <c r="BY84" s="34">
        <f>IF(AND(BX84&gt;0,MIN($F84:$G84)&lt;150,$E84="Enerji Açığı"),-100*BX84*1.03,IF(AND(BX84&gt;0,MIN($F84:$G84)&lt;150,$E84="Enerji Fazlası"),-100*BX84*1.06,IF(AND(BX84&gt;0,MIN($F84:$G84)&gt;=150,$E84="Enerji Açığı"),BX84*MIN($F84:$G84)*0.97,IF(AND(BX84&gt;0,MIN($F84:$G84)&gt;=150,$E84="Enerji Fazlası"),BX84*MIN($F84:$G84)*0.94,IF(AND(BX84&lt;0,MAX($F84:$G84)=4500,$E84="Enerji Açığı"),4500*1.05*1.06*BX84,IF(AND(BX84&lt;0,MAX($F84:$G84)=4500,$E84="Enerji Fazlası"),4500*1.05*1.03*BX84,IF(AND(BX84&lt;0,$E84="Enerji Açığı"),MAX($F84,$G84,150)*BX84*1.06,IF(AND(BX84&lt;0,$E84="Enerji Fazlası"),MAX($F84,$G84,150)*BX84*1.03,IF(AND(BX84&lt;0,$E84="Dengede"),MAX($F84:$G84,150)*1.03*BX84,MIN($F84:$G84)*0.97*BX84)))))))))</f>
        <v/>
      </c>
      <c r="BZ84" s="34">
        <f>BE84-BV84-CA84</f>
        <v/>
      </c>
      <c r="CA84" s="34">
        <f>BD84</f>
        <v/>
      </c>
      <c r="CB84" s="33">
        <f>BE84-BV84</f>
        <v/>
      </c>
      <c r="CC84" s="34">
        <f>IF(AY84=0,0,CB84/AY84)</f>
        <v/>
      </c>
      <c r="CD84" s="34">
        <f>MAX((AY84+MAX((-J84+L84-N84+Q84-T84+X84),0)),(MAX((J84-L84+N84-Q84+T84-X84),0)))</f>
        <v/>
      </c>
      <c r="CE84" s="82">
        <f>IFERROR(ABS(BX84/CD84),0)</f>
        <v/>
      </c>
      <c r="CF84" s="34">
        <f>IF(CE84&lt;=0.1,0,BX84/CE84*(CE84-0.1))</f>
        <v/>
      </c>
      <c r="CG84" s="34">
        <f>IF((CF84)&lt;0,MAX(F84:G84)*(CF84)*1.03,MIN(F84:G84)*(CF84)*0.97)</f>
        <v/>
      </c>
      <c r="CH84" s="34">
        <f>IF(CE84&gt;0.1,1,0)</f>
        <v/>
      </c>
      <c r="CI84" s="34">
        <f>(F84*BX84)-BY84</f>
        <v/>
      </c>
      <c r="CJ84" s="34">
        <f>IF(AY84=0,0,CI84/AY84)</f>
        <v/>
      </c>
    </row>
    <row r="85">
      <c r="A85" s="29" t="n">
        <v>46207.41666666666</v>
      </c>
      <c r="B85" s="29" t="inlineStr">
        <is>
          <t>10:00</t>
        </is>
      </c>
      <c r="C85" s="35">
        <f>INT(A85)</f>
        <v/>
      </c>
      <c r="D85" s="36">
        <f>MONTH(A85)</f>
        <v/>
      </c>
      <c r="E85" s="147" t="inlineStr">
        <is>
          <t>Enerji Açığı</t>
        </is>
      </c>
      <c r="F85" s="30" t="n">
        <v>1499.97</v>
      </c>
      <c r="G85" s="30" t="n">
        <v>2235.63</v>
      </c>
      <c r="H85" s="30" t="n">
        <v>32.18</v>
      </c>
      <c r="I85" s="30" t="n">
        <v>1467.09</v>
      </c>
      <c r="J85" s="119" t="n">
        <v>0</v>
      </c>
      <c r="K85" s="34">
        <f>F85*J85</f>
        <v/>
      </c>
      <c r="L85" s="119" t="n">
        <v>0</v>
      </c>
      <c r="M85" s="34">
        <f>L85*F85</f>
        <v/>
      </c>
      <c r="N85" s="119" t="n">
        <v>25.3</v>
      </c>
      <c r="O85" s="34">
        <f>F85</f>
        <v/>
      </c>
      <c r="P85" s="34">
        <f>N85*O85</f>
        <v/>
      </c>
      <c r="Q85" s="117" t="n">
        <v>0</v>
      </c>
      <c r="R85" s="34">
        <f>F85</f>
        <v/>
      </c>
      <c r="S85" s="34">
        <f>R85*Q85</f>
        <v/>
      </c>
      <c r="T85" s="34" t="n"/>
      <c r="U85" s="34">
        <f>IFERROR(W85/T85,0)</f>
        <v/>
      </c>
      <c r="V85" s="34">
        <f>IF(U85=0,0,U85-F85)</f>
        <v/>
      </c>
      <c r="W85" s="34" t="n"/>
      <c r="X85" s="34" t="n"/>
      <c r="Y85" s="34">
        <f>IFERROR(AA85/X85,0)</f>
        <v/>
      </c>
      <c r="Z85" s="34">
        <f>IF(Y85=0,0,F85-Y85)</f>
        <v/>
      </c>
      <c r="AA85" s="34" t="n"/>
      <c r="AB85" s="34" t="n">
        <v>0</v>
      </c>
      <c r="AC85" s="34" t="n">
        <v>0</v>
      </c>
      <c r="AD85" s="34">
        <f>IF(AB85&gt;AC85*1.05,AB85-AC85*1.05,IF(AB85&lt;AC85*0.95,AC85*0.95-AB85,0))</f>
        <v/>
      </c>
      <c r="AE85" s="34">
        <f>MAX(F85,G85,750)*0.05*AD85</f>
        <v/>
      </c>
      <c r="AF85" s="34" t="n">
        <v>0</v>
      </c>
      <c r="AG85" s="34">
        <f>IF(AB85&gt;AF85*1.05,AB85-AF85*1.05,IF(AB85&lt;AF85*0.95,AF85*0.95-AB85,0))</f>
        <v/>
      </c>
      <c r="AH85" s="34">
        <f>MAX(I85,J85,750)*0.05*AG85</f>
        <v/>
      </c>
      <c r="AI85" t="n">
        <v>10.21</v>
      </c>
      <c r="AJ85" t="n">
        <v>10</v>
      </c>
      <c r="AK85" s="34">
        <f>IF(AI85&gt;AJ85*1.05,AI85-AJ85*1.05,IF(AI85&lt;AJ85*0.95,AJ85*0.95-AI85,0))</f>
        <v/>
      </c>
      <c r="AL85" s="34">
        <f>MAX(F85,G85,750)*0.05*AK85</f>
        <v/>
      </c>
      <c r="AM85" s="39" t="n">
        <v>10</v>
      </c>
      <c r="AN85" s="34">
        <f>IF(AI85&gt;AM85*1.05,AI85-AM85*1.05,IF(AI85&lt;AM85*0.95,AM85*0.95-AI85,0))</f>
        <v/>
      </c>
      <c r="AO85" s="34">
        <f>MAX(F85,G85,750)*0.05*AN85</f>
        <v/>
      </c>
      <c r="AP85" s="34" t="n">
        <v>15.37</v>
      </c>
      <c r="AQ85" s="34" t="n">
        <v>15.3</v>
      </c>
      <c r="AR85" s="34">
        <f>IF(AP85&gt;AQ85*1.05,AP85-AQ85*1.05,IF(AP85&lt;AQ85*0.95,AQ85*0.95-AP85,0))</f>
        <v/>
      </c>
      <c r="AS85" s="34">
        <f>MAX(F85:G85,750)*0.05*AR85</f>
        <v/>
      </c>
      <c r="AT85" t="n">
        <v>15.3</v>
      </c>
      <c r="AU85" s="34">
        <f>IF(AP85&gt;AT85*1.05,AP85-AT85*1.05,IF(AP85&lt;AT85*0.95,AT85*0.95-AP85,0))</f>
        <v/>
      </c>
      <c r="AV85" s="34">
        <f>MAX(F85:G85,750)*0.05*AU85</f>
        <v/>
      </c>
      <c r="AW85" s="34">
        <f>AC85+AJ85+AQ85</f>
        <v/>
      </c>
      <c r="AX85" s="34">
        <f>AF85+AM85+AT85</f>
        <v/>
      </c>
      <c r="AY85" s="34">
        <f>AB85+AI85+AP85</f>
        <v/>
      </c>
      <c r="AZ85" s="34" t="n">
        <v>0</v>
      </c>
      <c r="BA85" s="34">
        <f>AD85+AK85+AR85</f>
        <v/>
      </c>
      <c r="BB85" s="34">
        <f>MAX(F85:G85,750)*0.05*BA85</f>
        <v/>
      </c>
      <c r="BC85" s="34">
        <f>AG85+AN85+AU85</f>
        <v/>
      </c>
      <c r="BD85" s="34">
        <f>MAX(F85:G85,750)*0.05*BC85</f>
        <v/>
      </c>
      <c r="BE85" s="34">
        <f>F85*AY85</f>
        <v/>
      </c>
      <c r="BF85" s="34">
        <f>K85-M85</f>
        <v/>
      </c>
      <c r="BG85" s="34">
        <f>P85-S85</f>
        <v/>
      </c>
      <c r="BH85" s="34">
        <f>W85-AA85</f>
        <v/>
      </c>
      <c r="BI85" s="34">
        <f>BF85+BG85+BL85-BN85</f>
        <v/>
      </c>
      <c r="BJ85" s="34">
        <f>ABS(BK85)</f>
        <v/>
      </c>
      <c r="BK85" s="34">
        <f>AY85-(J85-L85+N85-Q85)</f>
        <v/>
      </c>
      <c r="BL85" s="34">
        <f>IF(AND(BK85&gt;0,MIN($F85:$G85)&lt;150,$E85="Enerji Açığı"),-100*BK85*1.03,IF(AND(BK85&gt;0,MIN($F85:$G85)&lt;150,$E85="Enerji Fazlası"),-100*BK85*1.06,IF(AND(BK85&gt;0,MIN($F85:$G85)&gt;=150,$E85="Enerji Açığı"),BK85*MIN($F85:$G85)*0.97,IF(AND(BK85&gt;0,MIN($F85:$G85)&gt;=150,$E85="Enerji Fazlası"),BK85*MIN($F85:$G85)*0.94,IF(AND(BK85&lt;0,MAX($F85:$G85)=4500,$E85="Enerji Açığı"),4500*1.05*1.06*BK85,IF(AND(BK85&lt;0,MAX($F85:$G85)=4500,$E85="Enerji Fazlası"),4500*1.05*1.03*BK85,IF(AND(BK85&lt;0,$E85="Enerji Açığı"),MAX($F85,$G85,150)*BK85*1.06,IF(AND(BK85&lt;0,$E85="Enerji Fazlası"),MAX($F85,$G85,150)*BK85*1.03,IF(AND(BK85&lt;0,$E85="Dengede"),MAX($F85:$G85,150)*1.03*BK85,MIN($F85:$G85)*0.97*BK85)))))))))</f>
        <v/>
      </c>
      <c r="BM85" s="34">
        <f>BE85-BI85-BN85</f>
        <v/>
      </c>
      <c r="BN85" s="34">
        <f>BB85</f>
        <v/>
      </c>
      <c r="BO85" s="34">
        <f>BE85-BI85</f>
        <v/>
      </c>
      <c r="BP85" s="34">
        <f>IF(AY85=0,0,BO85/AY85)</f>
        <v/>
      </c>
      <c r="BQ85" s="34">
        <f>MAX((AY85+MAX((-J85+L85-N85+Q85),0)),(MAX((J85-L85+N85-Q85),0)))</f>
        <v/>
      </c>
      <c r="BR85" s="82">
        <f>IFERROR(ABS(BK85/BQ85),0)</f>
        <v/>
      </c>
      <c r="BS85" s="34">
        <f>IF(BR85&lt;=0.1,0,BK85/BR85*(BR85-0.1))</f>
        <v/>
      </c>
      <c r="BT85" s="34">
        <f>IF((BS85)&lt;0,MAX(F85:G85)*(BS85)*1.03,MIN(F85:G85)*(BS85)*0.97)</f>
        <v/>
      </c>
      <c r="BU85" s="34">
        <f>IF(BR85&gt;0.1,1,0)</f>
        <v/>
      </c>
      <c r="BV85" s="34">
        <f>BF85+BG85+BH85+BY85-CA85</f>
        <v/>
      </c>
      <c r="BW85" s="34">
        <f>ABS(BX85)</f>
        <v/>
      </c>
      <c r="BX85" s="34">
        <f>AY85-(J85-L85+N85-Q85+T85-X85)</f>
        <v/>
      </c>
      <c r="BY85" s="34">
        <f>IF(AND(BX85&gt;0,MIN($F85:$G85)&lt;150,$E85="Enerji Açığı"),-100*BX85*1.03,IF(AND(BX85&gt;0,MIN($F85:$G85)&lt;150,$E85="Enerji Fazlası"),-100*BX85*1.06,IF(AND(BX85&gt;0,MIN($F85:$G85)&gt;=150,$E85="Enerji Açığı"),BX85*MIN($F85:$G85)*0.97,IF(AND(BX85&gt;0,MIN($F85:$G85)&gt;=150,$E85="Enerji Fazlası"),BX85*MIN($F85:$G85)*0.94,IF(AND(BX85&lt;0,MAX($F85:$G85)=4500,$E85="Enerji Açığı"),4500*1.05*1.06*BX85,IF(AND(BX85&lt;0,MAX($F85:$G85)=4500,$E85="Enerji Fazlası"),4500*1.05*1.03*BX85,IF(AND(BX85&lt;0,$E85="Enerji Açığı"),MAX($F85,$G85,150)*BX85*1.06,IF(AND(BX85&lt;0,$E85="Enerji Fazlası"),MAX($F85,$G85,150)*BX85*1.03,IF(AND(BX85&lt;0,$E85="Dengede"),MAX($F85:$G85,150)*1.03*BX85,MIN($F85:$G85)*0.97*BX85)))))))))</f>
        <v/>
      </c>
      <c r="BZ85" s="34">
        <f>BE85-BV85-CA85</f>
        <v/>
      </c>
      <c r="CA85" s="34">
        <f>BD85</f>
        <v/>
      </c>
      <c r="CB85" s="33">
        <f>BE85-BV85</f>
        <v/>
      </c>
      <c r="CC85" s="34">
        <f>IF(AY85=0,0,CB85/AY85)</f>
        <v/>
      </c>
      <c r="CD85" s="34">
        <f>MAX((AY85+MAX((-J85+L85-N85+Q85-T85+X85),0)),(MAX((J85-L85+N85-Q85+T85-X85),0)))</f>
        <v/>
      </c>
      <c r="CE85" s="82">
        <f>IFERROR(ABS(BX85/CD85),0)</f>
        <v/>
      </c>
      <c r="CF85" s="34">
        <f>IF(CE85&lt;=0.1,0,BX85/CE85*(CE85-0.1))</f>
        <v/>
      </c>
      <c r="CG85" s="34">
        <f>IF((CF85)&lt;0,MAX(F85:G85)*(CF85)*1.03,MIN(F85:G85)*(CF85)*0.97)</f>
        <v/>
      </c>
      <c r="CH85" s="34">
        <f>IF(CE85&gt;0.1,1,0)</f>
        <v/>
      </c>
      <c r="CI85" s="34">
        <f>(F85*BX85)-BY85</f>
        <v/>
      </c>
      <c r="CJ85" s="34">
        <f>IF(AY85=0,0,CI85/AY85)</f>
        <v/>
      </c>
    </row>
    <row r="86">
      <c r="A86" s="29" t="n">
        <v>46207.45833333334</v>
      </c>
      <c r="B86" s="29" t="inlineStr">
        <is>
          <t>11:00</t>
        </is>
      </c>
      <c r="C86" s="35">
        <f>INT(A86)</f>
        <v/>
      </c>
      <c r="D86" s="36">
        <f>MONTH(A86)</f>
        <v/>
      </c>
      <c r="E86" s="147" t="inlineStr">
        <is>
          <t>Enerji Açığı</t>
        </is>
      </c>
      <c r="F86" s="30" t="n">
        <v>1499.97</v>
      </c>
      <c r="G86" s="30" t="n">
        <v>2750</v>
      </c>
      <c r="H86" s="30" t="n">
        <v>32.18</v>
      </c>
      <c r="I86" s="30" t="n">
        <v>1768</v>
      </c>
      <c r="J86" s="119" t="n">
        <v>0</v>
      </c>
      <c r="K86" s="34">
        <f>F86*J86</f>
        <v/>
      </c>
      <c r="L86" s="119" t="n">
        <v>0</v>
      </c>
      <c r="M86" s="34">
        <f>L86*F86</f>
        <v/>
      </c>
      <c r="N86" s="119" t="n">
        <v>25.3</v>
      </c>
      <c r="O86" s="34">
        <f>F86</f>
        <v/>
      </c>
      <c r="P86" s="34">
        <f>N86*O86</f>
        <v/>
      </c>
      <c r="Q86" s="117" t="n">
        <v>0</v>
      </c>
      <c r="R86" s="34">
        <f>F86</f>
        <v/>
      </c>
      <c r="S86" s="34">
        <f>R86*Q86</f>
        <v/>
      </c>
      <c r="T86" s="34" t="n"/>
      <c r="U86" s="34">
        <f>IFERROR(W86/T86,0)</f>
        <v/>
      </c>
      <c r="V86" s="34">
        <f>IF(U86=0,0,U86-F86)</f>
        <v/>
      </c>
      <c r="W86" s="34" t="n"/>
      <c r="X86" s="34" t="n"/>
      <c r="Y86" s="34">
        <f>IFERROR(AA86/X86,0)</f>
        <v/>
      </c>
      <c r="Z86" s="34">
        <f>IF(Y86=0,0,F86-Y86)</f>
        <v/>
      </c>
      <c r="AA86" s="34" t="n"/>
      <c r="AB86" s="34" t="n">
        <v>0</v>
      </c>
      <c r="AC86" s="34" t="n">
        <v>0</v>
      </c>
      <c r="AD86" s="34">
        <f>IF(AB86&gt;AC86*1.05,AB86-AC86*1.05,IF(AB86&lt;AC86*0.95,AC86*0.95-AB86,0))</f>
        <v/>
      </c>
      <c r="AE86" s="34">
        <f>MAX(F86,G86,750)*0.05*AD86</f>
        <v/>
      </c>
      <c r="AF86" s="34" t="n">
        <v>0</v>
      </c>
      <c r="AG86" s="34">
        <f>IF(AB86&gt;AF86*1.05,AB86-AF86*1.05,IF(AB86&lt;AF86*0.95,AF86*0.95-AB86,0))</f>
        <v/>
      </c>
      <c r="AH86" s="34">
        <f>MAX(I86,J86,750)*0.05*AG86</f>
        <v/>
      </c>
      <c r="AI86" t="n">
        <v>10.25</v>
      </c>
      <c r="AJ86" t="n">
        <v>10</v>
      </c>
      <c r="AK86" s="34">
        <f>IF(AI86&gt;AJ86*1.05,AI86-AJ86*1.05,IF(AI86&lt;AJ86*0.95,AJ86*0.95-AI86,0))</f>
        <v/>
      </c>
      <c r="AL86" s="34">
        <f>MAX(F86,G86,750)*0.05*AK86</f>
        <v/>
      </c>
      <c r="AM86" s="39" t="n">
        <v>10</v>
      </c>
      <c r="AN86" s="34">
        <f>IF(AI86&gt;AM86*1.05,AI86-AM86*1.05,IF(AI86&lt;AM86*0.95,AM86*0.95-AI86,0))</f>
        <v/>
      </c>
      <c r="AO86" s="34">
        <f>MAX(F86,G86,750)*0.05*AN86</f>
        <v/>
      </c>
      <c r="AP86" s="34" t="n">
        <v>15.4</v>
      </c>
      <c r="AQ86" s="34" t="n">
        <v>15.3</v>
      </c>
      <c r="AR86" s="34">
        <f>IF(AP86&gt;AQ86*1.05,AP86-AQ86*1.05,IF(AP86&lt;AQ86*0.95,AQ86*0.95-AP86,0))</f>
        <v/>
      </c>
      <c r="AS86" s="34">
        <f>MAX(F86:G86,750)*0.05*AR86</f>
        <v/>
      </c>
      <c r="AT86" t="n">
        <v>15.3</v>
      </c>
      <c r="AU86" s="34">
        <f>IF(AP86&gt;AT86*1.05,AP86-AT86*1.05,IF(AP86&lt;AT86*0.95,AT86*0.95-AP86,0))</f>
        <v/>
      </c>
      <c r="AV86" s="34">
        <f>MAX(F86:G86,750)*0.05*AU86</f>
        <v/>
      </c>
      <c r="AW86" s="34">
        <f>AC86+AJ86+AQ86</f>
        <v/>
      </c>
      <c r="AX86" s="34">
        <f>AF86+AM86+AT86</f>
        <v/>
      </c>
      <c r="AY86" s="34">
        <f>AB86+AI86+AP86</f>
        <v/>
      </c>
      <c r="AZ86" s="34" t="n">
        <v>0</v>
      </c>
      <c r="BA86" s="34">
        <f>AD86+AK86+AR86</f>
        <v/>
      </c>
      <c r="BB86" s="34">
        <f>MAX(F86:G86,750)*0.05*BA86</f>
        <v/>
      </c>
      <c r="BC86" s="34">
        <f>AG86+AN86+AU86</f>
        <v/>
      </c>
      <c r="BD86" s="34">
        <f>MAX(F86:G86,750)*0.05*BC86</f>
        <v/>
      </c>
      <c r="BE86" s="34">
        <f>F86*AY86</f>
        <v/>
      </c>
      <c r="BF86" s="34">
        <f>K86-M86</f>
        <v/>
      </c>
      <c r="BG86" s="34">
        <f>P86-S86</f>
        <v/>
      </c>
      <c r="BH86" s="34">
        <f>W86-AA86</f>
        <v/>
      </c>
      <c r="BI86" s="34">
        <f>BF86+BG86+BL86-BN86</f>
        <v/>
      </c>
      <c r="BJ86" s="34">
        <f>ABS(BK86)</f>
        <v/>
      </c>
      <c r="BK86" s="34">
        <f>AY86-(J86-L86+N86-Q86)</f>
        <v/>
      </c>
      <c r="BL86" s="34">
        <f>IF(AND(BK86&gt;0,MIN($F86:$G86)&lt;150,$E86="Enerji Açığı"),-100*BK86*1.03,IF(AND(BK86&gt;0,MIN($F86:$G86)&lt;150,$E86="Enerji Fazlası"),-100*BK86*1.06,IF(AND(BK86&gt;0,MIN($F86:$G86)&gt;=150,$E86="Enerji Açığı"),BK86*MIN($F86:$G86)*0.97,IF(AND(BK86&gt;0,MIN($F86:$G86)&gt;=150,$E86="Enerji Fazlası"),BK86*MIN($F86:$G86)*0.94,IF(AND(BK86&lt;0,MAX($F86:$G86)=4500,$E86="Enerji Açığı"),4500*1.05*1.06*BK86,IF(AND(BK86&lt;0,MAX($F86:$G86)=4500,$E86="Enerji Fazlası"),4500*1.05*1.03*BK86,IF(AND(BK86&lt;0,$E86="Enerji Açığı"),MAX($F86,$G86,150)*BK86*1.06,IF(AND(BK86&lt;0,$E86="Enerji Fazlası"),MAX($F86,$G86,150)*BK86*1.03,IF(AND(BK86&lt;0,$E86="Dengede"),MAX($F86:$G86,150)*1.03*BK86,MIN($F86:$G86)*0.97*BK86)))))))))</f>
        <v/>
      </c>
      <c r="BM86" s="34">
        <f>BE86-BI86-BN86</f>
        <v/>
      </c>
      <c r="BN86" s="34">
        <f>BB86</f>
        <v/>
      </c>
      <c r="BO86" s="34">
        <f>BE86-BI86</f>
        <v/>
      </c>
      <c r="BP86" s="34">
        <f>IF(AY86=0,0,BO86/AY86)</f>
        <v/>
      </c>
      <c r="BQ86" s="34">
        <f>MAX((AY86+MAX((-J86+L86-N86+Q86),0)),(MAX((J86-L86+N86-Q86),0)))</f>
        <v/>
      </c>
      <c r="BR86" s="82">
        <f>IFERROR(ABS(BK86/BQ86),0)</f>
        <v/>
      </c>
      <c r="BS86" s="34">
        <f>IF(BR86&lt;=0.1,0,BK86/BR86*(BR86-0.1))</f>
        <v/>
      </c>
      <c r="BT86" s="34">
        <f>IF((BS86)&lt;0,MAX(F86:G86)*(BS86)*1.03,MIN(F86:G86)*(BS86)*0.97)</f>
        <v/>
      </c>
      <c r="BU86" s="34">
        <f>IF(BR86&gt;0.1,1,0)</f>
        <v/>
      </c>
      <c r="BV86" s="34">
        <f>BF86+BG86+BH86+BY86-CA86</f>
        <v/>
      </c>
      <c r="BW86" s="34">
        <f>ABS(BX86)</f>
        <v/>
      </c>
      <c r="BX86" s="34">
        <f>AY86-(J86-L86+N86-Q86+T86-X86)</f>
        <v/>
      </c>
      <c r="BY86" s="34">
        <f>IF(AND(BX86&gt;0,MIN($F86:$G86)&lt;150,$E86="Enerji Açığı"),-100*BX86*1.03,IF(AND(BX86&gt;0,MIN($F86:$G86)&lt;150,$E86="Enerji Fazlası"),-100*BX86*1.06,IF(AND(BX86&gt;0,MIN($F86:$G86)&gt;=150,$E86="Enerji Açığı"),BX86*MIN($F86:$G86)*0.97,IF(AND(BX86&gt;0,MIN($F86:$G86)&gt;=150,$E86="Enerji Fazlası"),BX86*MIN($F86:$G86)*0.94,IF(AND(BX86&lt;0,MAX($F86:$G86)=4500,$E86="Enerji Açığı"),4500*1.05*1.06*BX86,IF(AND(BX86&lt;0,MAX($F86:$G86)=4500,$E86="Enerji Fazlası"),4500*1.05*1.03*BX86,IF(AND(BX86&lt;0,$E86="Enerji Açığı"),MAX($F86,$G86,150)*BX86*1.06,IF(AND(BX86&lt;0,$E86="Enerji Fazlası"),MAX($F86,$G86,150)*BX86*1.03,IF(AND(BX86&lt;0,$E86="Dengede"),MAX($F86:$G86,150)*1.03*BX86,MIN($F86:$G86)*0.97*BX86)))))))))</f>
        <v/>
      </c>
      <c r="BZ86" s="34">
        <f>BE86-BV86-CA86</f>
        <v/>
      </c>
      <c r="CA86" s="34">
        <f>BD86</f>
        <v/>
      </c>
      <c r="CB86" s="33">
        <f>BE86-BV86</f>
        <v/>
      </c>
      <c r="CC86" s="34">
        <f>IF(AY86=0,0,CB86/AY86)</f>
        <v/>
      </c>
      <c r="CD86" s="34">
        <f>MAX((AY86+MAX((-J86+L86-N86+Q86-T86+X86),0)),(MAX((J86-L86+N86-Q86+T86-X86),0)))</f>
        <v/>
      </c>
      <c r="CE86" s="82">
        <f>IFERROR(ABS(BX86/CD86),0)</f>
        <v/>
      </c>
      <c r="CF86" s="34">
        <f>IF(CE86&lt;=0.1,0,BX86/CE86*(CE86-0.1))</f>
        <v/>
      </c>
      <c r="CG86" s="34">
        <f>IF((CF86)&lt;0,MAX(F86:G86)*(CF86)*1.03,MIN(F86:G86)*(CF86)*0.97)</f>
        <v/>
      </c>
      <c r="CH86" s="34">
        <f>IF(CE86&gt;0.1,1,0)</f>
        <v/>
      </c>
      <c r="CI86" s="34">
        <f>(F86*BX86)-BY86</f>
        <v/>
      </c>
      <c r="CJ86" s="34">
        <f>IF(AY86=0,0,CI86/AY86)</f>
        <v/>
      </c>
    </row>
    <row r="87">
      <c r="A87" s="29" t="n">
        <v>46207.5</v>
      </c>
      <c r="B87" s="29" t="inlineStr">
        <is>
          <t>12:00</t>
        </is>
      </c>
      <c r="C87" s="35">
        <f>INT(A87)</f>
        <v/>
      </c>
      <c r="D87" s="36">
        <f>MONTH(A87)</f>
        <v/>
      </c>
      <c r="E87" s="147" t="inlineStr">
        <is>
          <t>Enerji Açığı</t>
        </is>
      </c>
      <c r="F87" s="30" t="n">
        <v>700.01</v>
      </c>
      <c r="G87" s="30" t="n">
        <v>2235.63</v>
      </c>
      <c r="H87" s="30" t="n">
        <v>15.02</v>
      </c>
      <c r="I87" s="30" t="n">
        <v>1307.05</v>
      </c>
      <c r="J87" s="119" t="n">
        <v>0</v>
      </c>
      <c r="K87" s="34">
        <f>F87*J87</f>
        <v/>
      </c>
      <c r="L87" s="119" t="n">
        <v>0</v>
      </c>
      <c r="M87" s="34">
        <f>L87*F87</f>
        <v/>
      </c>
      <c r="N87" s="119" t="n">
        <v>25.5</v>
      </c>
      <c r="O87" s="34">
        <f>F87</f>
        <v/>
      </c>
      <c r="P87" s="34">
        <f>N87*O87</f>
        <v/>
      </c>
      <c r="Q87" s="117" t="n">
        <v>0</v>
      </c>
      <c r="R87" s="34">
        <f>F87</f>
        <v/>
      </c>
      <c r="S87" s="34">
        <f>R87*Q87</f>
        <v/>
      </c>
      <c r="T87" s="34" t="n"/>
      <c r="U87" s="34">
        <f>IFERROR(W87/T87,0)</f>
        <v/>
      </c>
      <c r="V87" s="34">
        <f>IF(U87=0,0,U87-F87)</f>
        <v/>
      </c>
      <c r="W87" s="34" t="n"/>
      <c r="X87" s="34" t="n"/>
      <c r="Y87" s="34">
        <f>IFERROR(AA87/X87,0)</f>
        <v/>
      </c>
      <c r="Z87" s="34">
        <f>IF(Y87=0,0,F87-Y87)</f>
        <v/>
      </c>
      <c r="AA87" s="34" t="n"/>
      <c r="AB87" s="34" t="n">
        <v>0</v>
      </c>
      <c r="AC87" s="34" t="n">
        <v>0</v>
      </c>
      <c r="AD87" s="34">
        <f>IF(AB87&gt;AC87*1.05,AB87-AC87*1.05,IF(AB87&lt;AC87*0.95,AC87*0.95-AB87,0))</f>
        <v/>
      </c>
      <c r="AE87" s="34">
        <f>MAX(F87,G87,750)*0.05*AD87</f>
        <v/>
      </c>
      <c r="AF87" s="34" t="n">
        <v>0</v>
      </c>
      <c r="AG87" s="34">
        <f>IF(AB87&gt;AF87*1.05,AB87-AF87*1.05,IF(AB87&lt;AF87*0.95,AF87*0.95-AB87,0))</f>
        <v/>
      </c>
      <c r="AH87" s="34">
        <f>MAX(I87,J87,750)*0.05*AG87</f>
        <v/>
      </c>
      <c r="AI87" t="n">
        <v>10.22</v>
      </c>
      <c r="AJ87" t="n">
        <v>10</v>
      </c>
      <c r="AK87" s="34">
        <f>IF(AI87&gt;AJ87*1.05,AI87-AJ87*1.05,IF(AI87&lt;AJ87*0.95,AJ87*0.95-AI87,0))</f>
        <v/>
      </c>
      <c r="AL87" s="34">
        <f>MAX(F87,G87,750)*0.05*AK87</f>
        <v/>
      </c>
      <c r="AM87" s="39" t="n">
        <v>10</v>
      </c>
      <c r="AN87" s="34">
        <f>IF(AI87&gt;AM87*1.05,AI87-AM87*1.05,IF(AI87&lt;AM87*0.95,AM87*0.95-AI87,0))</f>
        <v/>
      </c>
      <c r="AO87" s="34">
        <f>MAX(F87,G87,750)*0.05*AN87</f>
        <v/>
      </c>
      <c r="AP87" s="34" t="n">
        <v>15.56</v>
      </c>
      <c r="AQ87" s="34" t="n">
        <v>15.5</v>
      </c>
      <c r="AR87" s="34">
        <f>IF(AP87&gt;AQ87*1.05,AP87-AQ87*1.05,IF(AP87&lt;AQ87*0.95,AQ87*0.95-AP87,0))</f>
        <v/>
      </c>
      <c r="AS87" s="34">
        <f>MAX(F87:G87,750)*0.05*AR87</f>
        <v/>
      </c>
      <c r="AT87" t="n">
        <v>15.5</v>
      </c>
      <c r="AU87" s="34">
        <f>IF(AP87&gt;AT87*1.05,AP87-AT87*1.05,IF(AP87&lt;AT87*0.95,AT87*0.95-AP87,0))</f>
        <v/>
      </c>
      <c r="AV87" s="34">
        <f>MAX(F87:G87,750)*0.05*AU87</f>
        <v/>
      </c>
      <c r="AW87" s="34">
        <f>AC87+AJ87+AQ87</f>
        <v/>
      </c>
      <c r="AX87" s="34">
        <f>AF87+AM87+AT87</f>
        <v/>
      </c>
      <c r="AY87" s="34">
        <f>AB87+AI87+AP87</f>
        <v/>
      </c>
      <c r="AZ87" s="34" t="n">
        <v>0</v>
      </c>
      <c r="BA87" s="34">
        <f>AD87+AK87+AR87</f>
        <v/>
      </c>
      <c r="BB87" s="34">
        <f>MAX(F87:G87,750)*0.05*BA87</f>
        <v/>
      </c>
      <c r="BC87" s="34">
        <f>AG87+AN87+AU87</f>
        <v/>
      </c>
      <c r="BD87" s="34">
        <f>MAX(F87:G87,750)*0.05*BC87</f>
        <v/>
      </c>
      <c r="BE87" s="34">
        <f>F87*AY87</f>
        <v/>
      </c>
      <c r="BF87" s="34">
        <f>K87-M87</f>
        <v/>
      </c>
      <c r="BG87" s="34">
        <f>P87-S87</f>
        <v/>
      </c>
      <c r="BH87" s="34">
        <f>W87-AA87</f>
        <v/>
      </c>
      <c r="BI87" s="34">
        <f>BF87+BG87+BL87-BN87</f>
        <v/>
      </c>
      <c r="BJ87" s="34">
        <f>ABS(BK87)</f>
        <v/>
      </c>
      <c r="BK87" s="34">
        <f>AY87-(J87-L87+N87-Q87)</f>
        <v/>
      </c>
      <c r="BL87" s="34">
        <f>IF(AND(BK87&gt;0,MIN($F87:$G87)&lt;150,$E87="Enerji Açığı"),-100*BK87*1.03,IF(AND(BK87&gt;0,MIN($F87:$G87)&lt;150,$E87="Enerji Fazlası"),-100*BK87*1.06,IF(AND(BK87&gt;0,MIN($F87:$G87)&gt;=150,$E87="Enerji Açığı"),BK87*MIN($F87:$G87)*0.97,IF(AND(BK87&gt;0,MIN($F87:$G87)&gt;=150,$E87="Enerji Fazlası"),BK87*MIN($F87:$G87)*0.94,IF(AND(BK87&lt;0,MAX($F87:$G87)=4500,$E87="Enerji Açığı"),4500*1.05*1.06*BK87,IF(AND(BK87&lt;0,MAX($F87:$G87)=4500,$E87="Enerji Fazlası"),4500*1.05*1.03*BK87,IF(AND(BK87&lt;0,$E87="Enerji Açığı"),MAX($F87,$G87,150)*BK87*1.06,IF(AND(BK87&lt;0,$E87="Enerji Fazlası"),MAX($F87,$G87,150)*BK87*1.03,IF(AND(BK87&lt;0,$E87="Dengede"),MAX($F87:$G87,150)*1.03*BK87,MIN($F87:$G87)*0.97*BK87)))))))))</f>
        <v/>
      </c>
      <c r="BM87" s="34">
        <f>BE87-BI87-BN87</f>
        <v/>
      </c>
      <c r="BN87" s="34">
        <f>BB87</f>
        <v/>
      </c>
      <c r="BO87" s="34">
        <f>BE87-BI87</f>
        <v/>
      </c>
      <c r="BP87" s="34">
        <f>IF(AY87=0,0,BO87/AY87)</f>
        <v/>
      </c>
      <c r="BQ87" s="34">
        <f>MAX((AY87+MAX((-J87+L87-N87+Q87),0)),(MAX((J87-L87+N87-Q87),0)))</f>
        <v/>
      </c>
      <c r="BR87" s="82">
        <f>IFERROR(ABS(BK87/BQ87),0)</f>
        <v/>
      </c>
      <c r="BS87" s="34">
        <f>IF(BR87&lt;=0.1,0,BK87/BR87*(BR87-0.1))</f>
        <v/>
      </c>
      <c r="BT87" s="34">
        <f>IF((BS87)&lt;0,MAX(F87:G87)*(BS87)*1.03,MIN(F87:G87)*(BS87)*0.97)</f>
        <v/>
      </c>
      <c r="BU87" s="34">
        <f>IF(BR87&gt;0.1,1,0)</f>
        <v/>
      </c>
      <c r="BV87" s="34">
        <f>BF87+BG87+BH87+BY87-CA87</f>
        <v/>
      </c>
      <c r="BW87" s="34">
        <f>ABS(BX87)</f>
        <v/>
      </c>
      <c r="BX87" s="34">
        <f>AY87-(J87-L87+N87-Q87+T87-X87)</f>
        <v/>
      </c>
      <c r="BY87" s="34">
        <f>IF(AND(BX87&gt;0,MIN($F87:$G87)&lt;150,$E87="Enerji Açığı"),-100*BX87*1.03,IF(AND(BX87&gt;0,MIN($F87:$G87)&lt;150,$E87="Enerji Fazlası"),-100*BX87*1.06,IF(AND(BX87&gt;0,MIN($F87:$G87)&gt;=150,$E87="Enerji Açığı"),BX87*MIN($F87:$G87)*0.97,IF(AND(BX87&gt;0,MIN($F87:$G87)&gt;=150,$E87="Enerji Fazlası"),BX87*MIN($F87:$G87)*0.94,IF(AND(BX87&lt;0,MAX($F87:$G87)=4500,$E87="Enerji Açığı"),4500*1.05*1.06*BX87,IF(AND(BX87&lt;0,MAX($F87:$G87)=4500,$E87="Enerji Fazlası"),4500*1.05*1.03*BX87,IF(AND(BX87&lt;0,$E87="Enerji Açığı"),MAX($F87,$G87,150)*BX87*1.06,IF(AND(BX87&lt;0,$E87="Enerji Fazlası"),MAX($F87,$G87,150)*BX87*1.03,IF(AND(BX87&lt;0,$E87="Dengede"),MAX($F87:$G87,150)*1.03*BX87,MIN($F87:$G87)*0.97*BX87)))))))))</f>
        <v/>
      </c>
      <c r="BZ87" s="34">
        <f>BE87-BV87-CA87</f>
        <v/>
      </c>
      <c r="CA87" s="34">
        <f>BD87</f>
        <v/>
      </c>
      <c r="CB87" s="33">
        <f>BE87-BV87</f>
        <v/>
      </c>
      <c r="CC87" s="34">
        <f>IF(AY87=0,0,CB87/AY87)</f>
        <v/>
      </c>
      <c r="CD87" s="34">
        <f>MAX((AY87+MAX((-J87+L87-N87+Q87-T87+X87),0)),(MAX((J87-L87+N87-Q87+T87-X87),0)))</f>
        <v/>
      </c>
      <c r="CE87" s="82">
        <f>IFERROR(ABS(BX87/CD87),0)</f>
        <v/>
      </c>
      <c r="CF87" s="34">
        <f>IF(CE87&lt;=0.1,0,BX87/CE87*(CE87-0.1))</f>
        <v/>
      </c>
      <c r="CG87" s="34">
        <f>IF((CF87)&lt;0,MAX(F87:G87)*(CF87)*1.03,MIN(F87:G87)*(CF87)*0.97)</f>
        <v/>
      </c>
      <c r="CH87" s="34">
        <f>IF(CE87&gt;0.1,1,0)</f>
        <v/>
      </c>
      <c r="CI87" s="34">
        <f>(F87*BX87)-BY87</f>
        <v/>
      </c>
      <c r="CJ87" s="34">
        <f>IF(AY87=0,0,CI87/AY87)</f>
        <v/>
      </c>
    </row>
    <row r="88">
      <c r="A88" s="29" t="n">
        <v>46207.54166666666</v>
      </c>
      <c r="B88" s="29" t="inlineStr">
        <is>
          <t>13:00</t>
        </is>
      </c>
      <c r="C88" s="35">
        <f>INT(A88)</f>
        <v/>
      </c>
      <c r="D88" s="36">
        <f>MONTH(A88)</f>
        <v/>
      </c>
      <c r="E88" s="147" t="inlineStr">
        <is>
          <t>Enerji Açığı</t>
        </is>
      </c>
      <c r="F88" s="30" t="n">
        <v>1499.97</v>
      </c>
      <c r="G88" s="30" t="n">
        <v>2500</v>
      </c>
      <c r="H88" s="30" t="n">
        <v>32.18</v>
      </c>
      <c r="I88" s="30" t="n">
        <v>2125.33</v>
      </c>
      <c r="J88" s="119" t="n">
        <v>0</v>
      </c>
      <c r="K88" s="34">
        <f>F88*J88</f>
        <v/>
      </c>
      <c r="L88" s="119" t="n">
        <v>0</v>
      </c>
      <c r="M88" s="34">
        <f>L88*F88</f>
        <v/>
      </c>
      <c r="N88" s="119" t="n">
        <v>25.5</v>
      </c>
      <c r="O88" s="34">
        <f>F88</f>
        <v/>
      </c>
      <c r="P88" s="34">
        <f>N88*O88</f>
        <v/>
      </c>
      <c r="Q88" s="117" t="n">
        <v>0</v>
      </c>
      <c r="R88" s="34">
        <f>F88</f>
        <v/>
      </c>
      <c r="S88" s="34">
        <f>R88*Q88</f>
        <v/>
      </c>
      <c r="T88" s="34" t="n"/>
      <c r="U88" s="34">
        <f>IFERROR(W88/T88,0)</f>
        <v/>
      </c>
      <c r="V88" s="34">
        <f>IF(U88=0,0,U88-F88)</f>
        <v/>
      </c>
      <c r="W88" s="34" t="n"/>
      <c r="X88" s="34" t="n"/>
      <c r="Y88" s="34">
        <f>IFERROR(AA88/X88,0)</f>
        <v/>
      </c>
      <c r="Z88" s="34">
        <f>IF(Y88=0,0,F88-Y88)</f>
        <v/>
      </c>
      <c r="AA88" s="34" t="n"/>
      <c r="AB88" s="34" t="n">
        <v>0</v>
      </c>
      <c r="AC88" s="34" t="n">
        <v>0</v>
      </c>
      <c r="AD88" s="34">
        <f>IF(AB88&gt;AC88*1.05,AB88-AC88*1.05,IF(AB88&lt;AC88*0.95,AC88*0.95-AB88,0))</f>
        <v/>
      </c>
      <c r="AE88" s="34">
        <f>MAX(F88,G88,750)*0.05*AD88</f>
        <v/>
      </c>
      <c r="AF88" s="34" t="n">
        <v>0</v>
      </c>
      <c r="AG88" s="34">
        <f>IF(AB88&gt;AF88*1.05,AB88-AF88*1.05,IF(AB88&lt;AF88*0.95,AF88*0.95-AB88,0))</f>
        <v/>
      </c>
      <c r="AH88" s="34">
        <f>MAX(I88,J88,750)*0.05*AG88</f>
        <v/>
      </c>
      <c r="AI88" t="n">
        <v>11.1</v>
      </c>
      <c r="AJ88" t="n">
        <v>10</v>
      </c>
      <c r="AK88" s="34">
        <f>IF(AI88&gt;AJ88*1.05,AI88-AJ88*1.05,IF(AI88&lt;AJ88*0.95,AJ88*0.95-AI88,0))</f>
        <v/>
      </c>
      <c r="AL88" s="34">
        <f>MAX(F88,G88,750)*0.05*AK88</f>
        <v/>
      </c>
      <c r="AM88" s="39" t="n">
        <v>11</v>
      </c>
      <c r="AN88" s="34">
        <f>IF(AI88&gt;AM88*1.05,AI88-AM88*1.05,IF(AI88&lt;AM88*0.95,AM88*0.95-AI88,0))</f>
        <v/>
      </c>
      <c r="AO88" s="34">
        <f>MAX(F88,G88,750)*0.05*AN88</f>
        <v/>
      </c>
      <c r="AP88" s="34" t="n">
        <v>15.56</v>
      </c>
      <c r="AQ88" s="34" t="n">
        <v>15.5</v>
      </c>
      <c r="AR88" s="34">
        <f>IF(AP88&gt;AQ88*1.05,AP88-AQ88*1.05,IF(AP88&lt;AQ88*0.95,AQ88*0.95-AP88,0))</f>
        <v/>
      </c>
      <c r="AS88" s="34">
        <f>MAX(F88:G88,750)*0.05*AR88</f>
        <v/>
      </c>
      <c r="AT88" t="n">
        <v>15.5</v>
      </c>
      <c r="AU88" s="34">
        <f>IF(AP88&gt;AT88*1.05,AP88-AT88*1.05,IF(AP88&lt;AT88*0.95,AT88*0.95-AP88,0))</f>
        <v/>
      </c>
      <c r="AV88" s="34">
        <f>MAX(F88:G88,750)*0.05*AU88</f>
        <v/>
      </c>
      <c r="AW88" s="34">
        <f>AC88+AJ88+AQ88</f>
        <v/>
      </c>
      <c r="AX88" s="34">
        <f>AF88+AM88+AT88</f>
        <v/>
      </c>
      <c r="AY88" s="34">
        <f>AB88+AI88+AP88</f>
        <v/>
      </c>
      <c r="AZ88" s="34" t="n">
        <v>0</v>
      </c>
      <c r="BA88" s="34">
        <f>AD88+AK88+AR88</f>
        <v/>
      </c>
      <c r="BB88" s="34">
        <f>MAX(F88:G88,750)*0.05*BA88</f>
        <v/>
      </c>
      <c r="BC88" s="34">
        <f>AG88+AN88+AU88</f>
        <v/>
      </c>
      <c r="BD88" s="34">
        <f>MAX(F88:G88,750)*0.05*BC88</f>
        <v/>
      </c>
      <c r="BE88" s="34">
        <f>F88*AY88</f>
        <v/>
      </c>
      <c r="BF88" s="34">
        <f>K88-M88</f>
        <v/>
      </c>
      <c r="BG88" s="34">
        <f>P88-S88</f>
        <v/>
      </c>
      <c r="BH88" s="34">
        <f>W88-AA88</f>
        <v/>
      </c>
      <c r="BI88" s="34">
        <f>BF88+BG88+BL88-BN88</f>
        <v/>
      </c>
      <c r="BJ88" s="34">
        <f>ABS(BK88)</f>
        <v/>
      </c>
      <c r="BK88" s="34">
        <f>AY88-(J88-L88+N88-Q88)</f>
        <v/>
      </c>
      <c r="BL88" s="34">
        <f>IF(AND(BK88&gt;0,MIN($F88:$G88)&lt;150,$E88="Enerji Açığı"),-100*BK88*1.03,IF(AND(BK88&gt;0,MIN($F88:$G88)&lt;150,$E88="Enerji Fazlası"),-100*BK88*1.06,IF(AND(BK88&gt;0,MIN($F88:$G88)&gt;=150,$E88="Enerji Açığı"),BK88*MIN($F88:$G88)*0.97,IF(AND(BK88&gt;0,MIN($F88:$G88)&gt;=150,$E88="Enerji Fazlası"),BK88*MIN($F88:$G88)*0.94,IF(AND(BK88&lt;0,MAX($F88:$G88)=4500,$E88="Enerji Açığı"),4500*1.05*1.06*BK88,IF(AND(BK88&lt;0,MAX($F88:$G88)=4500,$E88="Enerji Fazlası"),4500*1.05*1.03*BK88,IF(AND(BK88&lt;0,$E88="Enerji Açığı"),MAX($F88,$G88,150)*BK88*1.06,IF(AND(BK88&lt;0,$E88="Enerji Fazlası"),MAX($F88,$G88,150)*BK88*1.03,IF(AND(BK88&lt;0,$E88="Dengede"),MAX($F88:$G88,150)*1.03*BK88,MIN($F88:$G88)*0.97*BK88)))))))))</f>
        <v/>
      </c>
      <c r="BM88" s="34">
        <f>BE88-BI88-BN88</f>
        <v/>
      </c>
      <c r="BN88" s="34">
        <f>BB88</f>
        <v/>
      </c>
      <c r="BO88" s="34">
        <f>BE88-BI88</f>
        <v/>
      </c>
      <c r="BP88" s="34">
        <f>IF(AY88=0,0,BO88/AY88)</f>
        <v/>
      </c>
      <c r="BQ88" s="34">
        <f>MAX((AY88+MAX((-J88+L88-N88+Q88),0)),(MAX((J88-L88+N88-Q88),0)))</f>
        <v/>
      </c>
      <c r="BR88" s="82">
        <f>IFERROR(ABS(BK88/BQ88),0)</f>
        <v/>
      </c>
      <c r="BS88" s="34">
        <f>IF(BR88&lt;=0.1,0,BK88/BR88*(BR88-0.1))</f>
        <v/>
      </c>
      <c r="BT88" s="34">
        <f>IF((BS88)&lt;0,MAX(F88:G88)*(BS88)*1.03,MIN(F88:G88)*(BS88)*0.97)</f>
        <v/>
      </c>
      <c r="BU88" s="34">
        <f>IF(BR88&gt;0.1,1,0)</f>
        <v/>
      </c>
      <c r="BV88" s="34">
        <f>BF88+BG88+BH88+BY88-CA88</f>
        <v/>
      </c>
      <c r="BW88" s="34">
        <f>ABS(BX88)</f>
        <v/>
      </c>
      <c r="BX88" s="34">
        <f>AY88-(J88-L88+N88-Q88+T88-X88)</f>
        <v/>
      </c>
      <c r="BY88" s="34">
        <f>IF(AND(BX88&gt;0,MIN($F88:$G88)&lt;150,$E88="Enerji Açığı"),-100*BX88*1.03,IF(AND(BX88&gt;0,MIN($F88:$G88)&lt;150,$E88="Enerji Fazlası"),-100*BX88*1.06,IF(AND(BX88&gt;0,MIN($F88:$G88)&gt;=150,$E88="Enerji Açığı"),BX88*MIN($F88:$G88)*0.97,IF(AND(BX88&gt;0,MIN($F88:$G88)&gt;=150,$E88="Enerji Fazlası"),BX88*MIN($F88:$G88)*0.94,IF(AND(BX88&lt;0,MAX($F88:$G88)=4500,$E88="Enerji Açığı"),4500*1.05*1.06*BX88,IF(AND(BX88&lt;0,MAX($F88:$G88)=4500,$E88="Enerji Fazlası"),4500*1.05*1.03*BX88,IF(AND(BX88&lt;0,$E88="Enerji Açığı"),MAX($F88,$G88,150)*BX88*1.06,IF(AND(BX88&lt;0,$E88="Enerji Fazlası"),MAX($F88,$G88,150)*BX88*1.03,IF(AND(BX88&lt;0,$E88="Dengede"),MAX($F88:$G88,150)*1.03*BX88,MIN($F88:$G88)*0.97*BX88)))))))))</f>
        <v/>
      </c>
      <c r="BZ88" s="34">
        <f>BE88-BV88-CA88</f>
        <v/>
      </c>
      <c r="CA88" s="34">
        <f>BD88</f>
        <v/>
      </c>
      <c r="CB88" s="33">
        <f>BE88-BV88</f>
        <v/>
      </c>
      <c r="CC88" s="34">
        <f>IF(AY88=0,0,CB88/AY88)</f>
        <v/>
      </c>
      <c r="CD88" s="34">
        <f>MAX((AY88+MAX((-J88+L88-N88+Q88-T88+X88),0)),(MAX((J88-L88+N88-Q88+T88-X88),0)))</f>
        <v/>
      </c>
      <c r="CE88" s="82">
        <f>IFERROR(ABS(BX88/CD88),0)</f>
        <v/>
      </c>
      <c r="CF88" s="34">
        <f>IF(CE88&lt;=0.1,0,BX88/CE88*(CE88-0.1))</f>
        <v/>
      </c>
      <c r="CG88" s="34">
        <f>IF((CF88)&lt;0,MAX(F88:G88)*(CF88)*1.03,MIN(F88:G88)*(CF88)*0.97)</f>
        <v/>
      </c>
      <c r="CH88" s="34">
        <f>IF(CE88&gt;0.1,1,0)</f>
        <v/>
      </c>
      <c r="CI88" s="34">
        <f>(F88*BX88)-BY88</f>
        <v/>
      </c>
      <c r="CJ88" s="34">
        <f>IF(AY88=0,0,CI88/AY88)</f>
        <v/>
      </c>
    </row>
    <row r="89">
      <c r="A89" s="29" t="n">
        <v>46207.58333333334</v>
      </c>
      <c r="B89" s="29" t="inlineStr">
        <is>
          <t>14:00</t>
        </is>
      </c>
      <c r="C89" s="35">
        <f>INT(A89)</f>
        <v/>
      </c>
      <c r="D89" s="36">
        <f>MONTH(A89)</f>
        <v/>
      </c>
      <c r="E89" s="147" t="inlineStr">
        <is>
          <t>Enerji Açığı</t>
        </is>
      </c>
      <c r="F89" s="30" t="n">
        <v>1696.72</v>
      </c>
      <c r="G89" s="30" t="n">
        <v>3000</v>
      </c>
      <c r="H89" s="30" t="n">
        <v>36.4</v>
      </c>
      <c r="I89" s="30" t="n">
        <v>2506.55</v>
      </c>
      <c r="J89" s="119" t="n">
        <v>0</v>
      </c>
      <c r="K89" s="34">
        <f>F89*J89</f>
        <v/>
      </c>
      <c r="L89" s="119" t="n">
        <v>0</v>
      </c>
      <c r="M89" s="34">
        <f>L89*F89</f>
        <v/>
      </c>
      <c r="N89" s="119" t="n">
        <v>25.5</v>
      </c>
      <c r="O89" s="34">
        <f>F89</f>
        <v/>
      </c>
      <c r="P89" s="34">
        <f>N89*O89</f>
        <v/>
      </c>
      <c r="Q89" s="117" t="n">
        <v>0</v>
      </c>
      <c r="R89" s="34">
        <f>F89</f>
        <v/>
      </c>
      <c r="S89" s="34">
        <f>R89*Q89</f>
        <v/>
      </c>
      <c r="T89" s="34" t="n"/>
      <c r="U89" s="34">
        <f>IFERROR(W89/T89,0)</f>
        <v/>
      </c>
      <c r="V89" s="34">
        <f>IF(U89=0,0,U89-F89)</f>
        <v/>
      </c>
      <c r="W89" s="34" t="n"/>
      <c r="X89" s="34" t="n"/>
      <c r="Y89" s="34">
        <f>IFERROR(AA89/X89,0)</f>
        <v/>
      </c>
      <c r="Z89" s="34">
        <f>IF(Y89=0,0,F89-Y89)</f>
        <v/>
      </c>
      <c r="AA89" s="34" t="n"/>
      <c r="AB89" s="34" t="n">
        <v>0</v>
      </c>
      <c r="AC89" s="34" t="n">
        <v>0</v>
      </c>
      <c r="AD89" s="34">
        <f>IF(AB89&gt;AC89*1.05,AB89-AC89*1.05,IF(AB89&lt;AC89*0.95,AC89*0.95-AB89,0))</f>
        <v/>
      </c>
      <c r="AE89" s="34">
        <f>MAX(F89,G89,750)*0.05*AD89</f>
        <v/>
      </c>
      <c r="AF89" s="34" t="n">
        <v>0</v>
      </c>
      <c r="AG89" s="34">
        <f>IF(AB89&gt;AF89*1.05,AB89-AF89*1.05,IF(AB89&lt;AF89*0.95,AF89*0.95-AB89,0))</f>
        <v/>
      </c>
      <c r="AH89" s="34">
        <f>MAX(I89,J89,750)*0.05*AG89</f>
        <v/>
      </c>
      <c r="AI89" t="n">
        <v>10.16</v>
      </c>
      <c r="AJ89" t="n">
        <v>10</v>
      </c>
      <c r="AK89" s="34">
        <f>IF(AI89&gt;AJ89*1.05,AI89-AJ89*1.05,IF(AI89&lt;AJ89*0.95,AJ89*0.95-AI89,0))</f>
        <v/>
      </c>
      <c r="AL89" s="34">
        <f>MAX(F89,G89,750)*0.05*AK89</f>
        <v/>
      </c>
      <c r="AM89" s="39" t="n">
        <v>10</v>
      </c>
      <c r="AN89" s="34">
        <f>IF(AI89&gt;AM89*1.05,AI89-AM89*1.05,IF(AI89&lt;AM89*0.95,AM89*0.95-AI89,0))</f>
        <v/>
      </c>
      <c r="AO89" s="34">
        <f>MAX(F89,G89,750)*0.05*AN89</f>
        <v/>
      </c>
      <c r="AP89" s="34" t="n">
        <v>15.57</v>
      </c>
      <c r="AQ89" s="34" t="n">
        <v>15.5</v>
      </c>
      <c r="AR89" s="34">
        <f>IF(AP89&gt;AQ89*1.05,AP89-AQ89*1.05,IF(AP89&lt;AQ89*0.95,AQ89*0.95-AP89,0))</f>
        <v/>
      </c>
      <c r="AS89" s="34">
        <f>MAX(F89:G89,750)*0.05*AR89</f>
        <v/>
      </c>
      <c r="AT89" t="n">
        <v>15.5</v>
      </c>
      <c r="AU89" s="34">
        <f>IF(AP89&gt;AT89*1.05,AP89-AT89*1.05,IF(AP89&lt;AT89*0.95,AT89*0.95-AP89,0))</f>
        <v/>
      </c>
      <c r="AV89" s="34">
        <f>MAX(F89:G89,750)*0.05*AU89</f>
        <v/>
      </c>
      <c r="AW89" s="34">
        <f>AC89+AJ89+AQ89</f>
        <v/>
      </c>
      <c r="AX89" s="34">
        <f>AF89+AM89+AT89</f>
        <v/>
      </c>
      <c r="AY89" s="34">
        <f>AB89+AI89+AP89</f>
        <v/>
      </c>
      <c r="AZ89" s="34" t="n">
        <v>0</v>
      </c>
      <c r="BA89" s="34">
        <f>AD89+AK89+AR89</f>
        <v/>
      </c>
      <c r="BB89" s="34">
        <f>MAX(F89:G89,750)*0.05*BA89</f>
        <v/>
      </c>
      <c r="BC89" s="34">
        <f>AG89+AN89+AU89</f>
        <v/>
      </c>
      <c r="BD89" s="34">
        <f>MAX(F89:G89,750)*0.05*BC89</f>
        <v/>
      </c>
      <c r="BE89" s="34">
        <f>F89*AY89</f>
        <v/>
      </c>
      <c r="BF89" s="34">
        <f>K89-M89</f>
        <v/>
      </c>
      <c r="BG89" s="34">
        <f>P89-S89</f>
        <v/>
      </c>
      <c r="BH89" s="34">
        <f>W89-AA89</f>
        <v/>
      </c>
      <c r="BI89" s="34">
        <f>BF89+BG89+BL89-BN89</f>
        <v/>
      </c>
      <c r="BJ89" s="34">
        <f>ABS(BK89)</f>
        <v/>
      </c>
      <c r="BK89" s="34">
        <f>AY89-(J89-L89+N89-Q89)</f>
        <v/>
      </c>
      <c r="BL89" s="34">
        <f>IF(AND(BK89&gt;0,MIN($F89:$G89)&lt;150,$E89="Enerji Açığı"),-100*BK89*1.03,IF(AND(BK89&gt;0,MIN($F89:$G89)&lt;150,$E89="Enerji Fazlası"),-100*BK89*1.06,IF(AND(BK89&gt;0,MIN($F89:$G89)&gt;=150,$E89="Enerji Açığı"),BK89*MIN($F89:$G89)*0.97,IF(AND(BK89&gt;0,MIN($F89:$G89)&gt;=150,$E89="Enerji Fazlası"),BK89*MIN($F89:$G89)*0.94,IF(AND(BK89&lt;0,MAX($F89:$G89)=4500,$E89="Enerji Açığı"),4500*1.05*1.06*BK89,IF(AND(BK89&lt;0,MAX($F89:$G89)=4500,$E89="Enerji Fazlası"),4500*1.05*1.03*BK89,IF(AND(BK89&lt;0,$E89="Enerji Açığı"),MAX($F89,$G89,150)*BK89*1.06,IF(AND(BK89&lt;0,$E89="Enerji Fazlası"),MAX($F89,$G89,150)*BK89*1.03,IF(AND(BK89&lt;0,$E89="Dengede"),MAX($F89:$G89,150)*1.03*BK89,MIN($F89:$G89)*0.97*BK89)))))))))</f>
        <v/>
      </c>
      <c r="BM89" s="34">
        <f>BE89-BI89-BN89</f>
        <v/>
      </c>
      <c r="BN89" s="34">
        <f>BB89</f>
        <v/>
      </c>
      <c r="BO89" s="34">
        <f>BE89-BI89</f>
        <v/>
      </c>
      <c r="BP89" s="34">
        <f>IF(AY89=0,0,BO89/AY89)</f>
        <v/>
      </c>
      <c r="BQ89" s="34">
        <f>MAX((AY89+MAX((-J89+L89-N89+Q89),0)),(MAX((J89-L89+N89-Q89),0)))</f>
        <v/>
      </c>
      <c r="BR89" s="82">
        <f>IFERROR(ABS(BK89/BQ89),0)</f>
        <v/>
      </c>
      <c r="BS89" s="34">
        <f>IF(BR89&lt;=0.1,0,BK89/BR89*(BR89-0.1))</f>
        <v/>
      </c>
      <c r="BT89" s="34">
        <f>IF((BS89)&lt;0,MAX(F89:G89)*(BS89)*1.03,MIN(F89:G89)*(BS89)*0.97)</f>
        <v/>
      </c>
      <c r="BU89" s="34">
        <f>IF(BR89&gt;0.1,1,0)</f>
        <v/>
      </c>
      <c r="BV89" s="34">
        <f>BF89+BG89+BH89+BY89-CA89</f>
        <v/>
      </c>
      <c r="BW89" s="34">
        <f>ABS(BX89)</f>
        <v/>
      </c>
      <c r="BX89" s="34">
        <f>AY89-(J89-L89+N89-Q89+T89-X89)</f>
        <v/>
      </c>
      <c r="BY89" s="34">
        <f>IF(AND(BX89&gt;0,MIN($F89:$G89)&lt;150,$E89="Enerji Açığı"),-100*BX89*1.03,IF(AND(BX89&gt;0,MIN($F89:$G89)&lt;150,$E89="Enerji Fazlası"),-100*BX89*1.06,IF(AND(BX89&gt;0,MIN($F89:$G89)&gt;=150,$E89="Enerji Açığı"),BX89*MIN($F89:$G89)*0.97,IF(AND(BX89&gt;0,MIN($F89:$G89)&gt;=150,$E89="Enerji Fazlası"),BX89*MIN($F89:$G89)*0.94,IF(AND(BX89&lt;0,MAX($F89:$G89)=4500,$E89="Enerji Açığı"),4500*1.05*1.06*BX89,IF(AND(BX89&lt;0,MAX($F89:$G89)=4500,$E89="Enerji Fazlası"),4500*1.05*1.03*BX89,IF(AND(BX89&lt;0,$E89="Enerji Açığı"),MAX($F89,$G89,150)*BX89*1.06,IF(AND(BX89&lt;0,$E89="Enerji Fazlası"),MAX($F89,$G89,150)*BX89*1.03,IF(AND(BX89&lt;0,$E89="Dengede"),MAX($F89:$G89,150)*1.03*BX89,MIN($F89:$G89)*0.97*BX89)))))))))</f>
        <v/>
      </c>
      <c r="BZ89" s="34">
        <f>BE89-BV89-CA89</f>
        <v/>
      </c>
      <c r="CA89" s="34">
        <f>BD89</f>
        <v/>
      </c>
      <c r="CB89" s="33">
        <f>BE89-BV89</f>
        <v/>
      </c>
      <c r="CC89" s="34">
        <f>IF(AY89=0,0,CB89/AY89)</f>
        <v/>
      </c>
      <c r="CD89" s="34">
        <f>MAX((AY89+MAX((-J89+L89-N89+Q89-T89+X89),0)),(MAX((J89-L89+N89-Q89+T89-X89),0)))</f>
        <v/>
      </c>
      <c r="CE89" s="82">
        <f>IFERROR(ABS(BX89/CD89),0)</f>
        <v/>
      </c>
      <c r="CF89" s="34">
        <f>IF(CE89&lt;=0.1,0,BX89/CE89*(CE89-0.1))</f>
        <v/>
      </c>
      <c r="CG89" s="34">
        <f>IF((CF89)&lt;0,MAX(F89:G89)*(CF89)*1.03,MIN(F89:G89)*(CF89)*0.97)</f>
        <v/>
      </c>
      <c r="CH89" s="34">
        <f>IF(CE89&gt;0.1,1,0)</f>
        <v/>
      </c>
      <c r="CI89" s="34">
        <f>(F89*BX89)-BY89</f>
        <v/>
      </c>
      <c r="CJ89" s="34">
        <f>IF(AY89=0,0,CI89/AY89)</f>
        <v/>
      </c>
    </row>
    <row r="90">
      <c r="A90" s="29" t="n">
        <v>46207.625</v>
      </c>
      <c r="B90" s="29" t="inlineStr">
        <is>
          <t>15:00</t>
        </is>
      </c>
      <c r="C90" s="35">
        <f>INT(A90)</f>
        <v/>
      </c>
      <c r="D90" s="36">
        <f>MONTH(A90)</f>
        <v/>
      </c>
      <c r="E90" s="147" t="inlineStr">
        <is>
          <t>Enerji Açığı</t>
        </is>
      </c>
      <c r="F90" s="30" t="n">
        <v>1691.9</v>
      </c>
      <c r="G90" s="30" t="n">
        <v>2750</v>
      </c>
      <c r="H90" s="30" t="n">
        <v>36.3</v>
      </c>
      <c r="I90" s="30" t="n">
        <v>2667.68</v>
      </c>
      <c r="J90" s="119" t="n">
        <v>0</v>
      </c>
      <c r="K90" s="34">
        <f>F90*J90</f>
        <v/>
      </c>
      <c r="L90" s="119" t="n">
        <v>0</v>
      </c>
      <c r="M90" s="34">
        <f>L90*F90</f>
        <v/>
      </c>
      <c r="N90" s="119" t="n">
        <v>25.3</v>
      </c>
      <c r="O90" s="34">
        <f>F90</f>
        <v/>
      </c>
      <c r="P90" s="34">
        <f>N90*O90</f>
        <v/>
      </c>
      <c r="Q90" s="117" t="n">
        <v>0</v>
      </c>
      <c r="R90" s="34">
        <f>F90</f>
        <v/>
      </c>
      <c r="S90" s="34">
        <f>R90*Q90</f>
        <v/>
      </c>
      <c r="T90" s="34" t="n"/>
      <c r="U90" s="34">
        <f>IFERROR(W90/T90,0)</f>
        <v/>
      </c>
      <c r="V90" s="34">
        <f>IF(U90=0,0,U90-F90)</f>
        <v/>
      </c>
      <c r="W90" s="34" t="n"/>
      <c r="X90" s="34" t="n"/>
      <c r="Y90" s="34">
        <f>IFERROR(AA90/X90,0)</f>
        <v/>
      </c>
      <c r="Z90" s="34">
        <f>IF(Y90=0,0,F90-Y90)</f>
        <v/>
      </c>
      <c r="AA90" s="34" t="n"/>
      <c r="AB90" s="34" t="n">
        <v>0</v>
      </c>
      <c r="AC90" s="34" t="n">
        <v>0</v>
      </c>
      <c r="AD90" s="34">
        <f>IF(AB90&gt;AC90*1.05,AB90-AC90*1.05,IF(AB90&lt;AC90*0.95,AC90*0.95-AB90,0))</f>
        <v/>
      </c>
      <c r="AE90" s="34">
        <f>MAX(F90,G90,750)*0.05*AD90</f>
        <v/>
      </c>
      <c r="AF90" s="34" t="n">
        <v>0</v>
      </c>
      <c r="AG90" s="34">
        <f>IF(AB90&gt;AF90*1.05,AB90-AF90*1.05,IF(AB90&lt;AF90*0.95,AF90*0.95-AB90,0))</f>
        <v/>
      </c>
      <c r="AH90" s="34">
        <f>MAX(I90,J90,750)*0.05*AG90</f>
        <v/>
      </c>
      <c r="AI90" t="n">
        <v>10.23</v>
      </c>
      <c r="AJ90" t="n">
        <v>10</v>
      </c>
      <c r="AK90" s="34">
        <f>IF(AI90&gt;AJ90*1.05,AI90-AJ90*1.05,IF(AI90&lt;AJ90*0.95,AJ90*0.95-AI90,0))</f>
        <v/>
      </c>
      <c r="AL90" s="34">
        <f>MAX(F90,G90,750)*0.05*AK90</f>
        <v/>
      </c>
      <c r="AM90" s="39" t="n">
        <v>10</v>
      </c>
      <c r="AN90" s="34">
        <f>IF(AI90&gt;AM90*1.05,AI90-AM90*1.05,IF(AI90&lt;AM90*0.95,AM90*0.95-AI90,0))</f>
        <v/>
      </c>
      <c r="AO90" s="34">
        <f>MAX(F90,G90,750)*0.05*AN90</f>
        <v/>
      </c>
      <c r="AP90" s="34" t="n">
        <v>15.34</v>
      </c>
      <c r="AQ90" s="34" t="n">
        <v>15.3</v>
      </c>
      <c r="AR90" s="34">
        <f>IF(AP90&gt;AQ90*1.05,AP90-AQ90*1.05,IF(AP90&lt;AQ90*0.95,AQ90*0.95-AP90,0))</f>
        <v/>
      </c>
      <c r="AS90" s="34">
        <f>MAX(F90:G90,750)*0.05*AR90</f>
        <v/>
      </c>
      <c r="AT90" t="n">
        <v>15.3</v>
      </c>
      <c r="AU90" s="34">
        <f>IF(AP90&gt;AT90*1.05,AP90-AT90*1.05,IF(AP90&lt;AT90*0.95,AT90*0.95-AP90,0))</f>
        <v/>
      </c>
      <c r="AV90" s="34">
        <f>MAX(F90:G90,750)*0.05*AU90</f>
        <v/>
      </c>
      <c r="AW90" s="34">
        <f>AC90+AJ90+AQ90</f>
        <v/>
      </c>
      <c r="AX90" s="34">
        <f>AF90+AM90+AT90</f>
        <v/>
      </c>
      <c r="AY90" s="34">
        <f>AB90+AI90+AP90</f>
        <v/>
      </c>
      <c r="AZ90" s="34" t="n">
        <v>0</v>
      </c>
      <c r="BA90" s="34">
        <f>AD90+AK90+AR90</f>
        <v/>
      </c>
      <c r="BB90" s="34">
        <f>MAX(F90:G90,750)*0.05*BA90</f>
        <v/>
      </c>
      <c r="BC90" s="34">
        <f>AG90+AN90+AU90</f>
        <v/>
      </c>
      <c r="BD90" s="34">
        <f>MAX(F90:G90,750)*0.05*BC90</f>
        <v/>
      </c>
      <c r="BE90" s="34">
        <f>F90*AY90</f>
        <v/>
      </c>
      <c r="BF90" s="34">
        <f>K90-M90</f>
        <v/>
      </c>
      <c r="BG90" s="34">
        <f>P90-S90</f>
        <v/>
      </c>
      <c r="BH90" s="34">
        <f>W90-AA90</f>
        <v/>
      </c>
      <c r="BI90" s="34">
        <f>BF90+BG90+BL90-BN90</f>
        <v/>
      </c>
      <c r="BJ90" s="34">
        <f>ABS(BK90)</f>
        <v/>
      </c>
      <c r="BK90" s="34">
        <f>AY90-(J90-L90+N90-Q90)</f>
        <v/>
      </c>
      <c r="BL90" s="34">
        <f>IF(AND(BK90&gt;0,MIN($F90:$G90)&lt;150,$E90="Enerji Açığı"),-100*BK90*1.03,IF(AND(BK90&gt;0,MIN($F90:$G90)&lt;150,$E90="Enerji Fazlası"),-100*BK90*1.06,IF(AND(BK90&gt;0,MIN($F90:$G90)&gt;=150,$E90="Enerji Açığı"),BK90*MIN($F90:$G90)*0.97,IF(AND(BK90&gt;0,MIN($F90:$G90)&gt;=150,$E90="Enerji Fazlası"),BK90*MIN($F90:$G90)*0.94,IF(AND(BK90&lt;0,MAX($F90:$G90)=4500,$E90="Enerji Açığı"),4500*1.05*1.06*BK90,IF(AND(BK90&lt;0,MAX($F90:$G90)=4500,$E90="Enerji Fazlası"),4500*1.05*1.03*BK90,IF(AND(BK90&lt;0,$E90="Enerji Açığı"),MAX($F90,$G90,150)*BK90*1.06,IF(AND(BK90&lt;0,$E90="Enerji Fazlası"),MAX($F90,$G90,150)*BK90*1.03,IF(AND(BK90&lt;0,$E90="Dengede"),MAX($F90:$G90,150)*1.03*BK90,MIN($F90:$G90)*0.97*BK90)))))))))</f>
        <v/>
      </c>
      <c r="BM90" s="34">
        <f>BE90-BI90-BN90</f>
        <v/>
      </c>
      <c r="BN90" s="34">
        <f>BB90</f>
        <v/>
      </c>
      <c r="BO90" s="34">
        <f>BE90-BI90</f>
        <v/>
      </c>
      <c r="BP90" s="34">
        <f>IF(AY90=0,0,BO90/AY90)</f>
        <v/>
      </c>
      <c r="BQ90" s="34">
        <f>MAX((AY90+MAX((-J90+L90-N90+Q90),0)),(MAX((J90-L90+N90-Q90),0)))</f>
        <v/>
      </c>
      <c r="BR90" s="82">
        <f>IFERROR(ABS(BK90/BQ90),0)</f>
        <v/>
      </c>
      <c r="BS90" s="34">
        <f>IF(BR90&lt;=0.1,0,BK90/BR90*(BR90-0.1))</f>
        <v/>
      </c>
      <c r="BT90" s="34">
        <f>IF((BS90)&lt;0,MAX(F90:G90)*(BS90)*1.03,MIN(F90:G90)*(BS90)*0.97)</f>
        <v/>
      </c>
      <c r="BU90" s="34">
        <f>IF(BR90&gt;0.1,1,0)</f>
        <v/>
      </c>
      <c r="BV90" s="34">
        <f>BF90+BG90+BH90+BY90-CA90</f>
        <v/>
      </c>
      <c r="BW90" s="34">
        <f>ABS(BX90)</f>
        <v/>
      </c>
      <c r="BX90" s="34">
        <f>AY90-(J90-L90+N90-Q90+T90-X90)</f>
        <v/>
      </c>
      <c r="BY90" s="34">
        <f>IF(AND(BX90&gt;0,MIN($F90:$G90)&lt;150,$E90="Enerji Açığı"),-100*BX90*1.03,IF(AND(BX90&gt;0,MIN($F90:$G90)&lt;150,$E90="Enerji Fazlası"),-100*BX90*1.06,IF(AND(BX90&gt;0,MIN($F90:$G90)&gt;=150,$E90="Enerji Açığı"),BX90*MIN($F90:$G90)*0.97,IF(AND(BX90&gt;0,MIN($F90:$G90)&gt;=150,$E90="Enerji Fazlası"),BX90*MIN($F90:$G90)*0.94,IF(AND(BX90&lt;0,MAX($F90:$G90)=4500,$E90="Enerji Açığı"),4500*1.05*1.06*BX90,IF(AND(BX90&lt;0,MAX($F90:$G90)=4500,$E90="Enerji Fazlası"),4500*1.05*1.03*BX90,IF(AND(BX90&lt;0,$E90="Enerji Açığı"),MAX($F90,$G90,150)*BX90*1.06,IF(AND(BX90&lt;0,$E90="Enerji Fazlası"),MAX($F90,$G90,150)*BX90*1.03,IF(AND(BX90&lt;0,$E90="Dengede"),MAX($F90:$G90,150)*1.03*BX90,MIN($F90:$G90)*0.97*BX90)))))))))</f>
        <v/>
      </c>
      <c r="BZ90" s="34">
        <f>BE90-BV90-CA90</f>
        <v/>
      </c>
      <c r="CA90" s="34">
        <f>BD90</f>
        <v/>
      </c>
      <c r="CB90" s="33">
        <f>BE90-BV90</f>
        <v/>
      </c>
      <c r="CC90" s="34">
        <f>IF(AY90=0,0,CB90/AY90)</f>
        <v/>
      </c>
      <c r="CD90" s="34">
        <f>MAX((AY90+MAX((-J90+L90-N90+Q90-T90+X90),0)),(MAX((J90-L90+N90-Q90+T90-X90),0)))</f>
        <v/>
      </c>
      <c r="CE90" s="82">
        <f>IFERROR(ABS(BX90/CD90),0)</f>
        <v/>
      </c>
      <c r="CF90" s="34">
        <f>IF(CE90&lt;=0.1,0,BX90/CE90*(CE90-0.1))</f>
        <v/>
      </c>
      <c r="CG90" s="34">
        <f>IF((CF90)&lt;0,MAX(F90:G90)*(CF90)*1.03,MIN(F90:G90)*(CF90)*0.97)</f>
        <v/>
      </c>
      <c r="CH90" s="34">
        <f>IF(CE90&gt;0.1,1,0)</f>
        <v/>
      </c>
      <c r="CI90" s="34">
        <f>(F90*BX90)-BY90</f>
        <v/>
      </c>
      <c r="CJ90" s="34">
        <f>IF(AY90=0,0,CI90/AY90)</f>
        <v/>
      </c>
    </row>
    <row r="91">
      <c r="A91" s="29" t="n">
        <v>46207.66666666666</v>
      </c>
      <c r="B91" s="29" t="inlineStr">
        <is>
          <t>16:00</t>
        </is>
      </c>
      <c r="C91" s="35">
        <f>INT(A91)</f>
        <v/>
      </c>
      <c r="D91" s="36">
        <f>MONTH(A91)</f>
        <v/>
      </c>
      <c r="E91" s="147" t="inlineStr">
        <is>
          <t>Enerji Açığı</t>
        </is>
      </c>
      <c r="F91" s="30" t="n">
        <v>1499.97</v>
      </c>
      <c r="G91" s="30" t="n">
        <v>2032.39</v>
      </c>
      <c r="H91" s="30" t="n">
        <v>32.18</v>
      </c>
      <c r="I91" s="30" t="n">
        <v>2467.92</v>
      </c>
      <c r="J91" s="119" t="n">
        <v>0</v>
      </c>
      <c r="K91" s="34">
        <f>F91*J91</f>
        <v/>
      </c>
      <c r="L91" s="119" t="n">
        <v>0</v>
      </c>
      <c r="M91" s="34">
        <f>L91*F91</f>
        <v/>
      </c>
      <c r="N91" s="119" t="n">
        <v>25</v>
      </c>
      <c r="O91" s="34">
        <f>F91</f>
        <v/>
      </c>
      <c r="P91" s="34">
        <f>N91*O91</f>
        <v/>
      </c>
      <c r="Q91" s="117" t="n">
        <v>0</v>
      </c>
      <c r="R91" s="34">
        <f>F91</f>
        <v/>
      </c>
      <c r="S91" s="34">
        <f>R91*Q91</f>
        <v/>
      </c>
      <c r="T91" s="34" t="n"/>
      <c r="U91" s="34">
        <f>IFERROR(W91/T91,0)</f>
        <v/>
      </c>
      <c r="V91" s="34">
        <f>IF(U91=0,0,U91-F91)</f>
        <v/>
      </c>
      <c r="W91" s="34" t="n"/>
      <c r="X91" s="34" t="n"/>
      <c r="Y91" s="34">
        <f>IFERROR(AA91/X91,0)</f>
        <v/>
      </c>
      <c r="Z91" s="34">
        <f>IF(Y91=0,0,F91-Y91)</f>
        <v/>
      </c>
      <c r="AA91" s="34" t="n"/>
      <c r="AB91" s="34" t="n">
        <v>0</v>
      </c>
      <c r="AC91" s="34" t="n">
        <v>0</v>
      </c>
      <c r="AD91" s="34">
        <f>IF(AB91&gt;AC91*1.05,AB91-AC91*1.05,IF(AB91&lt;AC91*0.95,AC91*0.95-AB91,0))</f>
        <v/>
      </c>
      <c r="AE91" s="34">
        <f>MAX(F91,G91,750)*0.05*AD91</f>
        <v/>
      </c>
      <c r="AF91" s="34" t="n">
        <v>0</v>
      </c>
      <c r="AG91" s="34">
        <f>IF(AB91&gt;AF91*1.05,AB91-AF91*1.05,IF(AB91&lt;AF91*0.95,AF91*0.95-AB91,0))</f>
        <v/>
      </c>
      <c r="AH91" s="34">
        <f>MAX(I91,J91,750)*0.05*AG91</f>
        <v/>
      </c>
      <c r="AI91" t="n">
        <v>10.14</v>
      </c>
      <c r="AJ91" t="n">
        <v>10</v>
      </c>
      <c r="AK91" s="34">
        <f>IF(AI91&gt;AJ91*1.05,AI91-AJ91*1.05,IF(AI91&lt;AJ91*0.95,AJ91*0.95-AI91,0))</f>
        <v/>
      </c>
      <c r="AL91" s="34">
        <f>MAX(F91,G91,750)*0.05*AK91</f>
        <v/>
      </c>
      <c r="AM91" s="39" t="n">
        <v>10</v>
      </c>
      <c r="AN91" s="34">
        <f>IF(AI91&gt;AM91*1.05,AI91-AM91*1.05,IF(AI91&lt;AM91*0.95,AM91*0.95-AI91,0))</f>
        <v/>
      </c>
      <c r="AO91" s="34">
        <f>MAX(F91,G91,750)*0.05*AN91</f>
        <v/>
      </c>
      <c r="AP91" s="34" t="n">
        <v>14.96</v>
      </c>
      <c r="AQ91" s="34" t="n">
        <v>15</v>
      </c>
      <c r="AR91" s="34">
        <f>IF(AP91&gt;AQ91*1.05,AP91-AQ91*1.05,IF(AP91&lt;AQ91*0.95,AQ91*0.95-AP91,0))</f>
        <v/>
      </c>
      <c r="AS91" s="34">
        <f>MAX(F91:G91,750)*0.05*AR91</f>
        <v/>
      </c>
      <c r="AT91" t="n">
        <v>15</v>
      </c>
      <c r="AU91" s="34">
        <f>IF(AP91&gt;AT91*1.05,AP91-AT91*1.05,IF(AP91&lt;AT91*0.95,AT91*0.95-AP91,0))</f>
        <v/>
      </c>
      <c r="AV91" s="34">
        <f>MAX(F91:G91,750)*0.05*AU91</f>
        <v/>
      </c>
      <c r="AW91" s="34">
        <f>AC91+AJ91+AQ91</f>
        <v/>
      </c>
      <c r="AX91" s="34">
        <f>AF91+AM91+AT91</f>
        <v/>
      </c>
      <c r="AY91" s="34">
        <f>AB91+AI91+AP91</f>
        <v/>
      </c>
      <c r="AZ91" s="34" t="n">
        <v>0</v>
      </c>
      <c r="BA91" s="34">
        <f>AD91+AK91+AR91</f>
        <v/>
      </c>
      <c r="BB91" s="34">
        <f>MAX(F91:G91,750)*0.05*BA91</f>
        <v/>
      </c>
      <c r="BC91" s="34">
        <f>AG91+AN91+AU91</f>
        <v/>
      </c>
      <c r="BD91" s="34">
        <f>MAX(F91:G91,750)*0.05*BC91</f>
        <v/>
      </c>
      <c r="BE91" s="34">
        <f>F91*AY91</f>
        <v/>
      </c>
      <c r="BF91" s="34">
        <f>K91-M91</f>
        <v/>
      </c>
      <c r="BG91" s="34">
        <f>P91-S91</f>
        <v/>
      </c>
      <c r="BH91" s="34">
        <f>W91-AA91</f>
        <v/>
      </c>
      <c r="BI91" s="34">
        <f>BF91+BG91+BL91-BN91</f>
        <v/>
      </c>
      <c r="BJ91" s="34">
        <f>ABS(BK91)</f>
        <v/>
      </c>
      <c r="BK91" s="34">
        <f>AY91-(J91-L91+N91-Q91)</f>
        <v/>
      </c>
      <c r="BL91" s="34">
        <f>IF(AND(BK91&gt;0,MIN($F91:$G91)&lt;150,$E91="Enerji Açığı"),-100*BK91*1.03,IF(AND(BK91&gt;0,MIN($F91:$G91)&lt;150,$E91="Enerji Fazlası"),-100*BK91*1.06,IF(AND(BK91&gt;0,MIN($F91:$G91)&gt;=150,$E91="Enerji Açığı"),BK91*MIN($F91:$G91)*0.97,IF(AND(BK91&gt;0,MIN($F91:$G91)&gt;=150,$E91="Enerji Fazlası"),BK91*MIN($F91:$G91)*0.94,IF(AND(BK91&lt;0,MAX($F91:$G91)=4500,$E91="Enerji Açığı"),4500*1.05*1.06*BK91,IF(AND(BK91&lt;0,MAX($F91:$G91)=4500,$E91="Enerji Fazlası"),4500*1.05*1.03*BK91,IF(AND(BK91&lt;0,$E91="Enerji Açığı"),MAX($F91,$G91,150)*BK91*1.06,IF(AND(BK91&lt;0,$E91="Enerji Fazlası"),MAX($F91,$G91,150)*BK91*1.03,IF(AND(BK91&lt;0,$E91="Dengede"),MAX($F91:$G91,150)*1.03*BK91,MIN($F91:$G91)*0.97*BK91)))))))))</f>
        <v/>
      </c>
      <c r="BM91" s="34">
        <f>BE91-BI91-BN91</f>
        <v/>
      </c>
      <c r="BN91" s="34">
        <f>BB91</f>
        <v/>
      </c>
      <c r="BO91" s="34">
        <f>BE91-BI91</f>
        <v/>
      </c>
      <c r="BP91" s="34">
        <f>IF(AY91=0,0,BO91/AY91)</f>
        <v/>
      </c>
      <c r="BQ91" s="34">
        <f>MAX((AY91+MAX((-J91+L91-N91+Q91),0)),(MAX((J91-L91+N91-Q91),0)))</f>
        <v/>
      </c>
      <c r="BR91" s="82">
        <f>IFERROR(ABS(BK91/BQ91),0)</f>
        <v/>
      </c>
      <c r="BS91" s="34">
        <f>IF(BR91&lt;=0.1,0,BK91/BR91*(BR91-0.1))</f>
        <v/>
      </c>
      <c r="BT91" s="34">
        <f>IF((BS91)&lt;0,MAX(F91:G91)*(BS91)*1.03,MIN(F91:G91)*(BS91)*0.97)</f>
        <v/>
      </c>
      <c r="BU91" s="34">
        <f>IF(BR91&gt;0.1,1,0)</f>
        <v/>
      </c>
      <c r="BV91" s="34">
        <f>BF91+BG91+BH91+BY91-CA91</f>
        <v/>
      </c>
      <c r="BW91" s="34">
        <f>ABS(BX91)</f>
        <v/>
      </c>
      <c r="BX91" s="34">
        <f>AY91-(J91-L91+N91-Q91+T91-X91)</f>
        <v/>
      </c>
      <c r="BY91" s="34">
        <f>IF(AND(BX91&gt;0,MIN($F91:$G91)&lt;150,$E91="Enerji Açığı"),-100*BX91*1.03,IF(AND(BX91&gt;0,MIN($F91:$G91)&lt;150,$E91="Enerji Fazlası"),-100*BX91*1.06,IF(AND(BX91&gt;0,MIN($F91:$G91)&gt;=150,$E91="Enerji Açığı"),BX91*MIN($F91:$G91)*0.97,IF(AND(BX91&gt;0,MIN($F91:$G91)&gt;=150,$E91="Enerji Fazlası"),BX91*MIN($F91:$G91)*0.94,IF(AND(BX91&lt;0,MAX($F91:$G91)=4500,$E91="Enerji Açığı"),4500*1.05*1.06*BX91,IF(AND(BX91&lt;0,MAX($F91:$G91)=4500,$E91="Enerji Fazlası"),4500*1.05*1.03*BX91,IF(AND(BX91&lt;0,$E91="Enerji Açığı"),MAX($F91,$G91,150)*BX91*1.06,IF(AND(BX91&lt;0,$E91="Enerji Fazlası"),MAX($F91,$G91,150)*BX91*1.03,IF(AND(BX91&lt;0,$E91="Dengede"),MAX($F91:$G91,150)*1.03*BX91,MIN($F91:$G91)*0.97*BX91)))))))))</f>
        <v/>
      </c>
      <c r="BZ91" s="34">
        <f>BE91-BV91-CA91</f>
        <v/>
      </c>
      <c r="CA91" s="34">
        <f>BD91</f>
        <v/>
      </c>
      <c r="CB91" s="33">
        <f>BE91-BV91</f>
        <v/>
      </c>
      <c r="CC91" s="34">
        <f>IF(AY91=0,0,CB91/AY91)</f>
        <v/>
      </c>
      <c r="CD91" s="34">
        <f>MAX((AY91+MAX((-J91+L91-N91+Q91-T91+X91),0)),(MAX((J91-L91+N91-Q91+T91-X91),0)))</f>
        <v/>
      </c>
      <c r="CE91" s="82">
        <f>IFERROR(ABS(BX91/CD91),0)</f>
        <v/>
      </c>
      <c r="CF91" s="34">
        <f>IF(CE91&lt;=0.1,0,BX91/CE91*(CE91-0.1))</f>
        <v/>
      </c>
      <c r="CG91" s="34">
        <f>IF((CF91)&lt;0,MAX(F91:G91)*(CF91)*1.03,MIN(F91:G91)*(CF91)*0.97)</f>
        <v/>
      </c>
      <c r="CH91" s="34">
        <f>IF(CE91&gt;0.1,1,0)</f>
        <v/>
      </c>
      <c r="CI91" s="34">
        <f>(F91*BX91)-BY91</f>
        <v/>
      </c>
      <c r="CJ91" s="34">
        <f>IF(AY91=0,0,CI91/AY91)</f>
        <v/>
      </c>
    </row>
    <row r="92">
      <c r="A92" s="29" t="n">
        <v>46207.70833333334</v>
      </c>
      <c r="B92" s="29" t="inlineStr">
        <is>
          <t>17:00</t>
        </is>
      </c>
      <c r="C92" s="35">
        <f>INT(A92)</f>
        <v/>
      </c>
      <c r="D92" s="36">
        <f>MONTH(A92)</f>
        <v/>
      </c>
      <c r="E92" s="147" t="inlineStr">
        <is>
          <t>Enerji Açığı</t>
        </is>
      </c>
      <c r="F92" s="30" t="n">
        <v>1499.99</v>
      </c>
      <c r="G92" s="30" t="n">
        <v>1874.99</v>
      </c>
      <c r="H92" s="30" t="n">
        <v>32.18</v>
      </c>
      <c r="I92" s="30" t="n">
        <v>2548.17</v>
      </c>
      <c r="J92" s="119" t="n">
        <v>0</v>
      </c>
      <c r="K92" s="34">
        <f>F92*J92</f>
        <v/>
      </c>
      <c r="L92" s="119" t="n">
        <v>0</v>
      </c>
      <c r="M92" s="34">
        <f>L92*F92</f>
        <v/>
      </c>
      <c r="N92" s="119" t="n">
        <v>24.5</v>
      </c>
      <c r="O92" s="34">
        <f>F92</f>
        <v/>
      </c>
      <c r="P92" s="34">
        <f>N92*O92</f>
        <v/>
      </c>
      <c r="Q92" s="117" t="n">
        <v>0</v>
      </c>
      <c r="R92" s="34">
        <f>F92</f>
        <v/>
      </c>
      <c r="S92" s="34">
        <f>R92*Q92</f>
        <v/>
      </c>
      <c r="T92" s="34" t="n"/>
      <c r="U92" s="34">
        <f>IFERROR(W92/T92,0)</f>
        <v/>
      </c>
      <c r="V92" s="34">
        <f>IF(U92=0,0,U92-F92)</f>
        <v/>
      </c>
      <c r="W92" s="34" t="n"/>
      <c r="X92" s="34" t="n"/>
      <c r="Y92" s="34">
        <f>IFERROR(AA92/X92,0)</f>
        <v/>
      </c>
      <c r="Z92" s="34">
        <f>IF(Y92=0,0,F92-Y92)</f>
        <v/>
      </c>
      <c r="AA92" s="34" t="n"/>
      <c r="AB92" s="34" t="n">
        <v>0</v>
      </c>
      <c r="AC92" s="34" t="n">
        <v>0</v>
      </c>
      <c r="AD92" s="34">
        <f>IF(AB92&gt;AC92*1.05,AB92-AC92*1.05,IF(AB92&lt;AC92*0.95,AC92*0.95-AB92,0))</f>
        <v/>
      </c>
      <c r="AE92" s="34">
        <f>MAX(F92,G92,750)*0.05*AD92</f>
        <v/>
      </c>
      <c r="AF92" s="34" t="n">
        <v>0</v>
      </c>
      <c r="AG92" s="34">
        <f>IF(AB92&gt;AF92*1.05,AB92-AF92*1.05,IF(AB92&lt;AF92*0.95,AF92*0.95-AB92,0))</f>
        <v/>
      </c>
      <c r="AH92" s="34">
        <f>MAX(I92,J92,750)*0.05*AG92</f>
        <v/>
      </c>
      <c r="AI92" t="n">
        <v>10.1</v>
      </c>
      <c r="AJ92" t="n">
        <v>10</v>
      </c>
      <c r="AK92" s="34">
        <f>IF(AI92&gt;AJ92*1.05,AI92-AJ92*1.05,IF(AI92&lt;AJ92*0.95,AJ92*0.95-AI92,0))</f>
        <v/>
      </c>
      <c r="AL92" s="34">
        <f>MAX(F92,G92,750)*0.05*AK92</f>
        <v/>
      </c>
      <c r="AM92" s="39" t="n">
        <v>10</v>
      </c>
      <c r="AN92" s="34">
        <f>IF(AI92&gt;AM92*1.05,AI92-AM92*1.05,IF(AI92&lt;AM92*0.95,AM92*0.95-AI92,0))</f>
        <v/>
      </c>
      <c r="AO92" s="34">
        <f>MAX(F92,G92,750)*0.05*AN92</f>
        <v/>
      </c>
      <c r="AP92" s="34" t="n">
        <v>14.6</v>
      </c>
      <c r="AQ92" s="34" t="n">
        <v>14.5</v>
      </c>
      <c r="AR92" s="34">
        <f>IF(AP92&gt;AQ92*1.05,AP92-AQ92*1.05,IF(AP92&lt;AQ92*0.95,AQ92*0.95-AP92,0))</f>
        <v/>
      </c>
      <c r="AS92" s="34">
        <f>MAX(F92:G92,750)*0.05*AR92</f>
        <v/>
      </c>
      <c r="AT92" t="n">
        <v>14.5</v>
      </c>
      <c r="AU92" s="34">
        <f>IF(AP92&gt;AT92*1.05,AP92-AT92*1.05,IF(AP92&lt;AT92*0.95,AT92*0.95-AP92,0))</f>
        <v/>
      </c>
      <c r="AV92" s="34">
        <f>MAX(F92:G92,750)*0.05*AU92</f>
        <v/>
      </c>
      <c r="AW92" s="34">
        <f>AC92+AJ92+AQ92</f>
        <v/>
      </c>
      <c r="AX92" s="34">
        <f>AF92+AM92+AT92</f>
        <v/>
      </c>
      <c r="AY92" s="34">
        <f>AB92+AI92+AP92</f>
        <v/>
      </c>
      <c r="AZ92" s="34" t="n">
        <v>0</v>
      </c>
      <c r="BA92" s="34">
        <f>AD92+AK92+AR92</f>
        <v/>
      </c>
      <c r="BB92" s="34">
        <f>MAX(F92:G92,750)*0.05*BA92</f>
        <v/>
      </c>
      <c r="BC92" s="34">
        <f>AG92+AN92+AU92</f>
        <v/>
      </c>
      <c r="BD92" s="34">
        <f>MAX(F92:G92,750)*0.05*BC92</f>
        <v/>
      </c>
      <c r="BE92" s="34">
        <f>F92*AY92</f>
        <v/>
      </c>
      <c r="BF92" s="34">
        <f>K92-M92</f>
        <v/>
      </c>
      <c r="BG92" s="34">
        <f>P92-S92</f>
        <v/>
      </c>
      <c r="BH92" s="34">
        <f>W92-AA92</f>
        <v/>
      </c>
      <c r="BI92" s="34">
        <f>BF92+BG92+BL92-BN92</f>
        <v/>
      </c>
      <c r="BJ92" s="34">
        <f>ABS(BK92)</f>
        <v/>
      </c>
      <c r="BK92" s="34">
        <f>AY92-(J92-L92+N92-Q92)</f>
        <v/>
      </c>
      <c r="BL92" s="34">
        <f>IF(AND(BK92&gt;0,MIN($F92:$G92)&lt;150,$E92="Enerji Açığı"),-100*BK92*1.03,IF(AND(BK92&gt;0,MIN($F92:$G92)&lt;150,$E92="Enerji Fazlası"),-100*BK92*1.06,IF(AND(BK92&gt;0,MIN($F92:$G92)&gt;=150,$E92="Enerji Açığı"),BK92*MIN($F92:$G92)*0.97,IF(AND(BK92&gt;0,MIN($F92:$G92)&gt;=150,$E92="Enerji Fazlası"),BK92*MIN($F92:$G92)*0.94,IF(AND(BK92&lt;0,MAX($F92:$G92)=4500,$E92="Enerji Açığı"),4500*1.05*1.06*BK92,IF(AND(BK92&lt;0,MAX($F92:$G92)=4500,$E92="Enerji Fazlası"),4500*1.05*1.03*BK92,IF(AND(BK92&lt;0,$E92="Enerji Açığı"),MAX($F92,$G92,150)*BK92*1.06,IF(AND(BK92&lt;0,$E92="Enerji Fazlası"),MAX($F92,$G92,150)*BK92*1.03,IF(AND(BK92&lt;0,$E92="Dengede"),MAX($F92:$G92,150)*1.03*BK92,MIN($F92:$G92)*0.97*BK92)))))))))</f>
        <v/>
      </c>
      <c r="BM92" s="34">
        <f>BE92-BI92-BN92</f>
        <v/>
      </c>
      <c r="BN92" s="34">
        <f>BB92</f>
        <v/>
      </c>
      <c r="BO92" s="34">
        <f>BE92-BI92</f>
        <v/>
      </c>
      <c r="BP92" s="34">
        <f>IF(AY92=0,0,BO92/AY92)</f>
        <v/>
      </c>
      <c r="BQ92" s="34">
        <f>MAX((AY92+MAX((-J92+L92-N92+Q92),0)),(MAX((J92-L92+N92-Q92),0)))</f>
        <v/>
      </c>
      <c r="BR92" s="82">
        <f>IFERROR(ABS(BK92/BQ92),0)</f>
        <v/>
      </c>
      <c r="BS92" s="34">
        <f>IF(BR92&lt;=0.1,0,BK92/BR92*(BR92-0.1))</f>
        <v/>
      </c>
      <c r="BT92" s="34">
        <f>IF((BS92)&lt;0,MAX(F92:G92)*(BS92)*1.03,MIN(F92:G92)*(BS92)*0.97)</f>
        <v/>
      </c>
      <c r="BU92" s="34">
        <f>IF(BR92&gt;0.1,1,0)</f>
        <v/>
      </c>
      <c r="BV92" s="34">
        <f>BF92+BG92+BH92+BY92-CA92</f>
        <v/>
      </c>
      <c r="BW92" s="34">
        <f>ABS(BX92)</f>
        <v/>
      </c>
      <c r="BX92" s="34">
        <f>AY92-(J92-L92+N92-Q92+T92-X92)</f>
        <v/>
      </c>
      <c r="BY92" s="34">
        <f>IF(AND(BX92&gt;0,MIN($F92:$G92)&lt;150,$E92="Enerji Açığı"),-100*BX92*1.03,IF(AND(BX92&gt;0,MIN($F92:$G92)&lt;150,$E92="Enerji Fazlası"),-100*BX92*1.06,IF(AND(BX92&gt;0,MIN($F92:$G92)&gt;=150,$E92="Enerji Açığı"),BX92*MIN($F92:$G92)*0.97,IF(AND(BX92&gt;0,MIN($F92:$G92)&gt;=150,$E92="Enerji Fazlası"),BX92*MIN($F92:$G92)*0.94,IF(AND(BX92&lt;0,MAX($F92:$G92)=4500,$E92="Enerji Açığı"),4500*1.05*1.06*BX92,IF(AND(BX92&lt;0,MAX($F92:$G92)=4500,$E92="Enerji Fazlası"),4500*1.05*1.03*BX92,IF(AND(BX92&lt;0,$E92="Enerji Açığı"),MAX($F92,$G92,150)*BX92*1.06,IF(AND(BX92&lt;0,$E92="Enerji Fazlası"),MAX($F92,$G92,150)*BX92*1.03,IF(AND(BX92&lt;0,$E92="Dengede"),MAX($F92:$G92,150)*1.03*BX92,MIN($F92:$G92)*0.97*BX92)))))))))</f>
        <v/>
      </c>
      <c r="BZ92" s="34">
        <f>BE92-BV92-CA92</f>
        <v/>
      </c>
      <c r="CA92" s="34">
        <f>BD92</f>
        <v/>
      </c>
      <c r="CB92" s="33">
        <f>BE92-BV92</f>
        <v/>
      </c>
      <c r="CC92" s="34">
        <f>IF(AY92=0,0,CB92/AY92)</f>
        <v/>
      </c>
      <c r="CD92" s="34">
        <f>MAX((AY92+MAX((-J92+L92-N92+Q92-T92+X92),0)),(MAX((J92-L92+N92-Q92+T92-X92),0)))</f>
        <v/>
      </c>
      <c r="CE92" s="82">
        <f>IFERROR(ABS(BX92/CD92),0)</f>
        <v/>
      </c>
      <c r="CF92" s="34">
        <f>IF(CE92&lt;=0.1,0,BX92/CE92*(CE92-0.1))</f>
        <v/>
      </c>
      <c r="CG92" s="34">
        <f>IF((CF92)&lt;0,MAX(F92:G92)*(CF92)*1.03,MIN(F92:G92)*(CF92)*0.97)</f>
        <v/>
      </c>
      <c r="CH92" s="34">
        <f>IF(CE92&gt;0.1,1,0)</f>
        <v/>
      </c>
      <c r="CI92" s="34">
        <f>(F92*BX92)-BY92</f>
        <v/>
      </c>
      <c r="CJ92" s="34">
        <f>IF(AY92=0,0,CI92/AY92)</f>
        <v/>
      </c>
    </row>
    <row r="93">
      <c r="A93" s="29" t="n">
        <v>46207.75</v>
      </c>
      <c r="B93" s="29" t="inlineStr">
        <is>
          <t>18:00</t>
        </is>
      </c>
      <c r="C93" s="35">
        <f>INT(A93)</f>
        <v/>
      </c>
      <c r="D93" s="36">
        <f>MONTH(A93)</f>
        <v/>
      </c>
      <c r="E93" s="147" t="inlineStr">
        <is>
          <t>Enerji Açığı</t>
        </is>
      </c>
      <c r="F93" s="30" t="n">
        <v>1499.98</v>
      </c>
      <c r="G93" s="30" t="n">
        <v>3000</v>
      </c>
      <c r="H93" s="30" t="n">
        <v>32.18</v>
      </c>
      <c r="I93" s="30" t="n">
        <v>2562.17</v>
      </c>
      <c r="J93" s="119" t="n">
        <v>0</v>
      </c>
      <c r="K93" s="34">
        <f>F93*J93</f>
        <v/>
      </c>
      <c r="L93" s="119" t="n">
        <v>0</v>
      </c>
      <c r="M93" s="34">
        <f>L93*F93</f>
        <v/>
      </c>
      <c r="N93" s="119" t="n">
        <v>23.3</v>
      </c>
      <c r="O93" s="34">
        <f>F93</f>
        <v/>
      </c>
      <c r="P93" s="34">
        <f>N93*O93</f>
        <v/>
      </c>
      <c r="Q93" s="117" t="n">
        <v>0</v>
      </c>
      <c r="R93" s="34">
        <f>F93</f>
        <v/>
      </c>
      <c r="S93" s="34">
        <f>R93*Q93</f>
        <v/>
      </c>
      <c r="T93" s="34" t="n"/>
      <c r="U93" s="34">
        <f>IFERROR(W93/T93,0)</f>
        <v/>
      </c>
      <c r="V93" s="34">
        <f>IF(U93=0,0,U93-F93)</f>
        <v/>
      </c>
      <c r="W93" s="34" t="n"/>
      <c r="X93" s="34" t="n"/>
      <c r="Y93" s="34">
        <f>IFERROR(AA93/X93,0)</f>
        <v/>
      </c>
      <c r="Z93" s="34">
        <f>IF(Y93=0,0,F93-Y93)</f>
        <v/>
      </c>
      <c r="AA93" s="34" t="n"/>
      <c r="AB93" s="34" t="n">
        <v>0</v>
      </c>
      <c r="AC93" s="34" t="n">
        <v>0</v>
      </c>
      <c r="AD93" s="34">
        <f>IF(AB93&gt;AC93*1.05,AB93-AC93*1.05,IF(AB93&lt;AC93*0.95,AC93*0.95-AB93,0))</f>
        <v/>
      </c>
      <c r="AE93" s="34">
        <f>MAX(F93,G93,750)*0.05*AD93</f>
        <v/>
      </c>
      <c r="AF93" s="34" t="n">
        <v>0</v>
      </c>
      <c r="AG93" s="34">
        <f>IF(AB93&gt;AF93*1.05,AB93-AF93*1.05,IF(AB93&lt;AF93*0.95,AF93*0.95-AB93,0))</f>
        <v/>
      </c>
      <c r="AH93" s="34">
        <f>MAX(I93,J93,750)*0.05*AG93</f>
        <v/>
      </c>
      <c r="AI93" t="n">
        <v>10.09</v>
      </c>
      <c r="AJ93" t="n">
        <v>10</v>
      </c>
      <c r="AK93" s="34">
        <f>IF(AI93&gt;AJ93*1.05,AI93-AJ93*1.05,IF(AI93&lt;AJ93*0.95,AJ93*0.95-AI93,0))</f>
        <v/>
      </c>
      <c r="AL93" s="34">
        <f>MAX(F93,G93,750)*0.05*AK93</f>
        <v/>
      </c>
      <c r="AM93" s="39" t="n">
        <v>10</v>
      </c>
      <c r="AN93" s="34">
        <f>IF(AI93&gt;AM93*1.05,AI93-AM93*1.05,IF(AI93&lt;AM93*0.95,AM93*0.95-AI93,0))</f>
        <v/>
      </c>
      <c r="AO93" s="34">
        <f>MAX(F93,G93,750)*0.05*AN93</f>
        <v/>
      </c>
      <c r="AP93" s="34" t="n">
        <v>13.07</v>
      </c>
      <c r="AQ93" s="34" t="n">
        <v>13.3</v>
      </c>
      <c r="AR93" s="34">
        <f>IF(AP93&gt;AQ93*1.05,AP93-AQ93*1.05,IF(AP93&lt;AQ93*0.95,AQ93*0.95-AP93,0))</f>
        <v/>
      </c>
      <c r="AS93" s="34">
        <f>MAX(F93:G93,750)*0.05*AR93</f>
        <v/>
      </c>
      <c r="AT93" t="n">
        <v>13.3</v>
      </c>
      <c r="AU93" s="34">
        <f>IF(AP93&gt;AT93*1.05,AP93-AT93*1.05,IF(AP93&lt;AT93*0.95,AT93*0.95-AP93,0))</f>
        <v/>
      </c>
      <c r="AV93" s="34">
        <f>MAX(F93:G93,750)*0.05*AU93</f>
        <v/>
      </c>
      <c r="AW93" s="34">
        <f>AC93+AJ93+AQ93</f>
        <v/>
      </c>
      <c r="AX93" s="34">
        <f>AF93+AM93+AT93</f>
        <v/>
      </c>
      <c r="AY93" s="34">
        <f>AB93+AI93+AP93</f>
        <v/>
      </c>
      <c r="AZ93" s="34" t="n">
        <v>0</v>
      </c>
      <c r="BA93" s="34">
        <f>AD93+AK93+AR93</f>
        <v/>
      </c>
      <c r="BB93" s="34">
        <f>MAX(F93:G93,750)*0.05*BA93</f>
        <v/>
      </c>
      <c r="BC93" s="34">
        <f>AG93+AN93+AU93</f>
        <v/>
      </c>
      <c r="BD93" s="34">
        <f>MAX(F93:G93,750)*0.05*BC93</f>
        <v/>
      </c>
      <c r="BE93" s="34">
        <f>F93*AY93</f>
        <v/>
      </c>
      <c r="BF93" s="34">
        <f>K93-M93</f>
        <v/>
      </c>
      <c r="BG93" s="34">
        <f>P93-S93</f>
        <v/>
      </c>
      <c r="BH93" s="34">
        <f>W93-AA93</f>
        <v/>
      </c>
      <c r="BI93" s="34">
        <f>BF93+BG93+BL93-BN93</f>
        <v/>
      </c>
      <c r="BJ93" s="34">
        <f>ABS(BK93)</f>
        <v/>
      </c>
      <c r="BK93" s="34">
        <f>AY93-(J93-L93+N93-Q93)</f>
        <v/>
      </c>
      <c r="BL93" s="34">
        <f>IF(AND(BK93&gt;0,MIN($F93:$G93)&lt;150,$E93="Enerji Açığı"),-100*BK93*1.03,IF(AND(BK93&gt;0,MIN($F93:$G93)&lt;150,$E93="Enerji Fazlası"),-100*BK93*1.06,IF(AND(BK93&gt;0,MIN($F93:$G93)&gt;=150,$E93="Enerji Açığı"),BK93*MIN($F93:$G93)*0.97,IF(AND(BK93&gt;0,MIN($F93:$G93)&gt;=150,$E93="Enerji Fazlası"),BK93*MIN($F93:$G93)*0.94,IF(AND(BK93&lt;0,MAX($F93:$G93)=4500,$E93="Enerji Açığı"),4500*1.05*1.06*BK93,IF(AND(BK93&lt;0,MAX($F93:$G93)=4500,$E93="Enerji Fazlası"),4500*1.05*1.03*BK93,IF(AND(BK93&lt;0,$E93="Enerji Açığı"),MAX($F93,$G93,150)*BK93*1.06,IF(AND(BK93&lt;0,$E93="Enerji Fazlası"),MAX($F93,$G93,150)*BK93*1.03,IF(AND(BK93&lt;0,$E93="Dengede"),MAX($F93:$G93,150)*1.03*BK93,MIN($F93:$G93)*0.97*BK93)))))))))</f>
        <v/>
      </c>
      <c r="BM93" s="34">
        <f>BE93-BI93-BN93</f>
        <v/>
      </c>
      <c r="BN93" s="34">
        <f>BB93</f>
        <v/>
      </c>
      <c r="BO93" s="34">
        <f>BE93-BI93</f>
        <v/>
      </c>
      <c r="BP93" s="34">
        <f>IF(AY93=0,0,BO93/AY93)</f>
        <v/>
      </c>
      <c r="BQ93" s="34">
        <f>MAX((AY93+MAX((-J93+L93-N93+Q93),0)),(MAX((J93-L93+N93-Q93),0)))</f>
        <v/>
      </c>
      <c r="BR93" s="82">
        <f>IFERROR(ABS(BK93/BQ93),0)</f>
        <v/>
      </c>
      <c r="BS93" s="34">
        <f>IF(BR93&lt;=0.1,0,BK93/BR93*(BR93-0.1))</f>
        <v/>
      </c>
      <c r="BT93" s="34">
        <f>IF((BS93)&lt;0,MAX(F93:G93)*(BS93)*1.03,MIN(F93:G93)*(BS93)*0.97)</f>
        <v/>
      </c>
      <c r="BU93" s="34">
        <f>IF(BR93&gt;0.1,1,0)</f>
        <v/>
      </c>
      <c r="BV93" s="34">
        <f>BF93+BG93+BH93+BY93-CA93</f>
        <v/>
      </c>
      <c r="BW93" s="34">
        <f>ABS(BX93)</f>
        <v/>
      </c>
      <c r="BX93" s="34">
        <f>AY93-(J93-L93+N93-Q93+T93-X93)</f>
        <v/>
      </c>
      <c r="BY93" s="34">
        <f>IF(AND(BX93&gt;0,MIN($F93:$G93)&lt;150,$E93="Enerji Açığı"),-100*BX93*1.03,IF(AND(BX93&gt;0,MIN($F93:$G93)&lt;150,$E93="Enerji Fazlası"),-100*BX93*1.06,IF(AND(BX93&gt;0,MIN($F93:$G93)&gt;=150,$E93="Enerji Açığı"),BX93*MIN($F93:$G93)*0.97,IF(AND(BX93&gt;0,MIN($F93:$G93)&gt;=150,$E93="Enerji Fazlası"),BX93*MIN($F93:$G93)*0.94,IF(AND(BX93&lt;0,MAX($F93:$G93)=4500,$E93="Enerji Açığı"),4500*1.05*1.06*BX93,IF(AND(BX93&lt;0,MAX($F93:$G93)=4500,$E93="Enerji Fazlası"),4500*1.05*1.03*BX93,IF(AND(BX93&lt;0,$E93="Enerji Açığı"),MAX($F93,$G93,150)*BX93*1.06,IF(AND(BX93&lt;0,$E93="Enerji Fazlası"),MAX($F93,$G93,150)*BX93*1.03,IF(AND(BX93&lt;0,$E93="Dengede"),MAX($F93:$G93,150)*1.03*BX93,MIN($F93:$G93)*0.97*BX93)))))))))</f>
        <v/>
      </c>
      <c r="BZ93" s="34">
        <f>BE93-BV93-CA93</f>
        <v/>
      </c>
      <c r="CA93" s="34">
        <f>BD93</f>
        <v/>
      </c>
      <c r="CB93" s="33">
        <f>BE93-BV93</f>
        <v/>
      </c>
      <c r="CC93" s="34">
        <f>IF(AY93=0,0,CB93/AY93)</f>
        <v/>
      </c>
      <c r="CD93" s="34">
        <f>MAX((AY93+MAX((-J93+L93-N93+Q93-T93+X93),0)),(MAX((J93-L93+N93-Q93+T93-X93),0)))</f>
        <v/>
      </c>
      <c r="CE93" s="82">
        <f>IFERROR(ABS(BX93/CD93),0)</f>
        <v/>
      </c>
      <c r="CF93" s="34">
        <f>IF(CE93&lt;=0.1,0,BX93/CE93*(CE93-0.1))</f>
        <v/>
      </c>
      <c r="CG93" s="34">
        <f>IF((CF93)&lt;0,MAX(F93:G93)*(CF93)*1.03,MIN(F93:G93)*(CF93)*0.97)</f>
        <v/>
      </c>
      <c r="CH93" s="34">
        <f>IF(CE93&gt;0.1,1,0)</f>
        <v/>
      </c>
      <c r="CI93" s="34">
        <f>(F93*BX93)-BY93</f>
        <v/>
      </c>
      <c r="CJ93" s="34">
        <f>IF(AY93=0,0,CI93/AY93)</f>
        <v/>
      </c>
    </row>
    <row r="94">
      <c r="A94" s="29" t="n">
        <v>46207.79166666666</v>
      </c>
      <c r="B94" s="29" t="inlineStr">
        <is>
          <t>19:00</t>
        </is>
      </c>
      <c r="C94" s="35">
        <f>INT(A94)</f>
        <v/>
      </c>
      <c r="D94" s="36">
        <f>MONTH(A94)</f>
        <v/>
      </c>
      <c r="E94" s="147" t="inlineStr">
        <is>
          <t>Enerji Açığı</t>
        </is>
      </c>
      <c r="F94" s="30" t="n">
        <v>3000</v>
      </c>
      <c r="G94" s="30" t="n">
        <v>4050</v>
      </c>
      <c r="H94" s="30" t="n">
        <v>64.37</v>
      </c>
      <c r="I94" s="30" t="n">
        <v>3897.53</v>
      </c>
      <c r="J94" s="119" t="n">
        <v>0</v>
      </c>
      <c r="K94" s="34">
        <f>F94*J94</f>
        <v/>
      </c>
      <c r="L94" s="119" t="n">
        <v>0</v>
      </c>
      <c r="M94" s="34">
        <f>L94*F94</f>
        <v/>
      </c>
      <c r="N94" s="119" t="n">
        <v>23.2</v>
      </c>
      <c r="O94" s="34">
        <f>F94</f>
        <v/>
      </c>
      <c r="P94" s="34">
        <f>N94*O94</f>
        <v/>
      </c>
      <c r="Q94" s="117" t="n">
        <v>0</v>
      </c>
      <c r="R94" s="34">
        <f>F94</f>
        <v/>
      </c>
      <c r="S94" s="34">
        <f>R94*Q94</f>
        <v/>
      </c>
      <c r="T94" s="34" t="n"/>
      <c r="U94" s="34">
        <f>IFERROR(W94/T94,0)</f>
        <v/>
      </c>
      <c r="V94" s="34">
        <f>IF(U94=0,0,U94-F94)</f>
        <v/>
      </c>
      <c r="W94" s="34" t="n"/>
      <c r="X94" s="34" t="n"/>
      <c r="Y94" s="34">
        <f>IFERROR(AA94/X94,0)</f>
        <v/>
      </c>
      <c r="Z94" s="34">
        <f>IF(Y94=0,0,F94-Y94)</f>
        <v/>
      </c>
      <c r="AA94" s="34" t="n"/>
      <c r="AB94" s="34" t="n">
        <v>0</v>
      </c>
      <c r="AC94" s="34" t="n">
        <v>0</v>
      </c>
      <c r="AD94" s="34">
        <f>IF(AB94&gt;AC94*1.05,AB94-AC94*1.05,IF(AB94&lt;AC94*0.95,AC94*0.95-AB94,0))</f>
        <v/>
      </c>
      <c r="AE94" s="34">
        <f>MAX(F94,G94,750)*0.05*AD94</f>
        <v/>
      </c>
      <c r="AF94" s="34" t="n">
        <v>0</v>
      </c>
      <c r="AG94" s="34">
        <f>IF(AB94&gt;AF94*1.05,AB94-AF94*1.05,IF(AB94&lt;AF94*0.95,AF94*0.95-AB94,0))</f>
        <v/>
      </c>
      <c r="AH94" s="34">
        <f>MAX(I94,J94,750)*0.05*AG94</f>
        <v/>
      </c>
      <c r="AI94" t="n">
        <v>8.27</v>
      </c>
      <c r="AJ94" t="n">
        <v>10</v>
      </c>
      <c r="AK94" s="34">
        <f>IF(AI94&gt;AJ94*1.05,AI94-AJ94*1.05,IF(AI94&lt;AJ94*0.95,AJ94*0.95-AI94,0))</f>
        <v/>
      </c>
      <c r="AL94" s="34">
        <f>MAX(F94,G94,750)*0.05*AK94</f>
        <v/>
      </c>
      <c r="AM94" s="39" t="n">
        <v>10</v>
      </c>
      <c r="AN94" s="34">
        <f>IF(AI94&gt;AM94*1.05,AI94-AM94*1.05,IF(AI94&lt;AM94*0.95,AM94*0.95-AI94,0))</f>
        <v/>
      </c>
      <c r="AO94" s="34">
        <f>MAX(F94,G94,750)*0.05*AN94</f>
        <v/>
      </c>
      <c r="AP94" s="34" t="n">
        <v>13.06</v>
      </c>
      <c r="AQ94" s="34" t="n">
        <v>13.2</v>
      </c>
      <c r="AR94" s="34">
        <f>IF(AP94&gt;AQ94*1.05,AP94-AQ94*1.05,IF(AP94&lt;AQ94*0.95,AQ94*0.95-AP94,0))</f>
        <v/>
      </c>
      <c r="AS94" s="34">
        <f>MAX(F94:G94,750)*0.05*AR94</f>
        <v/>
      </c>
      <c r="AT94" t="n">
        <v>13.2</v>
      </c>
      <c r="AU94" s="34">
        <f>IF(AP94&gt;AT94*1.05,AP94-AT94*1.05,IF(AP94&lt;AT94*0.95,AT94*0.95-AP94,0))</f>
        <v/>
      </c>
      <c r="AV94" s="34">
        <f>MAX(F94:G94,750)*0.05*AU94</f>
        <v/>
      </c>
      <c r="AW94" s="34">
        <f>AC94+AJ94+AQ94</f>
        <v/>
      </c>
      <c r="AX94" s="34">
        <f>AF94+AM94+AT94</f>
        <v/>
      </c>
      <c r="AY94" s="34">
        <f>AB94+AI94+AP94</f>
        <v/>
      </c>
      <c r="AZ94" s="34" t="n">
        <v>0</v>
      </c>
      <c r="BA94" s="34">
        <f>AD94+AK94+AR94</f>
        <v/>
      </c>
      <c r="BB94" s="34">
        <f>MAX(F94:G94,750)*0.05*BA94</f>
        <v/>
      </c>
      <c r="BC94" s="34">
        <f>AG94+AN94+AU94</f>
        <v/>
      </c>
      <c r="BD94" s="34">
        <f>MAX(F94:G94,750)*0.05*BC94</f>
        <v/>
      </c>
      <c r="BE94" s="34">
        <f>F94*AY94</f>
        <v/>
      </c>
      <c r="BF94" s="34">
        <f>K94-M94</f>
        <v/>
      </c>
      <c r="BG94" s="34">
        <f>P94-S94</f>
        <v/>
      </c>
      <c r="BH94" s="34">
        <f>W94-AA94</f>
        <v/>
      </c>
      <c r="BI94" s="34">
        <f>BF94+BG94+BL94-BN94</f>
        <v/>
      </c>
      <c r="BJ94" s="34">
        <f>ABS(BK94)</f>
        <v/>
      </c>
      <c r="BK94" s="34">
        <f>AY94-(J94-L94+N94-Q94)</f>
        <v/>
      </c>
      <c r="BL94" s="34">
        <f>IF(AND(BK94&gt;0,MIN($F94:$G94)&lt;150,$E94="Enerji Açığı"),-100*BK94*1.03,IF(AND(BK94&gt;0,MIN($F94:$G94)&lt;150,$E94="Enerji Fazlası"),-100*BK94*1.06,IF(AND(BK94&gt;0,MIN($F94:$G94)&gt;=150,$E94="Enerji Açığı"),BK94*MIN($F94:$G94)*0.97,IF(AND(BK94&gt;0,MIN($F94:$G94)&gt;=150,$E94="Enerji Fazlası"),BK94*MIN($F94:$G94)*0.94,IF(AND(BK94&lt;0,MAX($F94:$G94)=4500,$E94="Enerji Açığı"),4500*1.05*1.06*BK94,IF(AND(BK94&lt;0,MAX($F94:$G94)=4500,$E94="Enerji Fazlası"),4500*1.05*1.03*BK94,IF(AND(BK94&lt;0,$E94="Enerji Açığı"),MAX($F94,$G94,150)*BK94*1.06,IF(AND(BK94&lt;0,$E94="Enerji Fazlası"),MAX($F94,$G94,150)*BK94*1.03,IF(AND(BK94&lt;0,$E94="Dengede"),MAX($F94:$G94,150)*1.03*BK94,MIN($F94:$G94)*0.97*BK94)))))))))</f>
        <v/>
      </c>
      <c r="BM94" s="34">
        <f>BE94-BI94-BN94</f>
        <v/>
      </c>
      <c r="BN94" s="34">
        <f>BB94</f>
        <v/>
      </c>
      <c r="BO94" s="34">
        <f>BE94-BI94</f>
        <v/>
      </c>
      <c r="BP94" s="34">
        <f>IF(AY94=0,0,BO94/AY94)</f>
        <v/>
      </c>
      <c r="BQ94" s="34">
        <f>MAX((AY94+MAX((-J94+L94-N94+Q94),0)),(MAX((J94-L94+N94-Q94),0)))</f>
        <v/>
      </c>
      <c r="BR94" s="82">
        <f>IFERROR(ABS(BK94/BQ94),0)</f>
        <v/>
      </c>
      <c r="BS94" s="34">
        <f>IF(BR94&lt;=0.1,0,BK94/BR94*(BR94-0.1))</f>
        <v/>
      </c>
      <c r="BT94" s="34">
        <f>IF((BS94)&lt;0,MAX(F94:G94)*(BS94)*1.03,MIN(F94:G94)*(BS94)*0.97)</f>
        <v/>
      </c>
      <c r="BU94" s="34">
        <f>IF(BR94&gt;0.1,1,0)</f>
        <v/>
      </c>
      <c r="BV94" s="34">
        <f>BF94+BG94+BH94+BY94-CA94</f>
        <v/>
      </c>
      <c r="BW94" s="34">
        <f>ABS(BX94)</f>
        <v/>
      </c>
      <c r="BX94" s="34">
        <f>AY94-(J94-L94+N94-Q94+T94-X94)</f>
        <v/>
      </c>
      <c r="BY94" s="34">
        <f>IF(AND(BX94&gt;0,MIN($F94:$G94)&lt;150,$E94="Enerji Açığı"),-100*BX94*1.03,IF(AND(BX94&gt;0,MIN($F94:$G94)&lt;150,$E94="Enerji Fazlası"),-100*BX94*1.06,IF(AND(BX94&gt;0,MIN($F94:$G94)&gt;=150,$E94="Enerji Açığı"),BX94*MIN($F94:$G94)*0.97,IF(AND(BX94&gt;0,MIN($F94:$G94)&gt;=150,$E94="Enerji Fazlası"),BX94*MIN($F94:$G94)*0.94,IF(AND(BX94&lt;0,MAX($F94:$G94)=4500,$E94="Enerji Açığı"),4500*1.05*1.06*BX94,IF(AND(BX94&lt;0,MAX($F94:$G94)=4500,$E94="Enerji Fazlası"),4500*1.05*1.03*BX94,IF(AND(BX94&lt;0,$E94="Enerji Açığı"),MAX($F94,$G94,150)*BX94*1.06,IF(AND(BX94&lt;0,$E94="Enerji Fazlası"),MAX($F94,$G94,150)*BX94*1.03,IF(AND(BX94&lt;0,$E94="Dengede"),MAX($F94:$G94,150)*1.03*BX94,MIN($F94:$G94)*0.97*BX94)))))))))</f>
        <v/>
      </c>
      <c r="BZ94" s="34">
        <f>BE94-BV94-CA94</f>
        <v/>
      </c>
      <c r="CA94" s="34">
        <f>BD94</f>
        <v/>
      </c>
      <c r="CB94" s="33">
        <f>BE94-BV94</f>
        <v/>
      </c>
      <c r="CC94" s="34">
        <f>IF(AY94=0,0,CB94/AY94)</f>
        <v/>
      </c>
      <c r="CD94" s="34">
        <f>MAX((AY94+MAX((-J94+L94-N94+Q94-T94+X94),0)),(MAX((J94-L94+N94-Q94+T94-X94),0)))</f>
        <v/>
      </c>
      <c r="CE94" s="82">
        <f>IFERROR(ABS(BX94/CD94),0)</f>
        <v/>
      </c>
      <c r="CF94" s="34">
        <f>IF(CE94&lt;=0.1,0,BX94/CE94*(CE94-0.1))</f>
        <v/>
      </c>
      <c r="CG94" s="34">
        <f>IF((CF94)&lt;0,MAX(F94:G94)*(CF94)*1.03,MIN(F94:G94)*(CF94)*0.97)</f>
        <v/>
      </c>
      <c r="CH94" s="34">
        <f>IF(CE94&gt;0.1,1,0)</f>
        <v/>
      </c>
      <c r="CI94" s="34">
        <f>(F94*BX94)-BY94</f>
        <v/>
      </c>
      <c r="CJ94" s="34">
        <f>IF(AY94=0,0,CI94/AY94)</f>
        <v/>
      </c>
    </row>
    <row r="95">
      <c r="A95" s="29" t="n">
        <v>46207.83333333334</v>
      </c>
      <c r="B95" s="29" t="inlineStr">
        <is>
          <t>20:00</t>
        </is>
      </c>
      <c r="C95" s="35">
        <f>INT(A95)</f>
        <v/>
      </c>
      <c r="D95" s="36">
        <f>MONTH(A95)</f>
        <v/>
      </c>
      <c r="E95" s="147" t="inlineStr">
        <is>
          <t>Enerji Açığı</t>
        </is>
      </c>
      <c r="F95" s="30" t="n">
        <v>4045.41</v>
      </c>
      <c r="G95" s="30" t="n">
        <v>4377</v>
      </c>
      <c r="H95" s="30" t="n">
        <v>86.8</v>
      </c>
      <c r="I95" s="30" t="n">
        <v>4432.59</v>
      </c>
      <c r="J95" s="119" t="n">
        <v>0</v>
      </c>
      <c r="K95" s="34">
        <f>F95*J95</f>
        <v/>
      </c>
      <c r="L95" s="119" t="n">
        <v>0</v>
      </c>
      <c r="M95" s="34">
        <f>L95*F95</f>
        <v/>
      </c>
      <c r="N95" s="119" t="n">
        <v>23</v>
      </c>
      <c r="O95" s="34">
        <f>F95</f>
        <v/>
      </c>
      <c r="P95" s="34">
        <f>N95*O95</f>
        <v/>
      </c>
      <c r="Q95" s="117" t="n">
        <v>0</v>
      </c>
      <c r="R95" s="34">
        <f>F95</f>
        <v/>
      </c>
      <c r="S95" s="34">
        <f>R95*Q95</f>
        <v/>
      </c>
      <c r="T95" s="34" t="n"/>
      <c r="U95" s="34">
        <f>IFERROR(W95/T95,0)</f>
        <v/>
      </c>
      <c r="V95" s="34">
        <f>IF(U95=0,0,U95-F95)</f>
        <v/>
      </c>
      <c r="W95" s="34" t="n"/>
      <c r="X95" s="34" t="n"/>
      <c r="Y95" s="34">
        <f>IFERROR(AA95/X95,0)</f>
        <v/>
      </c>
      <c r="Z95" s="34">
        <f>IF(Y95=0,0,F95-Y95)</f>
        <v/>
      </c>
      <c r="AA95" s="34" t="n"/>
      <c r="AB95" s="34" t="n">
        <v>0</v>
      </c>
      <c r="AC95" s="34" t="n">
        <v>0</v>
      </c>
      <c r="AD95" s="34">
        <f>IF(AB95&gt;AC95*1.05,AB95-AC95*1.05,IF(AB95&lt;AC95*0.95,AC95*0.95-AB95,0))</f>
        <v/>
      </c>
      <c r="AE95" s="34">
        <f>MAX(F95,G95,750)*0.05*AD95</f>
        <v/>
      </c>
      <c r="AF95" s="34" t="n">
        <v>0</v>
      </c>
      <c r="AG95" s="34">
        <f>IF(AB95&gt;AF95*1.05,AB95-AF95*1.05,IF(AB95&lt;AF95*0.95,AF95*0.95-AB95,0))</f>
        <v/>
      </c>
      <c r="AH95" s="34">
        <f>MAX(I95,J95,750)*0.05*AG95</f>
        <v/>
      </c>
      <c r="AI95" t="n">
        <v>10</v>
      </c>
      <c r="AJ95" t="n">
        <v>10</v>
      </c>
      <c r="AK95" s="34">
        <f>IF(AI95&gt;AJ95*1.05,AI95-AJ95*1.05,IF(AI95&lt;AJ95*0.95,AJ95*0.95-AI95,0))</f>
        <v/>
      </c>
      <c r="AL95" s="34">
        <f>MAX(F95,G95,750)*0.05*AK95</f>
        <v/>
      </c>
      <c r="AM95" s="39" t="n">
        <v>10</v>
      </c>
      <c r="AN95" s="34">
        <f>IF(AI95&gt;AM95*1.05,AI95-AM95*1.05,IF(AI95&lt;AM95*0.95,AM95*0.95-AI95,0))</f>
        <v/>
      </c>
      <c r="AO95" s="34">
        <f>MAX(F95,G95,750)*0.05*AN95</f>
        <v/>
      </c>
      <c r="AP95" s="34" t="n">
        <v>13.08</v>
      </c>
      <c r="AQ95" s="34" t="n">
        <v>13</v>
      </c>
      <c r="AR95" s="34">
        <f>IF(AP95&gt;AQ95*1.05,AP95-AQ95*1.05,IF(AP95&lt;AQ95*0.95,AQ95*0.95-AP95,0))</f>
        <v/>
      </c>
      <c r="AS95" s="34">
        <f>MAX(F95:G95,750)*0.05*AR95</f>
        <v/>
      </c>
      <c r="AT95" t="n">
        <v>13</v>
      </c>
      <c r="AU95" s="34">
        <f>IF(AP95&gt;AT95*1.05,AP95-AT95*1.05,IF(AP95&lt;AT95*0.95,AT95*0.95-AP95,0))</f>
        <v/>
      </c>
      <c r="AV95" s="34">
        <f>MAX(F95:G95,750)*0.05*AU95</f>
        <v/>
      </c>
      <c r="AW95" s="34">
        <f>AC95+AJ95+AQ95</f>
        <v/>
      </c>
      <c r="AX95" s="34">
        <f>AF95+AM95+AT95</f>
        <v/>
      </c>
      <c r="AY95" s="34">
        <f>AB95+AI95+AP95</f>
        <v/>
      </c>
      <c r="AZ95" s="34" t="n">
        <v>0</v>
      </c>
      <c r="BA95" s="34">
        <f>AD95+AK95+AR95</f>
        <v/>
      </c>
      <c r="BB95" s="34">
        <f>MAX(F95:G95,750)*0.05*BA95</f>
        <v/>
      </c>
      <c r="BC95" s="34">
        <f>AG95+AN95+AU95</f>
        <v/>
      </c>
      <c r="BD95" s="34">
        <f>MAX(F95:G95,750)*0.05*BC95</f>
        <v/>
      </c>
      <c r="BE95" s="34">
        <f>F95*AY95</f>
        <v/>
      </c>
      <c r="BF95" s="34">
        <f>K95-M95</f>
        <v/>
      </c>
      <c r="BG95" s="34">
        <f>P95-S95</f>
        <v/>
      </c>
      <c r="BH95" s="34">
        <f>W95-AA95</f>
        <v/>
      </c>
      <c r="BI95" s="34">
        <f>BF95+BG95+BL95-BN95</f>
        <v/>
      </c>
      <c r="BJ95" s="34">
        <f>ABS(BK95)</f>
        <v/>
      </c>
      <c r="BK95" s="34">
        <f>AY95-(J95-L95+N95-Q95)</f>
        <v/>
      </c>
      <c r="BL95" s="34">
        <f>IF(AND(BK95&gt;0,MIN($F95:$G95)&lt;150,$E95="Enerji Açığı"),-100*BK95*1.03,IF(AND(BK95&gt;0,MIN($F95:$G95)&lt;150,$E95="Enerji Fazlası"),-100*BK95*1.06,IF(AND(BK95&gt;0,MIN($F95:$G95)&gt;=150,$E95="Enerji Açığı"),BK95*MIN($F95:$G95)*0.97,IF(AND(BK95&gt;0,MIN($F95:$G95)&gt;=150,$E95="Enerji Fazlası"),BK95*MIN($F95:$G95)*0.94,IF(AND(BK95&lt;0,MAX($F95:$G95)=4500,$E95="Enerji Açığı"),4500*1.05*1.06*BK95,IF(AND(BK95&lt;0,MAX($F95:$G95)=4500,$E95="Enerji Fazlası"),4500*1.05*1.03*BK95,IF(AND(BK95&lt;0,$E95="Enerji Açığı"),MAX($F95,$G95,150)*BK95*1.06,IF(AND(BK95&lt;0,$E95="Enerji Fazlası"),MAX($F95,$G95,150)*BK95*1.03,IF(AND(BK95&lt;0,$E95="Dengede"),MAX($F95:$G95,150)*1.03*BK95,MIN($F95:$G95)*0.97*BK95)))))))))</f>
        <v/>
      </c>
      <c r="BM95" s="34">
        <f>BE95-BI95-BN95</f>
        <v/>
      </c>
      <c r="BN95" s="34">
        <f>BB95</f>
        <v/>
      </c>
      <c r="BO95" s="34">
        <f>BE95-BI95</f>
        <v/>
      </c>
      <c r="BP95" s="34">
        <f>IF(AY95=0,0,BO95/AY95)</f>
        <v/>
      </c>
      <c r="BQ95" s="34">
        <f>MAX((AY95+MAX((-J95+L95-N95+Q95),0)),(MAX((J95-L95+N95-Q95),0)))</f>
        <v/>
      </c>
      <c r="BR95" s="82">
        <f>IFERROR(ABS(BK95/BQ95),0)</f>
        <v/>
      </c>
      <c r="BS95" s="34">
        <f>IF(BR95&lt;=0.1,0,BK95/BR95*(BR95-0.1))</f>
        <v/>
      </c>
      <c r="BT95" s="34">
        <f>IF((BS95)&lt;0,MAX(F95:G95)*(BS95)*1.03,MIN(F95:G95)*(BS95)*0.97)</f>
        <v/>
      </c>
      <c r="BU95" s="34">
        <f>IF(BR95&gt;0.1,1,0)</f>
        <v/>
      </c>
      <c r="BV95" s="34">
        <f>BF95+BG95+BH95+BY95-CA95</f>
        <v/>
      </c>
      <c r="BW95" s="34">
        <f>ABS(BX95)</f>
        <v/>
      </c>
      <c r="BX95" s="34">
        <f>AY95-(J95-L95+N95-Q95+T95-X95)</f>
        <v/>
      </c>
      <c r="BY95" s="34">
        <f>IF(AND(BX95&gt;0,MIN($F95:$G95)&lt;150,$E95="Enerji Açığı"),-100*BX95*1.03,IF(AND(BX95&gt;0,MIN($F95:$G95)&lt;150,$E95="Enerji Fazlası"),-100*BX95*1.06,IF(AND(BX95&gt;0,MIN($F95:$G95)&gt;=150,$E95="Enerji Açığı"),BX95*MIN($F95:$G95)*0.97,IF(AND(BX95&gt;0,MIN($F95:$G95)&gt;=150,$E95="Enerji Fazlası"),BX95*MIN($F95:$G95)*0.94,IF(AND(BX95&lt;0,MAX($F95:$G95)=4500,$E95="Enerji Açığı"),4500*1.05*1.06*BX95,IF(AND(BX95&lt;0,MAX($F95:$G95)=4500,$E95="Enerji Fazlası"),4500*1.05*1.03*BX95,IF(AND(BX95&lt;0,$E95="Enerji Açığı"),MAX($F95,$G95,150)*BX95*1.06,IF(AND(BX95&lt;0,$E95="Enerji Fazlası"),MAX($F95,$G95,150)*BX95*1.03,IF(AND(BX95&lt;0,$E95="Dengede"),MAX($F95:$G95,150)*1.03*BX95,MIN($F95:$G95)*0.97*BX95)))))))))</f>
        <v/>
      </c>
      <c r="BZ95" s="34">
        <f>BE95-BV95-CA95</f>
        <v/>
      </c>
      <c r="CA95" s="34">
        <f>BD95</f>
        <v/>
      </c>
      <c r="CB95" s="33">
        <f>BE95-BV95</f>
        <v/>
      </c>
      <c r="CC95" s="34">
        <f>IF(AY95=0,0,CB95/AY95)</f>
        <v/>
      </c>
      <c r="CD95" s="34">
        <f>MAX((AY95+MAX((-J95+L95-N95+Q95-T95+X95),0)),(MAX((J95-L95+N95-Q95+T95-X95),0)))</f>
        <v/>
      </c>
      <c r="CE95" s="82">
        <f>IFERROR(ABS(BX95/CD95),0)</f>
        <v/>
      </c>
      <c r="CF95" s="34">
        <f>IF(CE95&lt;=0.1,0,BX95/CE95*(CE95-0.1))</f>
        <v/>
      </c>
      <c r="CG95" s="34">
        <f>IF((CF95)&lt;0,MAX(F95:G95)*(CF95)*1.03,MIN(F95:G95)*(CF95)*0.97)</f>
        <v/>
      </c>
      <c r="CH95" s="34">
        <f>IF(CE95&gt;0.1,1,0)</f>
        <v/>
      </c>
      <c r="CI95" s="34">
        <f>(F95*BX95)-BY95</f>
        <v/>
      </c>
      <c r="CJ95" s="34">
        <f>IF(AY95=0,0,CI95/AY95)</f>
        <v/>
      </c>
    </row>
    <row r="96">
      <c r="A96" s="29" t="n">
        <v>46207.875</v>
      </c>
      <c r="B96" s="29" t="inlineStr">
        <is>
          <t>21:00</t>
        </is>
      </c>
      <c r="C96" s="35">
        <f>INT(A96)</f>
        <v/>
      </c>
      <c r="D96" s="36">
        <f>MONTH(A96)</f>
        <v/>
      </c>
      <c r="E96" s="147" t="inlineStr">
        <is>
          <t>Enerji Açığı</t>
        </is>
      </c>
      <c r="F96" s="30" t="n">
        <v>4030.12</v>
      </c>
      <c r="G96" s="30" t="n">
        <v>4377</v>
      </c>
      <c r="H96" s="30" t="n">
        <v>86.47</v>
      </c>
      <c r="I96" s="30" t="n">
        <v>4451.17</v>
      </c>
      <c r="J96" s="119" t="n">
        <v>0</v>
      </c>
      <c r="K96" s="34">
        <f>F96*J96</f>
        <v/>
      </c>
      <c r="L96" s="119" t="n">
        <v>0</v>
      </c>
      <c r="M96" s="34">
        <f>L96*F96</f>
        <v/>
      </c>
      <c r="N96" s="119" t="n">
        <v>21</v>
      </c>
      <c r="O96" s="34">
        <f>F96</f>
        <v/>
      </c>
      <c r="P96" s="34">
        <f>N96*O96</f>
        <v/>
      </c>
      <c r="Q96" s="117" t="n">
        <v>0</v>
      </c>
      <c r="R96" s="34">
        <f>F96</f>
        <v/>
      </c>
      <c r="S96" s="34">
        <f>R96*Q96</f>
        <v/>
      </c>
      <c r="T96" s="34" t="n"/>
      <c r="U96" s="34">
        <f>IFERROR(W96/T96,0)</f>
        <v/>
      </c>
      <c r="V96" s="34">
        <f>IF(U96=0,0,U96-F96)</f>
        <v/>
      </c>
      <c r="W96" s="34" t="n"/>
      <c r="X96" s="34" t="n"/>
      <c r="Y96" s="34">
        <f>IFERROR(AA96/X96,0)</f>
        <v/>
      </c>
      <c r="Z96" s="34">
        <f>IF(Y96=0,0,F96-Y96)</f>
        <v/>
      </c>
      <c r="AA96" s="34" t="n"/>
      <c r="AB96" s="34" t="n">
        <v>0</v>
      </c>
      <c r="AC96" s="34" t="n">
        <v>0</v>
      </c>
      <c r="AD96" s="34">
        <f>IF(AB96&gt;AC96*1.05,AB96-AC96*1.05,IF(AB96&lt;AC96*0.95,AC96*0.95-AB96,0))</f>
        <v/>
      </c>
      <c r="AE96" s="34">
        <f>MAX(F96,G96,750)*0.05*AD96</f>
        <v/>
      </c>
      <c r="AF96" s="34" t="n">
        <v>0</v>
      </c>
      <c r="AG96" s="34">
        <f>IF(AB96&gt;AF96*1.05,AB96-AF96*1.05,IF(AB96&lt;AF96*0.95,AF96*0.95-AB96,0))</f>
        <v/>
      </c>
      <c r="AH96" s="34">
        <f>MAX(I96,J96,750)*0.05*AG96</f>
        <v/>
      </c>
      <c r="AI96" t="n">
        <v>10.12</v>
      </c>
      <c r="AJ96" t="n">
        <v>10</v>
      </c>
      <c r="AK96" s="34">
        <f>IF(AI96&gt;AJ96*1.05,AI96-AJ96*1.05,IF(AI96&lt;AJ96*0.95,AJ96*0.95-AI96,0))</f>
        <v/>
      </c>
      <c r="AL96" s="34">
        <f>MAX(F96,G96,750)*0.05*AK96</f>
        <v/>
      </c>
      <c r="AM96" s="39" t="n">
        <v>10</v>
      </c>
      <c r="AN96" s="34">
        <f>IF(AI96&gt;AM96*1.05,AI96-AM96*1.05,IF(AI96&lt;AM96*0.95,AM96*0.95-AI96,0))</f>
        <v/>
      </c>
      <c r="AO96" s="34">
        <f>MAX(F96,G96,750)*0.05*AN96</f>
        <v/>
      </c>
      <c r="AP96" s="34" t="n">
        <v>11.09</v>
      </c>
      <c r="AQ96" s="34" t="n">
        <v>11</v>
      </c>
      <c r="AR96" s="34">
        <f>IF(AP96&gt;AQ96*1.05,AP96-AQ96*1.05,IF(AP96&lt;AQ96*0.95,AQ96*0.95-AP96,0))</f>
        <v/>
      </c>
      <c r="AS96" s="34">
        <f>MAX(F96:G96,750)*0.05*AR96</f>
        <v/>
      </c>
      <c r="AT96" t="n">
        <v>11</v>
      </c>
      <c r="AU96" s="34">
        <f>IF(AP96&gt;AT96*1.05,AP96-AT96*1.05,IF(AP96&lt;AT96*0.95,AT96*0.95-AP96,0))</f>
        <v/>
      </c>
      <c r="AV96" s="34">
        <f>MAX(F96:G96,750)*0.05*AU96</f>
        <v/>
      </c>
      <c r="AW96" s="34">
        <f>AC96+AJ96+AQ96</f>
        <v/>
      </c>
      <c r="AX96" s="34">
        <f>AF96+AM96+AT96</f>
        <v/>
      </c>
      <c r="AY96" s="34">
        <f>AB96+AI96+AP96</f>
        <v/>
      </c>
      <c r="AZ96" s="34" t="n">
        <v>0</v>
      </c>
      <c r="BA96" s="34">
        <f>AD96+AK96+AR96</f>
        <v/>
      </c>
      <c r="BB96" s="34">
        <f>MAX(F96:G96,750)*0.05*BA96</f>
        <v/>
      </c>
      <c r="BC96" s="34">
        <f>AG96+AN96+AU96</f>
        <v/>
      </c>
      <c r="BD96" s="34">
        <f>MAX(F96:G96,750)*0.05*BC96</f>
        <v/>
      </c>
      <c r="BE96" s="34">
        <f>F96*AY96</f>
        <v/>
      </c>
      <c r="BF96" s="34">
        <f>K96-M96</f>
        <v/>
      </c>
      <c r="BG96" s="34">
        <f>P96-S96</f>
        <v/>
      </c>
      <c r="BH96" s="34">
        <f>W96-AA96</f>
        <v/>
      </c>
      <c r="BI96" s="34">
        <f>BF96+BG96+BL96-BN96</f>
        <v/>
      </c>
      <c r="BJ96" s="34">
        <f>ABS(BK96)</f>
        <v/>
      </c>
      <c r="BK96" s="34">
        <f>AY96-(J96-L96+N96-Q96)</f>
        <v/>
      </c>
      <c r="BL96" s="34">
        <f>IF(AND(BK96&gt;0,MIN($F96:$G96)&lt;150,$E96="Enerji Açığı"),-100*BK96*1.03,IF(AND(BK96&gt;0,MIN($F96:$G96)&lt;150,$E96="Enerji Fazlası"),-100*BK96*1.06,IF(AND(BK96&gt;0,MIN($F96:$G96)&gt;=150,$E96="Enerji Açığı"),BK96*MIN($F96:$G96)*0.97,IF(AND(BK96&gt;0,MIN($F96:$G96)&gt;=150,$E96="Enerji Fazlası"),BK96*MIN($F96:$G96)*0.94,IF(AND(BK96&lt;0,MAX($F96:$G96)=4500,$E96="Enerji Açığı"),4500*1.05*1.06*BK96,IF(AND(BK96&lt;0,MAX($F96:$G96)=4500,$E96="Enerji Fazlası"),4500*1.05*1.03*BK96,IF(AND(BK96&lt;0,$E96="Enerji Açığı"),MAX($F96,$G96,150)*BK96*1.06,IF(AND(BK96&lt;0,$E96="Enerji Fazlası"),MAX($F96,$G96,150)*BK96*1.03,IF(AND(BK96&lt;0,$E96="Dengede"),MAX($F96:$G96,150)*1.03*BK96,MIN($F96:$G96)*0.97*BK96)))))))))</f>
        <v/>
      </c>
      <c r="BM96" s="34">
        <f>BE96-BI96-BN96</f>
        <v/>
      </c>
      <c r="BN96" s="34">
        <f>BB96</f>
        <v/>
      </c>
      <c r="BO96" s="34">
        <f>BE96-BI96</f>
        <v/>
      </c>
      <c r="BP96" s="34">
        <f>IF(AY96=0,0,BO96/AY96)</f>
        <v/>
      </c>
      <c r="BQ96" s="34">
        <f>MAX((AY96+MAX((-J96+L96-N96+Q96),0)),(MAX((J96-L96+N96-Q96),0)))</f>
        <v/>
      </c>
      <c r="BR96" s="82">
        <f>IFERROR(ABS(BK96/BQ96),0)</f>
        <v/>
      </c>
      <c r="BS96" s="34">
        <f>IF(BR96&lt;=0.1,0,BK96/BR96*(BR96-0.1))</f>
        <v/>
      </c>
      <c r="BT96" s="34">
        <f>IF((BS96)&lt;0,MAX(F96:G96)*(BS96)*1.03,MIN(F96:G96)*(BS96)*0.97)</f>
        <v/>
      </c>
      <c r="BU96" s="34">
        <f>IF(BR96&gt;0.1,1,0)</f>
        <v/>
      </c>
      <c r="BV96" s="34">
        <f>BF96+BG96+BH96+BY96-CA96</f>
        <v/>
      </c>
      <c r="BW96" s="34">
        <f>ABS(BX96)</f>
        <v/>
      </c>
      <c r="BX96" s="34">
        <f>AY96-(J96-L96+N96-Q96+T96-X96)</f>
        <v/>
      </c>
      <c r="BY96" s="34">
        <f>IF(AND(BX96&gt;0,MIN($F96:$G96)&lt;150,$E96="Enerji Açığı"),-100*BX96*1.03,IF(AND(BX96&gt;0,MIN($F96:$G96)&lt;150,$E96="Enerji Fazlası"),-100*BX96*1.06,IF(AND(BX96&gt;0,MIN($F96:$G96)&gt;=150,$E96="Enerji Açığı"),BX96*MIN($F96:$G96)*0.97,IF(AND(BX96&gt;0,MIN($F96:$G96)&gt;=150,$E96="Enerji Fazlası"),BX96*MIN($F96:$G96)*0.94,IF(AND(BX96&lt;0,MAX($F96:$G96)=4500,$E96="Enerji Açığı"),4500*1.05*1.06*BX96,IF(AND(BX96&lt;0,MAX($F96:$G96)=4500,$E96="Enerji Fazlası"),4500*1.05*1.03*BX96,IF(AND(BX96&lt;0,$E96="Enerji Açığı"),MAX($F96,$G96,150)*BX96*1.06,IF(AND(BX96&lt;0,$E96="Enerji Fazlası"),MAX($F96,$G96,150)*BX96*1.03,IF(AND(BX96&lt;0,$E96="Dengede"),MAX($F96:$G96,150)*1.03*BX96,MIN($F96:$G96)*0.97*BX96)))))))))</f>
        <v/>
      </c>
      <c r="BZ96" s="34">
        <f>BE96-BV96-CA96</f>
        <v/>
      </c>
      <c r="CA96" s="34">
        <f>BD96</f>
        <v/>
      </c>
      <c r="CB96" s="33">
        <f>BE96-BV96</f>
        <v/>
      </c>
      <c r="CC96" s="34">
        <f>IF(AY96=0,0,CB96/AY96)</f>
        <v/>
      </c>
      <c r="CD96" s="34">
        <f>MAX((AY96+MAX((-J96+L96-N96+Q96-T96+X96),0)),(MAX((J96-L96+N96-Q96+T96-X96),0)))</f>
        <v/>
      </c>
      <c r="CE96" s="82">
        <f>IFERROR(ABS(BX96/CD96),0)</f>
        <v/>
      </c>
      <c r="CF96" s="34">
        <f>IF(CE96&lt;=0.1,0,BX96/CE96*(CE96-0.1))</f>
        <v/>
      </c>
      <c r="CG96" s="34">
        <f>IF((CF96)&lt;0,MAX(F96:G96)*(CF96)*1.03,MIN(F96:G96)*(CF96)*0.97)</f>
        <v/>
      </c>
      <c r="CH96" s="34">
        <f>IF(CE96&gt;0.1,1,0)</f>
        <v/>
      </c>
      <c r="CI96" s="34">
        <f>(F96*BX96)-BY96</f>
        <v/>
      </c>
      <c r="CJ96" s="34">
        <f>IF(AY96=0,0,CI96/AY96)</f>
        <v/>
      </c>
    </row>
    <row r="97">
      <c r="A97" s="29" t="n">
        <v>46207.91666666666</v>
      </c>
      <c r="B97" s="29" t="inlineStr">
        <is>
          <t>22:00</t>
        </is>
      </c>
      <c r="C97" s="35">
        <f>INT(A97)</f>
        <v/>
      </c>
      <c r="D97" s="36">
        <f>MONTH(A97)</f>
        <v/>
      </c>
      <c r="E97" s="147" t="inlineStr">
        <is>
          <t>Enerji Açığı</t>
        </is>
      </c>
      <c r="F97" s="30" t="n">
        <v>3400.01</v>
      </c>
      <c r="G97" s="30" t="n">
        <v>4100</v>
      </c>
      <c r="H97" s="30" t="n">
        <v>72.95</v>
      </c>
      <c r="I97" s="30" t="n">
        <v>3947.39</v>
      </c>
      <c r="J97" s="119" t="n">
        <v>0</v>
      </c>
      <c r="K97" s="34">
        <f>F97*J97</f>
        <v/>
      </c>
      <c r="L97" s="119" t="n">
        <v>0</v>
      </c>
      <c r="M97" s="34">
        <f>L97*F97</f>
        <v/>
      </c>
      <c r="N97" s="119" t="n">
        <v>20</v>
      </c>
      <c r="O97" s="34">
        <f>F97</f>
        <v/>
      </c>
      <c r="P97" s="34">
        <f>N97*O97</f>
        <v/>
      </c>
      <c r="Q97" s="117" t="n">
        <v>0</v>
      </c>
      <c r="R97" s="34">
        <f>F97</f>
        <v/>
      </c>
      <c r="S97" s="34">
        <f>R97*Q97</f>
        <v/>
      </c>
      <c r="T97" s="34" t="n"/>
      <c r="U97" s="34">
        <f>IFERROR(W97/T97,0)</f>
        <v/>
      </c>
      <c r="V97" s="34">
        <f>IF(U97=0,0,U97-F97)</f>
        <v/>
      </c>
      <c r="W97" s="34" t="n"/>
      <c r="X97" s="34" t="n"/>
      <c r="Y97" s="34">
        <f>IFERROR(AA97/X97,0)</f>
        <v/>
      </c>
      <c r="Z97" s="34">
        <f>IF(Y97=0,0,F97-Y97)</f>
        <v/>
      </c>
      <c r="AA97" s="34" t="n"/>
      <c r="AB97" s="34" t="n">
        <v>0</v>
      </c>
      <c r="AC97" s="34" t="n">
        <v>0</v>
      </c>
      <c r="AD97" s="34">
        <f>IF(AB97&gt;AC97*1.05,AB97-AC97*1.05,IF(AB97&lt;AC97*0.95,AC97*0.95-AB97,0))</f>
        <v/>
      </c>
      <c r="AE97" s="34">
        <f>MAX(F97,G97,750)*0.05*AD97</f>
        <v/>
      </c>
      <c r="AF97" s="34" t="n">
        <v>0</v>
      </c>
      <c r="AG97" s="34">
        <f>IF(AB97&gt;AF97*1.05,AB97-AF97*1.05,IF(AB97&lt;AF97*0.95,AF97*0.95-AB97,0))</f>
        <v/>
      </c>
      <c r="AH97" s="34">
        <f>MAX(I97,J97,750)*0.05*AG97</f>
        <v/>
      </c>
      <c r="AI97" t="n">
        <v>8.19</v>
      </c>
      <c r="AJ97" t="n">
        <v>9</v>
      </c>
      <c r="AK97" s="34">
        <f>IF(AI97&gt;AJ97*1.05,AI97-AJ97*1.05,IF(AI97&lt;AJ97*0.95,AJ97*0.95-AI97,0))</f>
        <v/>
      </c>
      <c r="AL97" s="34">
        <f>MAX(F97,G97,750)*0.05*AK97</f>
        <v/>
      </c>
      <c r="AM97" s="39" t="n">
        <v>8</v>
      </c>
      <c r="AN97" s="34">
        <f>IF(AI97&gt;AM97*1.05,AI97-AM97*1.05,IF(AI97&lt;AM97*0.95,AM97*0.95-AI97,0))</f>
        <v/>
      </c>
      <c r="AO97" s="34">
        <f>MAX(F97,G97,750)*0.05*AN97</f>
        <v/>
      </c>
      <c r="AP97" s="34" t="n">
        <v>11.08</v>
      </c>
      <c r="AQ97" s="34" t="n">
        <v>11</v>
      </c>
      <c r="AR97" s="34">
        <f>IF(AP97&gt;AQ97*1.05,AP97-AQ97*1.05,IF(AP97&lt;AQ97*0.95,AQ97*0.95-AP97,0))</f>
        <v/>
      </c>
      <c r="AS97" s="34">
        <f>MAX(F97:G97,750)*0.05*AR97</f>
        <v/>
      </c>
      <c r="AT97" t="n">
        <v>11</v>
      </c>
      <c r="AU97" s="34">
        <f>IF(AP97&gt;AT97*1.05,AP97-AT97*1.05,IF(AP97&lt;AT97*0.95,AT97*0.95-AP97,0))</f>
        <v/>
      </c>
      <c r="AV97" s="34">
        <f>MAX(F97:G97,750)*0.05*AU97</f>
        <v/>
      </c>
      <c r="AW97" s="34">
        <f>AC97+AJ97+AQ97</f>
        <v/>
      </c>
      <c r="AX97" s="34">
        <f>AF97+AM97+AT97</f>
        <v/>
      </c>
      <c r="AY97" s="34">
        <f>AB97+AI97+AP97</f>
        <v/>
      </c>
      <c r="AZ97" s="34" t="n">
        <v>0</v>
      </c>
      <c r="BA97" s="34">
        <f>AD97+AK97+AR97</f>
        <v/>
      </c>
      <c r="BB97" s="34">
        <f>MAX(F97:G97,750)*0.05*BA97</f>
        <v/>
      </c>
      <c r="BC97" s="34">
        <f>AG97+AN97+AU97</f>
        <v/>
      </c>
      <c r="BD97" s="34">
        <f>MAX(F97:G97,750)*0.05*BC97</f>
        <v/>
      </c>
      <c r="BE97" s="34">
        <f>F97*AY97</f>
        <v/>
      </c>
      <c r="BF97" s="34">
        <f>K97-M97</f>
        <v/>
      </c>
      <c r="BG97" s="34">
        <f>P97-S97</f>
        <v/>
      </c>
      <c r="BH97" s="34">
        <f>W97-AA97</f>
        <v/>
      </c>
      <c r="BI97" s="34">
        <f>BF97+BG97+BL97-BN97</f>
        <v/>
      </c>
      <c r="BJ97" s="34">
        <f>ABS(BK97)</f>
        <v/>
      </c>
      <c r="BK97" s="34">
        <f>AY97-(J97-L97+N97-Q97)</f>
        <v/>
      </c>
      <c r="BL97" s="34">
        <f>IF(AND(BK97&gt;0,MIN($F97:$G97)&lt;150,$E97="Enerji Açığı"),-100*BK97*1.03,IF(AND(BK97&gt;0,MIN($F97:$G97)&lt;150,$E97="Enerji Fazlası"),-100*BK97*1.06,IF(AND(BK97&gt;0,MIN($F97:$G97)&gt;=150,$E97="Enerji Açığı"),BK97*MIN($F97:$G97)*0.97,IF(AND(BK97&gt;0,MIN($F97:$G97)&gt;=150,$E97="Enerji Fazlası"),BK97*MIN($F97:$G97)*0.94,IF(AND(BK97&lt;0,MAX($F97:$G97)=4500,$E97="Enerji Açığı"),4500*1.05*1.06*BK97,IF(AND(BK97&lt;0,MAX($F97:$G97)=4500,$E97="Enerji Fazlası"),4500*1.05*1.03*BK97,IF(AND(BK97&lt;0,$E97="Enerji Açığı"),MAX($F97,$G97,150)*BK97*1.06,IF(AND(BK97&lt;0,$E97="Enerji Fazlası"),MAX($F97,$G97,150)*BK97*1.03,IF(AND(BK97&lt;0,$E97="Dengede"),MAX($F97:$G97,150)*1.03*BK97,MIN($F97:$G97)*0.97*BK97)))))))))</f>
        <v/>
      </c>
      <c r="BM97" s="34">
        <f>BE97-BI97-BN97</f>
        <v/>
      </c>
      <c r="BN97" s="34">
        <f>BB97</f>
        <v/>
      </c>
      <c r="BO97" s="34">
        <f>BE97-BI97</f>
        <v/>
      </c>
      <c r="BP97" s="34">
        <f>IF(AY97=0,0,BO97/AY97)</f>
        <v/>
      </c>
      <c r="BQ97" s="34">
        <f>MAX((AY97+MAX((-J97+L97-N97+Q97),0)),(MAX((J97-L97+N97-Q97),0)))</f>
        <v/>
      </c>
      <c r="BR97" s="82">
        <f>IFERROR(ABS(BK97/BQ97),0)</f>
        <v/>
      </c>
      <c r="BS97" s="34">
        <f>IF(BR97&lt;=0.1,0,BK97/BR97*(BR97-0.1))</f>
        <v/>
      </c>
      <c r="BT97" s="34">
        <f>IF((BS97)&lt;0,MAX(F97:G97)*(BS97)*1.03,MIN(F97:G97)*(BS97)*0.97)</f>
        <v/>
      </c>
      <c r="BU97" s="34">
        <f>IF(BR97&gt;0.1,1,0)</f>
        <v/>
      </c>
      <c r="BV97" s="34">
        <f>BF97+BG97+BH97+BY97-CA97</f>
        <v/>
      </c>
      <c r="BW97" s="34">
        <f>ABS(BX97)</f>
        <v/>
      </c>
      <c r="BX97" s="34">
        <f>AY97-(J97-L97+N97-Q97+T97-X97)</f>
        <v/>
      </c>
      <c r="BY97" s="34">
        <f>IF(AND(BX97&gt;0,MIN($F97:$G97)&lt;150,$E97="Enerji Açığı"),-100*BX97*1.03,IF(AND(BX97&gt;0,MIN($F97:$G97)&lt;150,$E97="Enerji Fazlası"),-100*BX97*1.06,IF(AND(BX97&gt;0,MIN($F97:$G97)&gt;=150,$E97="Enerji Açığı"),BX97*MIN($F97:$G97)*0.97,IF(AND(BX97&gt;0,MIN($F97:$G97)&gt;=150,$E97="Enerji Fazlası"),BX97*MIN($F97:$G97)*0.94,IF(AND(BX97&lt;0,MAX($F97:$G97)=4500,$E97="Enerji Açığı"),4500*1.05*1.06*BX97,IF(AND(BX97&lt;0,MAX($F97:$G97)=4500,$E97="Enerji Fazlası"),4500*1.05*1.03*BX97,IF(AND(BX97&lt;0,$E97="Enerji Açığı"),MAX($F97,$G97,150)*BX97*1.06,IF(AND(BX97&lt;0,$E97="Enerji Fazlası"),MAX($F97,$G97,150)*BX97*1.03,IF(AND(BX97&lt;0,$E97="Dengede"),MAX($F97:$G97,150)*1.03*BX97,MIN($F97:$G97)*0.97*BX97)))))))))</f>
        <v/>
      </c>
      <c r="BZ97" s="34">
        <f>BE97-BV97-CA97</f>
        <v/>
      </c>
      <c r="CA97" s="34">
        <f>BD97</f>
        <v/>
      </c>
      <c r="CB97" s="33">
        <f>BE97-BV97</f>
        <v/>
      </c>
      <c r="CC97" s="34">
        <f>IF(AY97=0,0,CB97/AY97)</f>
        <v/>
      </c>
      <c r="CD97" s="34">
        <f>MAX((AY97+MAX((-J97+L97-N97+Q97-T97+X97),0)),(MAX((J97-L97+N97-Q97+T97-X97),0)))</f>
        <v/>
      </c>
      <c r="CE97" s="82">
        <f>IFERROR(ABS(BX97/CD97),0)</f>
        <v/>
      </c>
      <c r="CF97" s="34">
        <f>IF(CE97&lt;=0.1,0,BX97/CE97*(CE97-0.1))</f>
        <v/>
      </c>
      <c r="CG97" s="34">
        <f>IF((CF97)&lt;0,MAX(F97:G97)*(CF97)*1.03,MIN(F97:G97)*(CF97)*0.97)</f>
        <v/>
      </c>
      <c r="CH97" s="34">
        <f>IF(CE97&gt;0.1,1,0)</f>
        <v/>
      </c>
      <c r="CI97" s="34">
        <f>(F97*BX97)-BY97</f>
        <v/>
      </c>
      <c r="CJ97" s="34">
        <f>IF(AY97=0,0,CI97/AY97)</f>
        <v/>
      </c>
      <c r="CK97" t="inlineStr">
        <is>
          <t>l</t>
        </is>
      </c>
    </row>
    <row r="98">
      <c r="A98" s="29" t="n">
        <v>46207.95833333334</v>
      </c>
      <c r="B98" s="29" t="inlineStr">
        <is>
          <t>23:00</t>
        </is>
      </c>
      <c r="C98" s="35">
        <f>INT(A98)</f>
        <v/>
      </c>
      <c r="D98" s="36">
        <f>MONTH(A98)</f>
        <v/>
      </c>
      <c r="E98" s="147" t="inlineStr">
        <is>
          <t>Enerji Açığı</t>
        </is>
      </c>
      <c r="F98" s="30" t="n">
        <v>2099.99</v>
      </c>
      <c r="G98" s="30" t="n">
        <v>4048</v>
      </c>
      <c r="H98" s="30" t="n">
        <v>45.06</v>
      </c>
      <c r="I98" s="30" t="n">
        <v>2719.6</v>
      </c>
      <c r="J98" s="119" t="n">
        <v>0</v>
      </c>
      <c r="K98" s="34">
        <f>F98*J98</f>
        <v/>
      </c>
      <c r="L98" s="119" t="n">
        <v>0</v>
      </c>
      <c r="M98" s="34">
        <f>L98*F98</f>
        <v/>
      </c>
      <c r="N98" s="119" t="n">
        <v>20</v>
      </c>
      <c r="O98" s="34">
        <f>F98</f>
        <v/>
      </c>
      <c r="P98" s="34">
        <f>N98*O98</f>
        <v/>
      </c>
      <c r="Q98" s="117" t="n">
        <v>0</v>
      </c>
      <c r="R98" s="34">
        <f>F98</f>
        <v/>
      </c>
      <c r="S98" s="34">
        <f>R98*Q98</f>
        <v/>
      </c>
      <c r="T98" s="34" t="n"/>
      <c r="U98" s="34">
        <f>IFERROR(W98/T98,0)</f>
        <v/>
      </c>
      <c r="V98" s="34">
        <f>IF(U98=0,0,U98-F98)</f>
        <v/>
      </c>
      <c r="W98" s="34" t="n"/>
      <c r="X98" s="34" t="n"/>
      <c r="Y98" s="34">
        <f>IFERROR(AA98/X98,0)</f>
        <v/>
      </c>
      <c r="Z98" s="34">
        <f>IF(Y98=0,0,F98-Y98)</f>
        <v/>
      </c>
      <c r="AA98" s="34" t="n"/>
      <c r="AB98" s="34" t="n">
        <v>0</v>
      </c>
      <c r="AC98" s="34" t="n">
        <v>0</v>
      </c>
      <c r="AD98" s="34">
        <f>IF(AB98&gt;AC98*1.05,AB98-AC98*1.05,IF(AB98&lt;AC98*0.95,AC98*0.95-AB98,0))</f>
        <v/>
      </c>
      <c r="AE98" s="34">
        <f>MAX(F98,G98,750)*0.05*AD98</f>
        <v/>
      </c>
      <c r="AF98" s="34" t="n">
        <v>0</v>
      </c>
      <c r="AG98" s="34">
        <f>IF(AB98&gt;AF98*1.05,AB98-AF98*1.05,IF(AB98&lt;AF98*0.95,AF98*0.95-AB98,0))</f>
        <v/>
      </c>
      <c r="AH98" s="34">
        <f>MAX(I98,J98,750)*0.05*AG98</f>
        <v/>
      </c>
      <c r="AI98" t="n">
        <v>9</v>
      </c>
      <c r="AJ98" t="n">
        <v>9</v>
      </c>
      <c r="AK98" s="34">
        <f>IF(AI98&gt;AJ98*1.05,AI98-AJ98*1.05,IF(AI98&lt;AJ98*0.95,AJ98*0.95-AI98,0))</f>
        <v/>
      </c>
      <c r="AL98" s="34">
        <f>MAX(F98,G98,750)*0.05*AK98</f>
        <v/>
      </c>
      <c r="AM98" s="39" t="n">
        <v>9</v>
      </c>
      <c r="AN98" s="34">
        <f>IF(AI98&gt;AM98*1.05,AI98-AM98*1.05,IF(AI98&lt;AM98*0.95,AM98*0.95-AI98,0))</f>
        <v/>
      </c>
      <c r="AO98" s="34">
        <f>MAX(F98,G98,750)*0.05*AN98</f>
        <v/>
      </c>
      <c r="AP98" s="34" t="n">
        <v>11.09</v>
      </c>
      <c r="AQ98" s="34" t="n">
        <v>11</v>
      </c>
      <c r="AR98" s="34">
        <f>IF(AP98&gt;AQ98*1.05,AP98-AQ98*1.05,IF(AP98&lt;AQ98*0.95,AQ98*0.95-AP98,0))</f>
        <v/>
      </c>
      <c r="AS98" s="34">
        <f>MAX(F98:G98,750)*0.05*AR98</f>
        <v/>
      </c>
      <c r="AT98" t="n">
        <v>11</v>
      </c>
      <c r="AU98" s="34">
        <f>IF(AP98&gt;AT98*1.05,AP98-AT98*1.05,IF(AP98&lt;AT98*0.95,AT98*0.95-AP98,0))</f>
        <v/>
      </c>
      <c r="AV98" s="34">
        <f>MAX(F98:G98,750)*0.05*AU98</f>
        <v/>
      </c>
      <c r="AW98" s="34">
        <f>AC98+AJ98+AQ98</f>
        <v/>
      </c>
      <c r="AX98" s="34">
        <f>AF98+AM98+AT98</f>
        <v/>
      </c>
      <c r="AY98" s="34">
        <f>AB98+AI98+AP98</f>
        <v/>
      </c>
      <c r="AZ98" s="34" t="n">
        <v>0</v>
      </c>
      <c r="BA98" s="34">
        <f>AD98+AK98+AR98</f>
        <v/>
      </c>
      <c r="BB98" s="34">
        <f>MAX(F98:G98,750)*0.05*BA98</f>
        <v/>
      </c>
      <c r="BC98" s="34">
        <f>AG98+AN98+AU98</f>
        <v/>
      </c>
      <c r="BD98" s="34">
        <f>MAX(F98:G98,750)*0.05*BC98</f>
        <v/>
      </c>
      <c r="BE98" s="34">
        <f>F98*AY98</f>
        <v/>
      </c>
      <c r="BF98" s="34">
        <f>K98-M98</f>
        <v/>
      </c>
      <c r="BG98" s="34">
        <f>P98-S98</f>
        <v/>
      </c>
      <c r="BH98" s="34">
        <f>W98-AA98</f>
        <v/>
      </c>
      <c r="BI98" s="34">
        <f>BF98+BG98+BL98-BN98</f>
        <v/>
      </c>
      <c r="BJ98" s="34">
        <f>ABS(BK98)</f>
        <v/>
      </c>
      <c r="BK98" s="34">
        <f>AY98-(J98-L98+N98-Q98)</f>
        <v/>
      </c>
      <c r="BL98" s="34">
        <f>IF(AND(BK98&gt;0,MIN($F98:$G98)&lt;150,$E98="Enerji Açığı"),-100*BK98*1.03,IF(AND(BK98&gt;0,MIN($F98:$G98)&lt;150,$E98="Enerji Fazlası"),-100*BK98*1.06,IF(AND(BK98&gt;0,MIN($F98:$G98)&gt;=150,$E98="Enerji Açığı"),BK98*MIN($F98:$G98)*0.97,IF(AND(BK98&gt;0,MIN($F98:$G98)&gt;=150,$E98="Enerji Fazlası"),BK98*MIN($F98:$G98)*0.94,IF(AND(BK98&lt;0,MAX($F98:$G98)=4500,$E98="Enerji Açığı"),4500*1.05*1.06*BK98,IF(AND(BK98&lt;0,MAX($F98:$G98)=4500,$E98="Enerji Fazlası"),4500*1.05*1.03*BK98,IF(AND(BK98&lt;0,$E98="Enerji Açığı"),MAX($F98,$G98,150)*BK98*1.06,IF(AND(BK98&lt;0,$E98="Enerji Fazlası"),MAX($F98,$G98,150)*BK98*1.03,IF(AND(BK98&lt;0,$E98="Dengede"),MAX($F98:$G98,150)*1.03*BK98,MIN($F98:$G98)*0.97*BK98)))))))))</f>
        <v/>
      </c>
      <c r="BM98" s="34">
        <f>BE98-BI98-BN98</f>
        <v/>
      </c>
      <c r="BN98" s="34">
        <f>BB98</f>
        <v/>
      </c>
      <c r="BO98" s="34">
        <f>BE98-BI98</f>
        <v/>
      </c>
      <c r="BP98" s="34">
        <f>IF(AY98=0,0,BO98/AY98)</f>
        <v/>
      </c>
      <c r="BQ98" s="34">
        <f>MAX((AY98+MAX((-J98+L98-N98+Q98),0)),(MAX((J98-L98+N98-Q98),0)))</f>
        <v/>
      </c>
      <c r="BR98" s="82">
        <f>IFERROR(ABS(BK98/BQ98),0)</f>
        <v/>
      </c>
      <c r="BS98" s="34">
        <f>IF(BR98&lt;=0.1,0,BK98/BR98*(BR98-0.1))</f>
        <v/>
      </c>
      <c r="BT98" s="34">
        <f>IF((BS98)&lt;0,MAX(F98:G98)*(BS98)*1.03,MIN(F98:G98)*(BS98)*0.97)</f>
        <v/>
      </c>
      <c r="BU98" s="34">
        <f>IF(BR98&gt;0.1,1,0)</f>
        <v/>
      </c>
      <c r="BV98" s="34">
        <f>BF98+BG98+BH98+BY98-CA98</f>
        <v/>
      </c>
      <c r="BW98" s="34">
        <f>ABS(BX98)</f>
        <v/>
      </c>
      <c r="BX98" s="34">
        <f>AY98-(J98-L98+N98-Q98+T98-X98)</f>
        <v/>
      </c>
      <c r="BY98" s="34">
        <f>IF(AND(BX98&gt;0,MIN($F98:$G98)&lt;150,$E98="Enerji Açığı"),-100*BX98*1.03,IF(AND(BX98&gt;0,MIN($F98:$G98)&lt;150,$E98="Enerji Fazlası"),-100*BX98*1.06,IF(AND(BX98&gt;0,MIN($F98:$G98)&gt;=150,$E98="Enerji Açığı"),BX98*MIN($F98:$G98)*0.97,IF(AND(BX98&gt;0,MIN($F98:$G98)&gt;=150,$E98="Enerji Fazlası"),BX98*MIN($F98:$G98)*0.94,IF(AND(BX98&lt;0,MAX($F98:$G98)=4500,$E98="Enerji Açığı"),4500*1.05*1.06*BX98,IF(AND(BX98&lt;0,MAX($F98:$G98)=4500,$E98="Enerji Fazlası"),4500*1.05*1.03*BX98,IF(AND(BX98&lt;0,$E98="Enerji Açığı"),MAX($F98,$G98,150)*BX98*1.06,IF(AND(BX98&lt;0,$E98="Enerji Fazlası"),MAX($F98,$G98,150)*BX98*1.03,IF(AND(BX98&lt;0,$E98="Dengede"),MAX($F98:$G98,150)*1.03*BX98,MIN($F98:$G98)*0.97*BX98)))))))))</f>
        <v/>
      </c>
      <c r="BZ98" s="34">
        <f>BE98-BV98-CA98</f>
        <v/>
      </c>
      <c r="CA98" s="34">
        <f>BD98</f>
        <v/>
      </c>
      <c r="CB98" s="33">
        <f>BE98-BV98</f>
        <v/>
      </c>
      <c r="CC98" s="34">
        <f>IF(AY98=0,0,CB98/AY98)</f>
        <v/>
      </c>
      <c r="CD98" s="34">
        <f>MAX((AY98+MAX((-J98+L98-N98+Q98-T98+X98),0)),(MAX((J98-L98+N98-Q98+T98-X98),0)))</f>
        <v/>
      </c>
      <c r="CE98" s="82">
        <f>IFERROR(ABS(BX98/CD98),0)</f>
        <v/>
      </c>
      <c r="CF98" s="34">
        <f>IF(CE98&lt;=0.1,0,BX98/CE98*(CE98-0.1))</f>
        <v/>
      </c>
      <c r="CG98" s="34">
        <f>IF((CF98)&lt;0,MAX(F98:G98)*(CF98)*1.03,MIN(F98:G98)*(CF98)*0.97)</f>
        <v/>
      </c>
      <c r="CH98" s="34">
        <f>IF(CE98&gt;0.1,1,0)</f>
        <v/>
      </c>
      <c r="CI98" s="34">
        <f>(F98*BX98)-BY98</f>
        <v/>
      </c>
      <c r="CJ98" s="34">
        <f>IF(AY98=0,0,CI98/AY98)</f>
        <v/>
      </c>
    </row>
    <row r="99">
      <c r="A99" s="29" t="n">
        <v>46208</v>
      </c>
      <c r="B99" s="29" t="inlineStr">
        <is>
          <t>00:00</t>
        </is>
      </c>
      <c r="C99" s="35">
        <f>INT(A99)</f>
        <v/>
      </c>
      <c r="D99" s="36">
        <f>MONTH(A99)</f>
        <v/>
      </c>
      <c r="E99" s="147" t="inlineStr">
        <is>
          <t>Enerji Fazlası</t>
        </is>
      </c>
      <c r="F99" s="30" t="n">
        <v>3400.01</v>
      </c>
      <c r="G99" s="30" t="n">
        <v>3400</v>
      </c>
      <c r="H99" s="30" t="n">
        <v>72.91</v>
      </c>
      <c r="I99" s="30" t="n">
        <v>3247.82</v>
      </c>
      <c r="J99" s="119" t="n">
        <v>0</v>
      </c>
      <c r="K99" s="34">
        <f>F99*J99</f>
        <v/>
      </c>
      <c r="L99" s="119" t="n">
        <v>0</v>
      </c>
      <c r="M99" s="34">
        <f>L99*F99</f>
        <v/>
      </c>
      <c r="N99" s="119" t="n">
        <v>21</v>
      </c>
      <c r="O99" s="34">
        <f>F99</f>
        <v/>
      </c>
      <c r="P99" s="34">
        <f>N99*O99</f>
        <v/>
      </c>
      <c r="Q99" s="117" t="n">
        <v>0</v>
      </c>
      <c r="R99" s="34">
        <f>F99</f>
        <v/>
      </c>
      <c r="S99" s="34">
        <f>R99*Q99</f>
        <v/>
      </c>
      <c r="T99" s="34" t="n"/>
      <c r="U99" s="34">
        <f>IFERROR(W99/T99,0)</f>
        <v/>
      </c>
      <c r="V99" s="34">
        <f>IF(U99=0,0,U99-F99)</f>
        <v/>
      </c>
      <c r="W99" s="34" t="n"/>
      <c r="X99" s="34" t="n"/>
      <c r="Y99" s="34">
        <f>IFERROR(AA99/X99,0)</f>
        <v/>
      </c>
      <c r="Z99" s="34">
        <f>IF(Y99=0,0,F99-Y99)</f>
        <v/>
      </c>
      <c r="AA99" s="34" t="n"/>
      <c r="AB99" s="34" t="n">
        <v>0</v>
      </c>
      <c r="AC99" s="34" t="n">
        <v>0</v>
      </c>
      <c r="AD99" s="34">
        <f>IF(AB99&gt;AC99*1.05,AB99-AC99*1.05,IF(AB99&lt;AC99*0.95,AC99*0.95-AB99,0))</f>
        <v/>
      </c>
      <c r="AE99" s="34">
        <f>MAX(F99,G99,750)*0.05*AD99</f>
        <v/>
      </c>
      <c r="AF99" s="34" t="n">
        <v>0</v>
      </c>
      <c r="AG99" s="34">
        <f>IF(AB99&gt;AF99*1.05,AB99-AF99*1.05,IF(AB99&lt;AF99*0.95,AF99*0.95-AB99,0))</f>
        <v/>
      </c>
      <c r="AH99" s="34">
        <f>MAX(I99,J99,750)*0.05*AG99</f>
        <v/>
      </c>
      <c r="AI99" t="n">
        <v>9.140000000000001</v>
      </c>
      <c r="AJ99" t="n">
        <v>9</v>
      </c>
      <c r="AK99" s="34">
        <f>IF(AI99&gt;AJ99*1.05,AI99-AJ99*1.05,IF(AI99&lt;AJ99*0.95,AJ99*0.95-AI99,0))</f>
        <v/>
      </c>
      <c r="AL99" s="34">
        <f>MAX(F99,G99,750)*0.05*AK99</f>
        <v/>
      </c>
      <c r="AM99" s="39" t="n">
        <v>9</v>
      </c>
      <c r="AN99" s="34">
        <f>IF(AI99&gt;AM99*1.05,AI99-AM99*1.05,IF(AI99&lt;AM99*0.95,AM99*0.95-AI99,0))</f>
        <v/>
      </c>
      <c r="AO99" s="34">
        <f>MAX(F99,G99,750)*0.05*AN99</f>
        <v/>
      </c>
      <c r="AP99" s="34" t="n">
        <v>12.1</v>
      </c>
      <c r="AQ99" s="34" t="n">
        <v>12</v>
      </c>
      <c r="AR99" s="34">
        <f>IF(AP99&gt;AQ99*1.05,AP99-AQ99*1.05,IF(AP99&lt;AQ99*0.95,AQ99*0.95-AP99,0))</f>
        <v/>
      </c>
      <c r="AS99" s="34">
        <f>MAX(F99:G99,750)*0.05*AR99</f>
        <v/>
      </c>
      <c r="AT99" t="n">
        <v>12</v>
      </c>
      <c r="AU99" s="34">
        <f>IF(AP99&gt;AT99*1.05,AP99-AT99*1.05,IF(AP99&lt;AT99*0.95,AT99*0.95-AP99,0))</f>
        <v/>
      </c>
      <c r="AV99" s="34">
        <f>MAX(F99:G99,750)*0.05*AU99</f>
        <v/>
      </c>
      <c r="AW99" s="34">
        <f>AC99+AJ99+AQ99</f>
        <v/>
      </c>
      <c r="AX99" s="34">
        <f>AF99+AM99+AT99</f>
        <v/>
      </c>
      <c r="AY99" s="34">
        <f>AB99+AI99+AP99</f>
        <v/>
      </c>
      <c r="AZ99" s="34" t="n">
        <v>0</v>
      </c>
      <c r="BA99" s="34">
        <f>AD99+AK99+AR99</f>
        <v/>
      </c>
      <c r="BB99" s="34">
        <f>MAX(F99:G99,750)*0.05*BA99</f>
        <v/>
      </c>
      <c r="BC99" s="34">
        <f>AG99+AN99+AU99</f>
        <v/>
      </c>
      <c r="BD99" s="34">
        <f>MAX(F99:G99,750)*0.05*BC99</f>
        <v/>
      </c>
      <c r="BE99" s="34">
        <f>F99*AY99</f>
        <v/>
      </c>
      <c r="BF99" s="34">
        <f>K99-M99</f>
        <v/>
      </c>
      <c r="BG99" s="34">
        <f>P99-S99</f>
        <v/>
      </c>
      <c r="BH99" s="34">
        <f>W99-AA99</f>
        <v/>
      </c>
      <c r="BI99" s="34">
        <f>BF99+BG99+BL99-BN99</f>
        <v/>
      </c>
      <c r="BJ99" s="34">
        <f>ABS(BK99)</f>
        <v/>
      </c>
      <c r="BK99" s="34">
        <f>AY99-(J99-L99+N99-Q99)</f>
        <v/>
      </c>
      <c r="BL99" s="34">
        <f>IF(AND(BK99&gt;0,MIN($F99:$G99)&lt;150,$E99="Enerji Açığı"),-100*BK99*1.03,IF(AND(BK99&gt;0,MIN($F99:$G99)&lt;150,$E99="Enerji Fazlası"),-100*BK99*1.06,IF(AND(BK99&gt;0,MIN($F99:$G99)&gt;=150,$E99="Enerji Açığı"),BK99*MIN($F99:$G99)*0.97,IF(AND(BK99&gt;0,MIN($F99:$G99)&gt;=150,$E99="Enerji Fazlası"),BK99*MIN($F99:$G99)*0.94,IF(AND(BK99&lt;0,MAX($F99:$G99)=4500,$E99="Enerji Açığı"),4500*1.05*1.06*BK99,IF(AND(BK99&lt;0,MAX($F99:$G99)=4500,$E99="Enerji Fazlası"),4500*1.05*1.03*BK99,IF(AND(BK99&lt;0,$E99="Enerji Açığı"),MAX($F99,$G99,150)*BK99*1.06,IF(AND(BK99&lt;0,$E99="Enerji Fazlası"),MAX($F99,$G99,150)*BK99*1.03,IF(AND(BK99&lt;0,$E99="Dengede"),MAX($F99:$G99,150)*1.03*BK99,MIN($F99:$G99)*0.97*BK99)))))))))</f>
        <v/>
      </c>
      <c r="BM99" s="34">
        <f>BE99-BI99-BN99</f>
        <v/>
      </c>
      <c r="BN99" s="34">
        <f>BB99</f>
        <v/>
      </c>
      <c r="BO99" s="34">
        <f>BE99-BI99</f>
        <v/>
      </c>
      <c r="BP99" s="34">
        <f>IF(AY99=0,0,BO99/AY99)</f>
        <v/>
      </c>
      <c r="BQ99" s="34">
        <f>MAX((AY99+MAX((-J99+L99-N99+Q99),0)),(MAX((J99-L99+N99-Q99),0)))</f>
        <v/>
      </c>
      <c r="BR99" s="82">
        <f>IFERROR(ABS(BK99/BQ99),0)</f>
        <v/>
      </c>
      <c r="BS99" s="34">
        <f>IF(BR99&lt;=0.1,0,BK99/BR99*(BR99-0.1))</f>
        <v/>
      </c>
      <c r="BT99" s="34">
        <f>IF((BS99)&lt;0,MAX(F99:G99)*(BS99)*1.03,MIN(F99:G99)*(BS99)*0.97)</f>
        <v/>
      </c>
      <c r="BU99" s="34">
        <f>IF(BR99&gt;0.1,1,0)</f>
        <v/>
      </c>
      <c r="BV99" s="34">
        <f>BF99+BG99+BH99+BY99-CA99</f>
        <v/>
      </c>
      <c r="BW99" s="34">
        <f>ABS(BX99)</f>
        <v/>
      </c>
      <c r="BX99" s="34">
        <f>AY99-(J99-L99+N99-Q99+T99-X99)</f>
        <v/>
      </c>
      <c r="BY99" s="34">
        <f>IF(AND(BX99&gt;0,MIN($F99:$G99)&lt;150,$E99="Enerji Açığı"),-100*BX99*1.03,IF(AND(BX99&gt;0,MIN($F99:$G99)&lt;150,$E99="Enerji Fazlası"),-100*BX99*1.06,IF(AND(BX99&gt;0,MIN($F99:$G99)&gt;=150,$E99="Enerji Açığı"),BX99*MIN($F99:$G99)*0.97,IF(AND(BX99&gt;0,MIN($F99:$G99)&gt;=150,$E99="Enerji Fazlası"),BX99*MIN($F99:$G99)*0.94,IF(AND(BX99&lt;0,MAX($F99:$G99)=4500,$E99="Enerji Açığı"),4500*1.05*1.06*BX99,IF(AND(BX99&lt;0,MAX($F99:$G99)=4500,$E99="Enerji Fazlası"),4500*1.05*1.03*BX99,IF(AND(BX99&lt;0,$E99="Enerji Açığı"),MAX($F99,$G99,150)*BX99*1.06,IF(AND(BX99&lt;0,$E99="Enerji Fazlası"),MAX($F99,$G99,150)*BX99*1.03,IF(AND(BX99&lt;0,$E99="Dengede"),MAX($F99:$G99,150)*1.03*BX99,MIN($F99:$G99)*0.97*BX99)))))))))</f>
        <v/>
      </c>
      <c r="BZ99" s="34">
        <f>BE99-BV99-CA99</f>
        <v/>
      </c>
      <c r="CA99" s="34">
        <f>BD99</f>
        <v/>
      </c>
      <c r="CB99" s="33">
        <f>BE99-BV99</f>
        <v/>
      </c>
      <c r="CC99" s="34">
        <f>IF(AY99=0,0,CB99/AY99)</f>
        <v/>
      </c>
      <c r="CD99" s="34">
        <f>MAX((AY99+MAX((-J99+L99-N99+Q99-T99+X99),0)),(MAX((J99-L99+N99-Q99+T99-X99),0)))</f>
        <v/>
      </c>
      <c r="CE99" s="82">
        <f>IFERROR(ABS(BX99/CD99),0)</f>
        <v/>
      </c>
      <c r="CF99" s="34">
        <f>IF(CE99&lt;=0.1,0,BX99/CE99*(CE99-0.1))</f>
        <v/>
      </c>
      <c r="CG99" s="34">
        <f>IF((CF99)&lt;0,MAX(F99:G99)*(CF99)*1.03,MIN(F99:G99)*(CF99)*0.97)</f>
        <v/>
      </c>
      <c r="CH99" s="34">
        <f>IF(CE99&gt;0.1,1,0)</f>
        <v/>
      </c>
      <c r="CI99" s="34">
        <f>(F99*BX99)-BY99</f>
        <v/>
      </c>
      <c r="CJ99" s="34">
        <f>IF(AY99=0,0,CI99/AY99)</f>
        <v/>
      </c>
    </row>
    <row r="100">
      <c r="A100" s="29" t="n">
        <v>46208.04166666666</v>
      </c>
      <c r="B100" s="29" t="inlineStr">
        <is>
          <t>01:00</t>
        </is>
      </c>
      <c r="C100" s="35">
        <f>INT(A100)</f>
        <v/>
      </c>
      <c r="D100" s="36">
        <f>MONTH(A100)</f>
        <v/>
      </c>
      <c r="E100" s="147" t="inlineStr">
        <is>
          <t>Enerji Fazlası</t>
        </is>
      </c>
      <c r="F100" s="30" t="n">
        <v>2874.99</v>
      </c>
      <c r="G100" s="30" t="n">
        <v>800</v>
      </c>
      <c r="H100" s="30" t="n">
        <v>61.65</v>
      </c>
      <c r="I100" s="30" t="n">
        <v>2784.13</v>
      </c>
      <c r="J100" s="119" t="n">
        <v>0</v>
      </c>
      <c r="K100" s="34">
        <f>F100*J100</f>
        <v/>
      </c>
      <c r="L100" s="119" t="n">
        <v>0</v>
      </c>
      <c r="M100" s="34">
        <f>L100*F100</f>
        <v/>
      </c>
      <c r="N100" s="119" t="n">
        <v>21</v>
      </c>
      <c r="O100" s="34">
        <f>F100</f>
        <v/>
      </c>
      <c r="P100" s="34">
        <f>N100*O100</f>
        <v/>
      </c>
      <c r="Q100" s="117" t="n">
        <v>0</v>
      </c>
      <c r="R100" s="34">
        <f>F100</f>
        <v/>
      </c>
      <c r="S100" s="34">
        <f>R100*Q100</f>
        <v/>
      </c>
      <c r="T100" s="34" t="n"/>
      <c r="U100" s="34">
        <f>IFERROR(W100/T100,0)</f>
        <v/>
      </c>
      <c r="V100" s="34">
        <f>IF(U100=0,0,U100-F100)</f>
        <v/>
      </c>
      <c r="W100" s="34" t="n"/>
      <c r="X100" s="34" t="n"/>
      <c r="Y100" s="34">
        <f>IFERROR(AA100/X100,0)</f>
        <v/>
      </c>
      <c r="Z100" s="34">
        <f>IF(Y100=0,0,F100-Y100)</f>
        <v/>
      </c>
      <c r="AA100" s="34" t="n"/>
      <c r="AB100" s="34" t="n">
        <v>0</v>
      </c>
      <c r="AC100" s="34" t="n">
        <v>0</v>
      </c>
      <c r="AD100" s="34">
        <f>IF(AB100&gt;AC100*1.05,AB100-AC100*1.05,IF(AB100&lt;AC100*0.95,AC100*0.95-AB100,0))</f>
        <v/>
      </c>
      <c r="AE100" s="34">
        <f>MAX(F100,G100,750)*0.05*AD100</f>
        <v/>
      </c>
      <c r="AF100" s="34" t="n">
        <v>0</v>
      </c>
      <c r="AG100" s="34">
        <f>IF(AB100&gt;AF100*1.05,AB100-AF100*1.05,IF(AB100&lt;AF100*0.95,AF100*0.95-AB100,0))</f>
        <v/>
      </c>
      <c r="AH100" s="34">
        <f>MAX(I100,J100,750)*0.05*AG100</f>
        <v/>
      </c>
      <c r="AI100" t="n">
        <v>8.24</v>
      </c>
      <c r="AJ100" t="n">
        <v>9</v>
      </c>
      <c r="AK100" s="34">
        <f>IF(AI100&gt;AJ100*1.05,AI100-AJ100*1.05,IF(AI100&lt;AJ100*0.95,AJ100*0.95-AI100,0))</f>
        <v/>
      </c>
      <c r="AL100" s="34">
        <f>MAX(F100,G100,750)*0.05*AK100</f>
        <v/>
      </c>
      <c r="AM100" s="39" t="n">
        <v>8</v>
      </c>
      <c r="AN100" s="34">
        <f>IF(AI100&gt;AM100*1.05,AI100-AM100*1.05,IF(AI100&lt;AM100*0.95,AM100*0.95-AI100,0))</f>
        <v/>
      </c>
      <c r="AO100" s="34">
        <f>MAX(F100,G100,750)*0.05*AN100</f>
        <v/>
      </c>
      <c r="AP100" s="34" t="n">
        <v>12.11</v>
      </c>
      <c r="AQ100" s="34" t="n">
        <v>12</v>
      </c>
      <c r="AR100" s="34">
        <f>IF(AP100&gt;AQ100*1.05,AP100-AQ100*1.05,IF(AP100&lt;AQ100*0.95,AQ100*0.95-AP100,0))</f>
        <v/>
      </c>
      <c r="AS100" s="34">
        <f>MAX(F100:G100,750)*0.05*AR100</f>
        <v/>
      </c>
      <c r="AT100" t="n">
        <v>12</v>
      </c>
      <c r="AU100" s="34">
        <f>IF(AP100&gt;AT100*1.05,AP100-AT100*1.05,IF(AP100&lt;AT100*0.95,AT100*0.95-AP100,0))</f>
        <v/>
      </c>
      <c r="AV100" s="34">
        <f>MAX(F100:G100,750)*0.05*AU100</f>
        <v/>
      </c>
      <c r="AW100" s="34">
        <f>AC100+AJ100+AQ100</f>
        <v/>
      </c>
      <c r="AX100" s="34">
        <f>AF100+AM100+AT100</f>
        <v/>
      </c>
      <c r="AY100" s="34">
        <f>AB100+AI100+AP100</f>
        <v/>
      </c>
      <c r="AZ100" s="34" t="n">
        <v>0</v>
      </c>
      <c r="BA100" s="34">
        <f>AD100+AK100+AR100</f>
        <v/>
      </c>
      <c r="BB100" s="34">
        <f>MAX(F100:G100,750)*0.05*BA100</f>
        <v/>
      </c>
      <c r="BC100" s="34">
        <f>AG100+AN100+AU100</f>
        <v/>
      </c>
      <c r="BD100" s="34">
        <f>MAX(F100:G100,750)*0.05*BC100</f>
        <v/>
      </c>
      <c r="BE100" s="34">
        <f>F100*AY100</f>
        <v/>
      </c>
      <c r="BF100" s="34">
        <f>K100-M100</f>
        <v/>
      </c>
      <c r="BG100" s="34">
        <f>P100-S100</f>
        <v/>
      </c>
      <c r="BH100" s="34">
        <f>W100-AA100</f>
        <v/>
      </c>
      <c r="BI100" s="34">
        <f>BF100+BG100+BL100-BN100</f>
        <v/>
      </c>
      <c r="BJ100" s="34">
        <f>ABS(BK100)</f>
        <v/>
      </c>
      <c r="BK100" s="34">
        <f>AY100-(J100-L100+N100-Q100)</f>
        <v/>
      </c>
      <c r="BL100" s="34">
        <f>IF(AND(BK100&gt;0,MIN($F100:$G100)&lt;150,$E100="Enerji Açığı"),-100*BK100*1.03,IF(AND(BK100&gt;0,MIN($F100:$G100)&lt;150,$E100="Enerji Fazlası"),-100*BK100*1.06,IF(AND(BK100&gt;0,MIN($F100:$G100)&gt;=150,$E100="Enerji Açığı"),BK100*MIN($F100:$G100)*0.97,IF(AND(BK100&gt;0,MIN($F100:$G100)&gt;=150,$E100="Enerji Fazlası"),BK100*MIN($F100:$G100)*0.94,IF(AND(BK100&lt;0,MAX($F100:$G100)=4500,$E100="Enerji Açığı"),4500*1.05*1.06*BK100,IF(AND(BK100&lt;0,MAX($F100:$G100)=4500,$E100="Enerji Fazlası"),4500*1.05*1.03*BK100,IF(AND(BK100&lt;0,$E100="Enerji Açığı"),MAX($F100,$G100,150)*BK100*1.06,IF(AND(BK100&lt;0,$E100="Enerji Fazlası"),MAX($F100,$G100,150)*BK100*1.03,IF(AND(BK100&lt;0,$E100="Dengede"),MAX($F100:$G100,150)*1.03*BK100,MIN($F100:$G100)*0.97*BK100)))))))))</f>
        <v/>
      </c>
      <c r="BM100" s="34">
        <f>BE100-BI100-BN100</f>
        <v/>
      </c>
      <c r="BN100" s="34">
        <f>BB100</f>
        <v/>
      </c>
      <c r="BO100" s="34">
        <f>BE100-BI100</f>
        <v/>
      </c>
      <c r="BP100" s="34">
        <f>IF(AY100=0,0,BO100/AY100)</f>
        <v/>
      </c>
      <c r="BQ100" s="34">
        <f>MAX((AY100+MAX((-J100+L100-N100+Q100),0)),(MAX((J100-L100+N100-Q100),0)))</f>
        <v/>
      </c>
      <c r="BR100" s="82">
        <f>IFERROR(ABS(BK100/BQ100),0)</f>
        <v/>
      </c>
      <c r="BS100" s="34">
        <f>IF(BR100&lt;=0.1,0,BK100/BR100*(BR100-0.1))</f>
        <v/>
      </c>
      <c r="BT100" s="34">
        <f>IF((BS100)&lt;0,MAX(F100:G100)*(BS100)*1.03,MIN(F100:G100)*(BS100)*0.97)</f>
        <v/>
      </c>
      <c r="BU100" s="34">
        <f>IF(BR100&gt;0.1,1,0)</f>
        <v/>
      </c>
      <c r="BV100" s="34">
        <f>BF100+BG100+BH100+BY100-CA100</f>
        <v/>
      </c>
      <c r="BW100" s="34">
        <f>ABS(BX100)</f>
        <v/>
      </c>
      <c r="BX100" s="34">
        <f>AY100-(J100-L100+N100-Q100+T100-X100)</f>
        <v/>
      </c>
      <c r="BY100" s="34">
        <f>IF(AND(BX100&gt;0,MIN($F100:$G100)&lt;150,$E100="Enerji Açığı"),-100*BX100*1.03,IF(AND(BX100&gt;0,MIN($F100:$G100)&lt;150,$E100="Enerji Fazlası"),-100*BX100*1.06,IF(AND(BX100&gt;0,MIN($F100:$G100)&gt;=150,$E100="Enerji Açığı"),BX100*MIN($F100:$G100)*0.97,IF(AND(BX100&gt;0,MIN($F100:$G100)&gt;=150,$E100="Enerji Fazlası"),BX100*MIN($F100:$G100)*0.94,IF(AND(BX100&lt;0,MAX($F100:$G100)=4500,$E100="Enerji Açığı"),4500*1.05*1.06*BX100,IF(AND(BX100&lt;0,MAX($F100:$G100)=4500,$E100="Enerji Fazlası"),4500*1.05*1.03*BX100,IF(AND(BX100&lt;0,$E100="Enerji Açığı"),MAX($F100,$G100,150)*BX100*1.06,IF(AND(BX100&lt;0,$E100="Enerji Fazlası"),MAX($F100,$G100,150)*BX100*1.03,IF(AND(BX100&lt;0,$E100="Dengede"),MAX($F100:$G100,150)*1.03*BX100,MIN($F100:$G100)*0.97*BX100)))))))))</f>
        <v/>
      </c>
      <c r="BZ100" s="34">
        <f>BE100-BV100-CA100</f>
        <v/>
      </c>
      <c r="CA100" s="34">
        <f>BD100</f>
        <v/>
      </c>
      <c r="CB100" s="33">
        <f>BE100-BV100</f>
        <v/>
      </c>
      <c r="CC100" s="34">
        <f>IF(AY100=0,0,CB100/AY100)</f>
        <v/>
      </c>
      <c r="CD100" s="34">
        <f>MAX((AY100+MAX((-J100+L100-N100+Q100-T100+X100),0)),(MAX((J100-L100+N100-Q100+T100-X100),0)))</f>
        <v/>
      </c>
      <c r="CE100" s="82">
        <f>IFERROR(ABS(BX100/CD100),0)</f>
        <v/>
      </c>
      <c r="CF100" s="34">
        <f>IF(CE100&lt;=0.1,0,BX100/CE100*(CE100-0.1))</f>
        <v/>
      </c>
      <c r="CG100" s="34">
        <f>IF((CF100)&lt;0,MAX(F100:G100)*(CF100)*1.03,MIN(F100:G100)*(CF100)*0.97)</f>
        <v/>
      </c>
      <c r="CH100" s="34">
        <f>IF(CE100&gt;0.1,1,0)</f>
        <v/>
      </c>
      <c r="CI100" s="34">
        <f>(F100*BX100)-BY100</f>
        <v/>
      </c>
      <c r="CJ100" s="34">
        <f>IF(AY100=0,0,CI100/AY100)</f>
        <v/>
      </c>
    </row>
    <row r="101">
      <c r="A101" s="29" t="n">
        <v>46208.08333333334</v>
      </c>
      <c r="B101" s="29" t="inlineStr">
        <is>
          <t>02:00</t>
        </is>
      </c>
      <c r="C101" s="35">
        <f>INT(A101)</f>
        <v/>
      </c>
      <c r="D101" s="36">
        <f>MONTH(A101)</f>
        <v/>
      </c>
      <c r="E101" s="147" t="inlineStr">
        <is>
          <t>Enerji Fazlası</t>
        </is>
      </c>
      <c r="F101" s="30" t="n">
        <v>1900</v>
      </c>
      <c r="G101" s="30" t="n">
        <v>600</v>
      </c>
      <c r="H101" s="30" t="n">
        <v>40.74</v>
      </c>
      <c r="I101" s="30" t="n">
        <v>1721.41</v>
      </c>
      <c r="J101" s="119" t="n">
        <v>0</v>
      </c>
      <c r="K101" s="34">
        <f>F101*J101</f>
        <v/>
      </c>
      <c r="L101" s="119" t="n">
        <v>0</v>
      </c>
      <c r="M101" s="34">
        <f>L101*F101</f>
        <v/>
      </c>
      <c r="N101" s="119" t="n">
        <v>21</v>
      </c>
      <c r="O101" s="34">
        <f>F101</f>
        <v/>
      </c>
      <c r="P101" s="34">
        <f>N101*O101</f>
        <v/>
      </c>
      <c r="Q101" s="117" t="n">
        <v>0</v>
      </c>
      <c r="R101" s="34">
        <f>F101</f>
        <v/>
      </c>
      <c r="S101" s="34">
        <f>R101*Q101</f>
        <v/>
      </c>
      <c r="T101" s="34" t="n"/>
      <c r="U101" s="34">
        <f>IFERROR(W101/T101,0)</f>
        <v/>
      </c>
      <c r="V101" s="34">
        <f>IF(U101=0,0,U101-F101)</f>
        <v/>
      </c>
      <c r="W101" s="34" t="n"/>
      <c r="X101" s="34" t="n"/>
      <c r="Y101" s="34">
        <f>IFERROR(AA101/X101,0)</f>
        <v/>
      </c>
      <c r="Z101" s="34">
        <f>IF(Y101=0,0,F101-Y101)</f>
        <v/>
      </c>
      <c r="AA101" s="34" t="n"/>
      <c r="AB101" s="34" t="n">
        <v>0</v>
      </c>
      <c r="AC101" s="34" t="n">
        <v>0</v>
      </c>
      <c r="AD101" s="34">
        <f>IF(AB101&gt;AC101*1.05,AB101-AC101*1.05,IF(AB101&lt;AC101*0.95,AC101*0.95-AB101,0))</f>
        <v/>
      </c>
      <c r="AE101" s="34">
        <f>MAX(F101,G101,750)*0.05*AD101</f>
        <v/>
      </c>
      <c r="AF101" s="34" t="n">
        <v>0</v>
      </c>
      <c r="AG101" s="34">
        <f>IF(AB101&gt;AF101*1.05,AB101-AF101*1.05,IF(AB101&lt;AF101*0.95,AF101*0.95-AB101,0))</f>
        <v/>
      </c>
      <c r="AH101" s="34">
        <f>MAX(I101,J101,750)*0.05*AG101</f>
        <v/>
      </c>
      <c r="AI101" t="n">
        <v>8.26</v>
      </c>
      <c r="AJ101" t="n">
        <v>9</v>
      </c>
      <c r="AK101" s="34">
        <f>IF(AI101&gt;AJ101*1.05,AI101-AJ101*1.05,IF(AI101&lt;AJ101*0.95,AJ101*0.95-AI101,0))</f>
        <v/>
      </c>
      <c r="AL101" s="34">
        <f>MAX(F101,G101,750)*0.05*AK101</f>
        <v/>
      </c>
      <c r="AM101" s="39" t="n">
        <v>8</v>
      </c>
      <c r="AN101" s="34">
        <f>IF(AI101&gt;AM101*1.05,AI101-AM101*1.05,IF(AI101&lt;AM101*0.95,AM101*0.95-AI101,0))</f>
        <v/>
      </c>
      <c r="AO101" s="34">
        <f>MAX(F101,G101,750)*0.05*AN101</f>
        <v/>
      </c>
      <c r="AP101" s="34" t="n">
        <v>12.05</v>
      </c>
      <c r="AQ101" s="34" t="n">
        <v>12</v>
      </c>
      <c r="AR101" s="34">
        <f>IF(AP101&gt;AQ101*1.05,AP101-AQ101*1.05,IF(AP101&lt;AQ101*0.95,AQ101*0.95-AP101,0))</f>
        <v/>
      </c>
      <c r="AS101" s="34">
        <f>MAX(F101:G101,750)*0.05*AR101</f>
        <v/>
      </c>
      <c r="AT101" t="n">
        <v>12</v>
      </c>
      <c r="AU101" s="34">
        <f>IF(AP101&gt;AT101*1.05,AP101-AT101*1.05,IF(AP101&lt;AT101*0.95,AT101*0.95-AP101,0))</f>
        <v/>
      </c>
      <c r="AV101" s="34">
        <f>MAX(F101:G101,750)*0.05*AU101</f>
        <v/>
      </c>
      <c r="AW101" s="34">
        <f>AC101+AJ101+AQ101</f>
        <v/>
      </c>
      <c r="AX101" s="34">
        <f>AF101+AM101+AT101</f>
        <v/>
      </c>
      <c r="AY101" s="34">
        <f>AB101+AI101+AP101</f>
        <v/>
      </c>
      <c r="AZ101" s="34" t="n">
        <v>0</v>
      </c>
      <c r="BA101" s="34">
        <f>AD101+AK101+AR101</f>
        <v/>
      </c>
      <c r="BB101" s="34">
        <f>MAX(F101:G101,750)*0.05*BA101</f>
        <v/>
      </c>
      <c r="BC101" s="34">
        <f>AG101+AN101+AU101</f>
        <v/>
      </c>
      <c r="BD101" s="34">
        <f>MAX(F101:G101,750)*0.05*BC101</f>
        <v/>
      </c>
      <c r="BE101" s="34">
        <f>F101*AY101</f>
        <v/>
      </c>
      <c r="BF101" s="34">
        <f>K101-M101</f>
        <v/>
      </c>
      <c r="BG101" s="34">
        <f>P101-S101</f>
        <v/>
      </c>
      <c r="BH101" s="34">
        <f>W101-AA101</f>
        <v/>
      </c>
      <c r="BI101" s="34">
        <f>BF101+BG101+BL101-BN101</f>
        <v/>
      </c>
      <c r="BJ101" s="34">
        <f>ABS(BK101)</f>
        <v/>
      </c>
      <c r="BK101" s="34">
        <f>AY101-(J101-L101+N101-Q101)</f>
        <v/>
      </c>
      <c r="BL101" s="34">
        <f>IF(AND(BK101&gt;0,MIN($F101:$G101)&lt;150,$E101="Enerji Açığı"),-100*BK101*1.03,IF(AND(BK101&gt;0,MIN($F101:$G101)&lt;150,$E101="Enerji Fazlası"),-100*BK101*1.06,IF(AND(BK101&gt;0,MIN($F101:$G101)&gt;=150,$E101="Enerji Açığı"),BK101*MIN($F101:$G101)*0.97,IF(AND(BK101&gt;0,MIN($F101:$G101)&gt;=150,$E101="Enerji Fazlası"),BK101*MIN($F101:$G101)*0.94,IF(AND(BK101&lt;0,MAX($F101:$G101)=4500,$E101="Enerji Açığı"),4500*1.05*1.06*BK101,IF(AND(BK101&lt;0,MAX($F101:$G101)=4500,$E101="Enerji Fazlası"),4500*1.05*1.03*BK101,IF(AND(BK101&lt;0,$E101="Enerji Açığı"),MAX($F101,$G101,150)*BK101*1.06,IF(AND(BK101&lt;0,$E101="Enerji Fazlası"),MAX($F101,$G101,150)*BK101*1.03,IF(AND(BK101&lt;0,$E101="Dengede"),MAX($F101:$G101,150)*1.03*BK101,MIN($F101:$G101)*0.97*BK101)))))))))</f>
        <v/>
      </c>
      <c r="BM101" s="34">
        <f>BE101-BI101-BN101</f>
        <v/>
      </c>
      <c r="BN101" s="34">
        <f>BB101</f>
        <v/>
      </c>
      <c r="BO101" s="34">
        <f>BE101-BI101</f>
        <v/>
      </c>
      <c r="BP101" s="34">
        <f>IF(AY101=0,0,BO101/AY101)</f>
        <v/>
      </c>
      <c r="BQ101" s="34">
        <f>MAX((AY101+MAX((-J101+L101-N101+Q101),0)),(MAX((J101-L101+N101-Q101),0)))</f>
        <v/>
      </c>
      <c r="BR101" s="82">
        <f>IFERROR(ABS(BK101/BQ101),0)</f>
        <v/>
      </c>
      <c r="BS101" s="34">
        <f>IF(BR101&lt;=0.1,0,BK101/BR101*(BR101-0.1))</f>
        <v/>
      </c>
      <c r="BT101" s="34">
        <f>IF((BS101)&lt;0,MAX(F101:G101)*(BS101)*1.03,MIN(F101:G101)*(BS101)*0.97)</f>
        <v/>
      </c>
      <c r="BU101" s="34">
        <f>IF(BR101&gt;0.1,1,0)</f>
        <v/>
      </c>
      <c r="BV101" s="34">
        <f>BF101+BG101+BH101+BY101-CA101</f>
        <v/>
      </c>
      <c r="BW101" s="34">
        <f>ABS(BX101)</f>
        <v/>
      </c>
      <c r="BX101" s="34">
        <f>AY101-(J101-L101+N101-Q101+T101-X101)</f>
        <v/>
      </c>
      <c r="BY101" s="34">
        <f>IF(AND(BX101&gt;0,MIN($F101:$G101)&lt;150,$E101="Enerji Açığı"),-100*BX101*1.03,IF(AND(BX101&gt;0,MIN($F101:$G101)&lt;150,$E101="Enerji Fazlası"),-100*BX101*1.06,IF(AND(BX101&gt;0,MIN($F101:$G101)&gt;=150,$E101="Enerji Açığı"),BX101*MIN($F101:$G101)*0.97,IF(AND(BX101&gt;0,MIN($F101:$G101)&gt;=150,$E101="Enerji Fazlası"),BX101*MIN($F101:$G101)*0.94,IF(AND(BX101&lt;0,MAX($F101:$G101)=4500,$E101="Enerji Açığı"),4500*1.05*1.06*BX101,IF(AND(BX101&lt;0,MAX($F101:$G101)=4500,$E101="Enerji Fazlası"),4500*1.05*1.03*BX101,IF(AND(BX101&lt;0,$E101="Enerji Açığı"),MAX($F101,$G101,150)*BX101*1.06,IF(AND(BX101&lt;0,$E101="Enerji Fazlası"),MAX($F101,$G101,150)*BX101*1.03,IF(AND(BX101&lt;0,$E101="Dengede"),MAX($F101:$G101,150)*1.03*BX101,MIN($F101:$G101)*0.97*BX101)))))))))</f>
        <v/>
      </c>
      <c r="BZ101" s="34">
        <f>BE101-BV101-CA101</f>
        <v/>
      </c>
      <c r="CA101" s="34">
        <f>BD101</f>
        <v/>
      </c>
      <c r="CB101" s="33">
        <f>BE101-BV101</f>
        <v/>
      </c>
      <c r="CC101" s="34">
        <f>IF(AY101=0,0,CB101/AY101)</f>
        <v/>
      </c>
      <c r="CD101" s="34">
        <f>MAX((AY101+MAX((-J101+L101-N101+Q101-T101+X101),0)),(MAX((J101-L101+N101-Q101+T101-X101),0)))</f>
        <v/>
      </c>
      <c r="CE101" s="82">
        <f>IFERROR(ABS(BX101/CD101),0)</f>
        <v/>
      </c>
      <c r="CF101" s="34">
        <f>IF(CE101&lt;=0.1,0,BX101/CE101*(CE101-0.1))</f>
        <v/>
      </c>
      <c r="CG101" s="34">
        <f>IF((CF101)&lt;0,MAX(F101:G101)*(CF101)*1.03,MIN(F101:G101)*(CF101)*0.97)</f>
        <v/>
      </c>
      <c r="CH101" s="34">
        <f>IF(CE101&gt;0.1,1,0)</f>
        <v/>
      </c>
      <c r="CI101" s="34">
        <f>(F101*BX101)-BY101</f>
        <v/>
      </c>
      <c r="CJ101" s="34">
        <f>IF(AY101=0,0,CI101/AY101)</f>
        <v/>
      </c>
    </row>
    <row r="102">
      <c r="A102" s="29" t="n">
        <v>46208.125</v>
      </c>
      <c r="B102" s="29" t="inlineStr">
        <is>
          <t>03:00</t>
        </is>
      </c>
      <c r="C102" s="35">
        <f>INT(A102)</f>
        <v/>
      </c>
      <c r="D102" s="36">
        <f>MONTH(A102)</f>
        <v/>
      </c>
      <c r="E102" s="147" t="inlineStr">
        <is>
          <t>Enerji Fazlası</t>
        </is>
      </c>
      <c r="F102" s="30" t="n">
        <v>2425.09</v>
      </c>
      <c r="G102" s="30" t="n">
        <v>500</v>
      </c>
      <c r="H102" s="30" t="n">
        <v>52</v>
      </c>
      <c r="I102" s="30" t="n">
        <v>2203.76</v>
      </c>
      <c r="J102" s="119" t="n">
        <v>0</v>
      </c>
      <c r="K102" s="34">
        <f>F102*J102</f>
        <v/>
      </c>
      <c r="L102" s="119" t="n">
        <v>0</v>
      </c>
      <c r="M102" s="34">
        <f>L102*F102</f>
        <v/>
      </c>
      <c r="N102" s="119" t="n">
        <v>20</v>
      </c>
      <c r="O102" s="34">
        <f>F102</f>
        <v/>
      </c>
      <c r="P102" s="34">
        <f>N102*O102</f>
        <v/>
      </c>
      <c r="Q102" s="117" t="n">
        <v>0</v>
      </c>
      <c r="R102" s="34">
        <f>F102</f>
        <v/>
      </c>
      <c r="S102" s="34">
        <f>R102*Q102</f>
        <v/>
      </c>
      <c r="T102" s="34" t="n"/>
      <c r="U102" s="34">
        <f>IFERROR(W102/T102,0)</f>
        <v/>
      </c>
      <c r="V102" s="34">
        <f>IF(U102=0,0,U102-F102)</f>
        <v/>
      </c>
      <c r="W102" s="34" t="n"/>
      <c r="X102" s="34" t="n"/>
      <c r="Y102" s="34">
        <f>IFERROR(AA102/X102,0)</f>
        <v/>
      </c>
      <c r="Z102" s="34">
        <f>IF(Y102=0,0,F102-Y102)</f>
        <v/>
      </c>
      <c r="AA102" s="34" t="n"/>
      <c r="AB102" s="34" t="n">
        <v>0</v>
      </c>
      <c r="AC102" s="34" t="n">
        <v>0</v>
      </c>
      <c r="AD102" s="34">
        <f>IF(AB102&gt;AC102*1.05,AB102-AC102*1.05,IF(AB102&lt;AC102*0.95,AC102*0.95-AB102,0))</f>
        <v/>
      </c>
      <c r="AE102" s="34">
        <f>MAX(F102,G102,750)*0.05*AD102</f>
        <v/>
      </c>
      <c r="AF102" s="34" t="n">
        <v>0</v>
      </c>
      <c r="AG102" s="34">
        <f>IF(AB102&gt;AF102*1.05,AB102-AF102*1.05,IF(AB102&lt;AF102*0.95,AF102*0.95-AB102,0))</f>
        <v/>
      </c>
      <c r="AH102" s="34">
        <f>MAX(I102,J102,750)*0.05*AG102</f>
        <v/>
      </c>
      <c r="AI102" t="n">
        <v>9.24</v>
      </c>
      <c r="AJ102" t="n">
        <v>9</v>
      </c>
      <c r="AK102" s="34">
        <f>IF(AI102&gt;AJ102*1.05,AI102-AJ102*1.05,IF(AI102&lt;AJ102*0.95,AJ102*0.95-AI102,0))</f>
        <v/>
      </c>
      <c r="AL102" s="34">
        <f>MAX(F102,G102,750)*0.05*AK102</f>
        <v/>
      </c>
      <c r="AM102" s="39" t="n">
        <v>9</v>
      </c>
      <c r="AN102" s="34">
        <f>IF(AI102&gt;AM102*1.05,AI102-AM102*1.05,IF(AI102&lt;AM102*0.95,AM102*0.95-AI102,0))</f>
        <v/>
      </c>
      <c r="AO102" s="34">
        <f>MAX(F102,G102,750)*0.05*AN102</f>
        <v/>
      </c>
      <c r="AP102" s="34" t="n">
        <v>12.09</v>
      </c>
      <c r="AQ102" s="34" t="n">
        <v>11</v>
      </c>
      <c r="AR102" s="34">
        <f>IF(AP102&gt;AQ102*1.05,AP102-AQ102*1.05,IF(AP102&lt;AQ102*0.95,AQ102*0.95-AP102,0))</f>
        <v/>
      </c>
      <c r="AS102" s="34">
        <f>MAX(F102:G102,750)*0.05*AR102</f>
        <v/>
      </c>
      <c r="AT102" t="n">
        <v>12</v>
      </c>
      <c r="AU102" s="34">
        <f>IF(AP102&gt;AT102*1.05,AP102-AT102*1.05,IF(AP102&lt;AT102*0.95,AT102*0.95-AP102,0))</f>
        <v/>
      </c>
      <c r="AV102" s="34">
        <f>MAX(F102:G102,750)*0.05*AU102</f>
        <v/>
      </c>
      <c r="AW102" s="34">
        <f>AC102+AJ102+AQ102</f>
        <v/>
      </c>
      <c r="AX102" s="34">
        <f>AF102+AM102+AT102</f>
        <v/>
      </c>
      <c r="AY102" s="34">
        <f>AB102+AI102+AP102</f>
        <v/>
      </c>
      <c r="AZ102" s="34" t="n">
        <v>0</v>
      </c>
      <c r="BA102" s="34">
        <f>AD102+AK102+AR102</f>
        <v/>
      </c>
      <c r="BB102" s="34">
        <f>MAX(F102:G102,750)*0.05*BA102</f>
        <v/>
      </c>
      <c r="BC102" s="34">
        <f>AG102+AN102+AU102</f>
        <v/>
      </c>
      <c r="BD102" s="34">
        <f>MAX(F102:G102,750)*0.05*BC102</f>
        <v/>
      </c>
      <c r="BE102" s="34">
        <f>F102*AY102</f>
        <v/>
      </c>
      <c r="BF102" s="34">
        <f>K102-M102</f>
        <v/>
      </c>
      <c r="BG102" s="34">
        <f>P102-S102</f>
        <v/>
      </c>
      <c r="BH102" s="34">
        <f>W102-AA102</f>
        <v/>
      </c>
      <c r="BI102" s="34">
        <f>BF102+BG102+BL102-BN102</f>
        <v/>
      </c>
      <c r="BJ102" s="34">
        <f>ABS(BK102)</f>
        <v/>
      </c>
      <c r="BK102" s="34">
        <f>AY102-(J102-L102+N102-Q102)</f>
        <v/>
      </c>
      <c r="BL102" s="34">
        <f>IF(AND(BK102&gt;0,MIN($F102:$G102)&lt;150,$E102="Enerji Açığı"),-100*BK102*1.03,IF(AND(BK102&gt;0,MIN($F102:$G102)&lt;150,$E102="Enerji Fazlası"),-100*BK102*1.06,IF(AND(BK102&gt;0,MIN($F102:$G102)&gt;=150,$E102="Enerji Açığı"),BK102*MIN($F102:$G102)*0.97,IF(AND(BK102&gt;0,MIN($F102:$G102)&gt;=150,$E102="Enerji Fazlası"),BK102*MIN($F102:$G102)*0.94,IF(AND(BK102&lt;0,MAX($F102:$G102)=4500,$E102="Enerji Açığı"),4500*1.05*1.06*BK102,IF(AND(BK102&lt;0,MAX($F102:$G102)=4500,$E102="Enerji Fazlası"),4500*1.05*1.03*BK102,IF(AND(BK102&lt;0,$E102="Enerji Açığı"),MAX($F102,$G102,150)*BK102*1.06,IF(AND(BK102&lt;0,$E102="Enerji Fazlası"),MAX($F102,$G102,150)*BK102*1.03,IF(AND(BK102&lt;0,$E102="Dengede"),MAX($F102:$G102,150)*1.03*BK102,MIN($F102:$G102)*0.97*BK102)))))))))</f>
        <v/>
      </c>
      <c r="BM102" s="34">
        <f>BE102-BI102-BN102</f>
        <v/>
      </c>
      <c r="BN102" s="34">
        <f>BB102</f>
        <v/>
      </c>
      <c r="BO102" s="34">
        <f>BE102-BI102</f>
        <v/>
      </c>
      <c r="BP102" s="34">
        <f>IF(AY102=0,0,BO102/AY102)</f>
        <v/>
      </c>
      <c r="BQ102" s="34">
        <f>MAX((AY102+MAX((-J102+L102-N102+Q102),0)),(MAX((J102-L102+N102-Q102),0)))</f>
        <v/>
      </c>
      <c r="BR102" s="82">
        <f>IFERROR(ABS(BK102/BQ102),0)</f>
        <v/>
      </c>
      <c r="BS102" s="34">
        <f>IF(BR102&lt;=0.1,0,BK102/BR102*(BR102-0.1))</f>
        <v/>
      </c>
      <c r="BT102" s="34">
        <f>IF((BS102)&lt;0,MAX(F102:G102)*(BS102)*1.03,MIN(F102:G102)*(BS102)*0.97)</f>
        <v/>
      </c>
      <c r="BU102" s="34">
        <f>IF(BR102&gt;0.1,1,0)</f>
        <v/>
      </c>
      <c r="BV102" s="34">
        <f>BF102+BG102+BH102+BY102-CA102</f>
        <v/>
      </c>
      <c r="BW102" s="34">
        <f>ABS(BX102)</f>
        <v/>
      </c>
      <c r="BX102" s="34">
        <f>AY102-(J102-L102+N102-Q102+T102-X102)</f>
        <v/>
      </c>
      <c r="BY102" s="34">
        <f>IF(AND(BX102&gt;0,MIN($F102:$G102)&lt;150,$E102="Enerji Açığı"),-100*BX102*1.03,IF(AND(BX102&gt;0,MIN($F102:$G102)&lt;150,$E102="Enerji Fazlası"),-100*BX102*1.06,IF(AND(BX102&gt;0,MIN($F102:$G102)&gt;=150,$E102="Enerji Açığı"),BX102*MIN($F102:$G102)*0.97,IF(AND(BX102&gt;0,MIN($F102:$G102)&gt;=150,$E102="Enerji Fazlası"),BX102*MIN($F102:$G102)*0.94,IF(AND(BX102&lt;0,MAX($F102:$G102)=4500,$E102="Enerji Açığı"),4500*1.05*1.06*BX102,IF(AND(BX102&lt;0,MAX($F102:$G102)=4500,$E102="Enerji Fazlası"),4500*1.05*1.03*BX102,IF(AND(BX102&lt;0,$E102="Enerji Açığı"),MAX($F102,$G102,150)*BX102*1.06,IF(AND(BX102&lt;0,$E102="Enerji Fazlası"),MAX($F102,$G102,150)*BX102*1.03,IF(AND(BX102&lt;0,$E102="Dengede"),MAX($F102:$G102,150)*1.03*BX102,MIN($F102:$G102)*0.97*BX102)))))))))</f>
        <v/>
      </c>
      <c r="BZ102" s="34">
        <f>BE102-BV102-CA102</f>
        <v/>
      </c>
      <c r="CA102" s="34">
        <f>BD102</f>
        <v/>
      </c>
      <c r="CB102" s="33">
        <f>BE102-BV102</f>
        <v/>
      </c>
      <c r="CC102" s="34">
        <f>IF(AY102=0,0,CB102/AY102)</f>
        <v/>
      </c>
      <c r="CD102" s="34">
        <f>MAX((AY102+MAX((-J102+L102-N102+Q102-T102+X102),0)),(MAX((J102-L102+N102-Q102+T102-X102),0)))</f>
        <v/>
      </c>
      <c r="CE102" s="82">
        <f>IFERROR(ABS(BX102/CD102),0)</f>
        <v/>
      </c>
      <c r="CF102" s="34">
        <f>IF(CE102&lt;=0.1,0,BX102/CE102*(CE102-0.1))</f>
        <v/>
      </c>
      <c r="CG102" s="34">
        <f>IF((CF102)&lt;0,MAX(F102:G102)*(CF102)*1.03,MIN(F102:G102)*(CF102)*0.97)</f>
        <v/>
      </c>
      <c r="CH102" s="34">
        <f>IF(CE102&gt;0.1,1,0)</f>
        <v/>
      </c>
      <c r="CI102" s="34">
        <f>(F102*BX102)-BY102</f>
        <v/>
      </c>
      <c r="CJ102" s="34">
        <f>IF(AY102=0,0,CI102/AY102)</f>
        <v/>
      </c>
    </row>
    <row r="103">
      <c r="A103" s="29" t="n">
        <v>46208.16666666666</v>
      </c>
      <c r="B103" s="29" t="inlineStr">
        <is>
          <t>04:00</t>
        </is>
      </c>
      <c r="C103" s="35">
        <f>INT(A103)</f>
        <v/>
      </c>
      <c r="D103" s="36">
        <f>MONTH(A103)</f>
        <v/>
      </c>
      <c r="E103" s="147" t="inlineStr">
        <is>
          <t>Enerji Fazlası</t>
        </is>
      </c>
      <c r="F103" s="30" t="n">
        <v>1708.64</v>
      </c>
      <c r="G103" s="30" t="n">
        <v>500</v>
      </c>
      <c r="H103" s="30" t="n">
        <v>36.64</v>
      </c>
      <c r="I103" s="30" t="n">
        <v>1446.73</v>
      </c>
      <c r="J103" s="119" t="n">
        <v>0</v>
      </c>
      <c r="K103" s="34">
        <f>F103*J103</f>
        <v/>
      </c>
      <c r="L103" s="119" t="n">
        <v>0</v>
      </c>
      <c r="M103" s="34">
        <f>L103*F103</f>
        <v/>
      </c>
      <c r="N103" s="119" t="n">
        <v>20</v>
      </c>
      <c r="O103" s="34">
        <f>F103</f>
        <v/>
      </c>
      <c r="P103" s="34">
        <f>N103*O103</f>
        <v/>
      </c>
      <c r="Q103" s="117" t="n">
        <v>0</v>
      </c>
      <c r="R103" s="34">
        <f>F103</f>
        <v/>
      </c>
      <c r="S103" s="34">
        <f>R103*Q103</f>
        <v/>
      </c>
      <c r="T103" s="34" t="n"/>
      <c r="U103" s="34">
        <f>IFERROR(W103/T103,0)</f>
        <v/>
      </c>
      <c r="V103" s="34">
        <f>IF(U103=0,0,U103-F103)</f>
        <v/>
      </c>
      <c r="W103" s="34" t="n"/>
      <c r="X103" s="34" t="n"/>
      <c r="Y103" s="34">
        <f>IFERROR(AA103/X103,0)</f>
        <v/>
      </c>
      <c r="Z103" s="34">
        <f>IF(Y103=0,0,F103-Y103)</f>
        <v/>
      </c>
      <c r="AA103" s="34" t="n"/>
      <c r="AB103" s="34" t="n">
        <v>0</v>
      </c>
      <c r="AC103" s="34" t="n">
        <v>0</v>
      </c>
      <c r="AD103" s="34">
        <f>IF(AB103&gt;AC103*1.05,AB103-AC103*1.05,IF(AB103&lt;AC103*0.95,AC103*0.95-AB103,0))</f>
        <v/>
      </c>
      <c r="AE103" s="34">
        <f>MAX(F103,G103,750)*0.05*AD103</f>
        <v/>
      </c>
      <c r="AF103" s="34" t="n">
        <v>0</v>
      </c>
      <c r="AG103" s="34">
        <f>IF(AB103&gt;AF103*1.05,AB103-AF103*1.05,IF(AB103&lt;AF103*0.95,AF103*0.95-AB103,0))</f>
        <v/>
      </c>
      <c r="AH103" s="34">
        <f>MAX(I103,J103,750)*0.05*AG103</f>
        <v/>
      </c>
      <c r="AI103" t="n">
        <v>11.14</v>
      </c>
      <c r="AJ103" t="n">
        <v>9</v>
      </c>
      <c r="AK103" s="34">
        <f>IF(AI103&gt;AJ103*1.05,AI103-AJ103*1.05,IF(AI103&lt;AJ103*0.95,AJ103*0.95-AI103,0))</f>
        <v/>
      </c>
      <c r="AL103" s="34">
        <f>MAX(F103,G103,750)*0.05*AK103</f>
        <v/>
      </c>
      <c r="AM103" s="39" t="n">
        <v>10</v>
      </c>
      <c r="AN103" s="34">
        <f>IF(AI103&gt;AM103*1.05,AI103-AM103*1.05,IF(AI103&lt;AM103*0.95,AM103*0.95-AI103,0))</f>
        <v/>
      </c>
      <c r="AO103" s="34">
        <f>MAX(F103,G103,750)*0.05*AN103</f>
        <v/>
      </c>
      <c r="AP103" s="34" t="n">
        <v>14.19</v>
      </c>
      <c r="AQ103" s="34" t="n">
        <v>11</v>
      </c>
      <c r="AR103" s="34">
        <f>IF(AP103&gt;AQ103*1.05,AP103-AQ103*1.05,IF(AP103&lt;AQ103*0.95,AQ103*0.95-AP103,0))</f>
        <v/>
      </c>
      <c r="AS103" s="34">
        <f>MAX(F103:G103,750)*0.05*AR103</f>
        <v/>
      </c>
      <c r="AT103" t="n">
        <v>14</v>
      </c>
      <c r="AU103" s="34">
        <f>IF(AP103&gt;AT103*1.05,AP103-AT103*1.05,IF(AP103&lt;AT103*0.95,AT103*0.95-AP103,0))</f>
        <v/>
      </c>
      <c r="AV103" s="34">
        <f>MAX(F103:G103,750)*0.05*AU103</f>
        <v/>
      </c>
      <c r="AW103" s="34">
        <f>AC103+AJ103+AQ103</f>
        <v/>
      </c>
      <c r="AX103" s="34">
        <f>AF103+AM103+AT103</f>
        <v/>
      </c>
      <c r="AY103" s="34">
        <f>AB103+AI103+AP103</f>
        <v/>
      </c>
      <c r="AZ103" s="34" t="n">
        <v>0</v>
      </c>
      <c r="BA103" s="34">
        <f>AD103+AK103+AR103</f>
        <v/>
      </c>
      <c r="BB103" s="34">
        <f>MAX(F103:G103,750)*0.05*BA103</f>
        <v/>
      </c>
      <c r="BC103" s="34">
        <f>AG103+AN103+AU103</f>
        <v/>
      </c>
      <c r="BD103" s="34">
        <f>MAX(F103:G103,750)*0.05*BC103</f>
        <v/>
      </c>
      <c r="BE103" s="34">
        <f>F103*AY103</f>
        <v/>
      </c>
      <c r="BF103" s="34">
        <f>K103-M103</f>
        <v/>
      </c>
      <c r="BG103" s="34">
        <f>P103-S103</f>
        <v/>
      </c>
      <c r="BH103" s="34">
        <f>W103-AA103</f>
        <v/>
      </c>
      <c r="BI103" s="34">
        <f>BF103+BG103+BL103-BN103</f>
        <v/>
      </c>
      <c r="BJ103" s="34">
        <f>ABS(BK103)</f>
        <v/>
      </c>
      <c r="BK103" s="34">
        <f>AY103-(J103-L103+N103-Q103)</f>
        <v/>
      </c>
      <c r="BL103" s="34">
        <f>IF(AND(BK103&gt;0,MIN($F103:$G103)&lt;150,$E103="Enerji Açığı"),-100*BK103*1.03,IF(AND(BK103&gt;0,MIN($F103:$G103)&lt;150,$E103="Enerji Fazlası"),-100*BK103*1.06,IF(AND(BK103&gt;0,MIN($F103:$G103)&gt;=150,$E103="Enerji Açığı"),BK103*MIN($F103:$G103)*0.97,IF(AND(BK103&gt;0,MIN($F103:$G103)&gt;=150,$E103="Enerji Fazlası"),BK103*MIN($F103:$G103)*0.94,IF(AND(BK103&lt;0,MAX($F103:$G103)=4500,$E103="Enerji Açığı"),4500*1.05*1.06*BK103,IF(AND(BK103&lt;0,MAX($F103:$G103)=4500,$E103="Enerji Fazlası"),4500*1.05*1.03*BK103,IF(AND(BK103&lt;0,$E103="Enerji Açığı"),MAX($F103,$G103,150)*BK103*1.06,IF(AND(BK103&lt;0,$E103="Enerji Fazlası"),MAX($F103,$G103,150)*BK103*1.03,IF(AND(BK103&lt;0,$E103="Dengede"),MAX($F103:$G103,150)*1.03*BK103,MIN($F103:$G103)*0.97*BK103)))))))))</f>
        <v/>
      </c>
      <c r="BM103" s="34">
        <f>BE103-BI103-BN103</f>
        <v/>
      </c>
      <c r="BN103" s="34">
        <f>BB103</f>
        <v/>
      </c>
      <c r="BO103" s="34">
        <f>BE103-BI103</f>
        <v/>
      </c>
      <c r="BP103" s="34">
        <f>IF(AY103=0,0,BO103/AY103)</f>
        <v/>
      </c>
      <c r="BQ103" s="34">
        <f>MAX((AY103+MAX((-J103+L103-N103+Q103),0)),(MAX((J103-L103+N103-Q103),0)))</f>
        <v/>
      </c>
      <c r="BR103" s="82">
        <f>IFERROR(ABS(BK103/BQ103),0)</f>
        <v/>
      </c>
      <c r="BS103" s="34">
        <f>IF(BR103&lt;=0.1,0,BK103/BR103*(BR103-0.1))</f>
        <v/>
      </c>
      <c r="BT103" s="34">
        <f>IF((BS103)&lt;0,MAX(F103:G103)*(BS103)*1.03,MIN(F103:G103)*(BS103)*0.97)</f>
        <v/>
      </c>
      <c r="BU103" s="34">
        <f>IF(BR103&gt;0.1,1,0)</f>
        <v/>
      </c>
      <c r="BV103" s="34">
        <f>BF103+BG103+BH103+BY103-CA103</f>
        <v/>
      </c>
      <c r="BW103" s="34">
        <f>ABS(BX103)</f>
        <v/>
      </c>
      <c r="BX103" s="34">
        <f>AY103-(J103-L103+N103-Q103+T103-X103)</f>
        <v/>
      </c>
      <c r="BY103" s="34">
        <f>IF(AND(BX103&gt;0,MIN($F103:$G103)&lt;150,$E103="Enerji Açığı"),-100*BX103*1.03,IF(AND(BX103&gt;0,MIN($F103:$G103)&lt;150,$E103="Enerji Fazlası"),-100*BX103*1.06,IF(AND(BX103&gt;0,MIN($F103:$G103)&gt;=150,$E103="Enerji Açığı"),BX103*MIN($F103:$G103)*0.97,IF(AND(BX103&gt;0,MIN($F103:$G103)&gt;=150,$E103="Enerji Fazlası"),BX103*MIN($F103:$G103)*0.94,IF(AND(BX103&lt;0,MAX($F103:$G103)=4500,$E103="Enerji Açığı"),4500*1.05*1.06*BX103,IF(AND(BX103&lt;0,MAX($F103:$G103)=4500,$E103="Enerji Fazlası"),4500*1.05*1.03*BX103,IF(AND(BX103&lt;0,$E103="Enerji Açığı"),MAX($F103,$G103,150)*BX103*1.06,IF(AND(BX103&lt;0,$E103="Enerji Fazlası"),MAX($F103,$G103,150)*BX103*1.03,IF(AND(BX103&lt;0,$E103="Dengede"),MAX($F103:$G103,150)*1.03*BX103,MIN($F103:$G103)*0.97*BX103)))))))))</f>
        <v/>
      </c>
      <c r="BZ103" s="34">
        <f>BE103-BV103-CA103</f>
        <v/>
      </c>
      <c r="CA103" s="34">
        <f>BD103</f>
        <v/>
      </c>
      <c r="CB103" s="33">
        <f>BE103-BV103</f>
        <v/>
      </c>
      <c r="CC103" s="34">
        <f>IF(AY103=0,0,CB103/AY103)</f>
        <v/>
      </c>
      <c r="CD103" s="34">
        <f>MAX((AY103+MAX((-J103+L103-N103+Q103-T103+X103),0)),(MAX((J103-L103+N103-Q103+T103-X103),0)))</f>
        <v/>
      </c>
      <c r="CE103" s="82">
        <f>IFERROR(ABS(BX103/CD103),0)</f>
        <v/>
      </c>
      <c r="CF103" s="34">
        <f>IF(CE103&lt;=0.1,0,BX103/CE103*(CE103-0.1))</f>
        <v/>
      </c>
      <c r="CG103" s="34">
        <f>IF((CF103)&lt;0,MAX(F103:G103)*(CF103)*1.03,MIN(F103:G103)*(CF103)*0.97)</f>
        <v/>
      </c>
      <c r="CH103" s="34">
        <f>IF(CE103&gt;0.1,1,0)</f>
        <v/>
      </c>
      <c r="CI103" s="34">
        <f>(F103*BX103)-BY103</f>
        <v/>
      </c>
      <c r="CJ103" s="34">
        <f>IF(AY103=0,0,CI103/AY103)</f>
        <v/>
      </c>
    </row>
    <row r="104">
      <c r="A104" s="29" t="n">
        <v>46208.20833333334</v>
      </c>
      <c r="B104" s="29" t="inlineStr">
        <is>
          <t>05:00</t>
        </is>
      </c>
      <c r="C104" s="35">
        <f>INT(A104)</f>
        <v/>
      </c>
      <c r="D104" s="36">
        <f>MONTH(A104)</f>
        <v/>
      </c>
      <c r="E104" s="147" t="inlineStr">
        <is>
          <t>Enerji Fazlası</t>
        </is>
      </c>
      <c r="F104" s="30" t="n">
        <v>1499.97</v>
      </c>
      <c r="G104" s="30" t="n">
        <v>499.99</v>
      </c>
      <c r="H104" s="30" t="n">
        <v>32.16</v>
      </c>
      <c r="I104" s="30" t="n">
        <v>1066.97</v>
      </c>
      <c r="J104" s="119" t="n">
        <v>0</v>
      </c>
      <c r="K104" s="34">
        <f>F104*J104</f>
        <v/>
      </c>
      <c r="L104" s="119" t="n">
        <v>0</v>
      </c>
      <c r="M104" s="34">
        <f>L104*F104</f>
        <v/>
      </c>
      <c r="N104" s="119" t="n">
        <v>20</v>
      </c>
      <c r="O104" s="34">
        <f>F104</f>
        <v/>
      </c>
      <c r="P104" s="34">
        <f>N104*O104</f>
        <v/>
      </c>
      <c r="Q104" s="117" t="n">
        <v>0</v>
      </c>
      <c r="R104" s="34">
        <f>F104</f>
        <v/>
      </c>
      <c r="S104" s="34">
        <f>R104*Q104</f>
        <v/>
      </c>
      <c r="T104" s="34" t="n"/>
      <c r="U104" s="34">
        <f>IFERROR(W104/T104,0)</f>
        <v/>
      </c>
      <c r="V104" s="34">
        <f>IF(U104=0,0,U104-F104)</f>
        <v/>
      </c>
      <c r="W104" s="34" t="n"/>
      <c r="X104" s="34" t="n"/>
      <c r="Y104" s="34">
        <f>IFERROR(AA104/X104,0)</f>
        <v/>
      </c>
      <c r="Z104" s="34">
        <f>IF(Y104=0,0,F104-Y104)</f>
        <v/>
      </c>
      <c r="AA104" s="34" t="n"/>
      <c r="AB104" s="34" t="n">
        <v>0</v>
      </c>
      <c r="AC104" s="34" t="n">
        <v>0</v>
      </c>
      <c r="AD104" s="34">
        <f>IF(AB104&gt;AC104*1.05,AB104-AC104*1.05,IF(AB104&lt;AC104*0.95,AC104*0.95-AB104,0))</f>
        <v/>
      </c>
      <c r="AE104" s="34">
        <f>MAX(F104,G104,750)*0.05*AD104</f>
        <v/>
      </c>
      <c r="AF104" s="34" t="n">
        <v>0</v>
      </c>
      <c r="AG104" s="34">
        <f>IF(AB104&gt;AF104*1.05,AB104-AF104*1.05,IF(AB104&lt;AF104*0.95,AF104*0.95-AB104,0))</f>
        <v/>
      </c>
      <c r="AH104" s="34">
        <f>MAX(I104,J104,750)*0.05*AG104</f>
        <v/>
      </c>
      <c r="AI104" t="n">
        <v>12.45</v>
      </c>
      <c r="AJ104" t="n">
        <v>9</v>
      </c>
      <c r="AK104" s="34">
        <f>IF(AI104&gt;AJ104*1.05,AI104-AJ104*1.05,IF(AI104&lt;AJ104*0.95,AJ104*0.95-AI104,0))</f>
        <v/>
      </c>
      <c r="AL104" s="34">
        <f>MAX(F104,G104,750)*0.05*AK104</f>
        <v/>
      </c>
      <c r="AM104" s="39" t="n">
        <v>10</v>
      </c>
      <c r="AN104" s="34">
        <f>IF(AI104&gt;AM104*1.05,AI104-AM104*1.05,IF(AI104&lt;AM104*0.95,AM104*0.95-AI104,0))</f>
        <v/>
      </c>
      <c r="AO104" s="34">
        <f>MAX(F104,G104,750)*0.05*AN104</f>
        <v/>
      </c>
      <c r="AP104" s="34" t="n">
        <v>15.17</v>
      </c>
      <c r="AQ104" s="34" t="n">
        <v>11</v>
      </c>
      <c r="AR104" s="34">
        <f>IF(AP104&gt;AQ104*1.05,AP104-AQ104*1.05,IF(AP104&lt;AQ104*0.95,AQ104*0.95-AP104,0))</f>
        <v/>
      </c>
      <c r="AS104" s="34">
        <f>MAX(F104:G104,750)*0.05*AR104</f>
        <v/>
      </c>
      <c r="AT104" t="n">
        <v>15</v>
      </c>
      <c r="AU104" s="34">
        <f>IF(AP104&gt;AT104*1.05,AP104-AT104*1.05,IF(AP104&lt;AT104*0.95,AT104*0.95-AP104,0))</f>
        <v/>
      </c>
      <c r="AV104" s="34">
        <f>MAX(F104:G104,750)*0.05*AU104</f>
        <v/>
      </c>
      <c r="AW104" s="34">
        <f>AC104+AJ104+AQ104</f>
        <v/>
      </c>
      <c r="AX104" s="34">
        <f>AF104+AM104+AT104</f>
        <v/>
      </c>
      <c r="AY104" s="34">
        <f>AB104+AI104+AP104</f>
        <v/>
      </c>
      <c r="AZ104" s="34" t="n">
        <v>0</v>
      </c>
      <c r="BA104" s="34">
        <f>AD104+AK104+AR104</f>
        <v/>
      </c>
      <c r="BB104" s="34">
        <f>MAX(F104:G104,750)*0.05*BA104</f>
        <v/>
      </c>
      <c r="BC104" s="34">
        <f>AG104+AN104+AU104</f>
        <v/>
      </c>
      <c r="BD104" s="34">
        <f>MAX(F104:G104,750)*0.05*BC104</f>
        <v/>
      </c>
      <c r="BE104" s="34">
        <f>F104*AY104</f>
        <v/>
      </c>
      <c r="BF104" s="34">
        <f>K104-M104</f>
        <v/>
      </c>
      <c r="BG104" s="34">
        <f>P104-S104</f>
        <v/>
      </c>
      <c r="BH104" s="34">
        <f>W104-AA104</f>
        <v/>
      </c>
      <c r="BI104" s="34">
        <f>BF104+BG104+BL104-BN104</f>
        <v/>
      </c>
      <c r="BJ104" s="34">
        <f>ABS(BK104)</f>
        <v/>
      </c>
      <c r="BK104" s="34">
        <f>AY104-(J104-L104+N104-Q104)</f>
        <v/>
      </c>
      <c r="BL104" s="34">
        <f>IF(AND(BK104&gt;0,MIN($F104:$G104)&lt;150,$E104="Enerji Açığı"),-100*BK104*1.03,IF(AND(BK104&gt;0,MIN($F104:$G104)&lt;150,$E104="Enerji Fazlası"),-100*BK104*1.06,IF(AND(BK104&gt;0,MIN($F104:$G104)&gt;=150,$E104="Enerji Açığı"),BK104*MIN($F104:$G104)*0.97,IF(AND(BK104&gt;0,MIN($F104:$G104)&gt;=150,$E104="Enerji Fazlası"),BK104*MIN($F104:$G104)*0.94,IF(AND(BK104&lt;0,MAX($F104:$G104)=4500,$E104="Enerji Açığı"),4500*1.05*1.06*BK104,IF(AND(BK104&lt;0,MAX($F104:$G104)=4500,$E104="Enerji Fazlası"),4500*1.05*1.03*BK104,IF(AND(BK104&lt;0,$E104="Enerji Açığı"),MAX($F104,$G104,150)*BK104*1.06,IF(AND(BK104&lt;0,$E104="Enerji Fazlası"),MAX($F104,$G104,150)*BK104*1.03,IF(AND(BK104&lt;0,$E104="Dengede"),MAX($F104:$G104,150)*1.03*BK104,MIN($F104:$G104)*0.97*BK104)))))))))</f>
        <v/>
      </c>
      <c r="BM104" s="34">
        <f>BE104-BI104-BN104</f>
        <v/>
      </c>
      <c r="BN104" s="34">
        <f>BB104</f>
        <v/>
      </c>
      <c r="BO104" s="34">
        <f>BE104-BI104</f>
        <v/>
      </c>
      <c r="BP104" s="34">
        <f>IF(AY104=0,0,BO104/AY104)</f>
        <v/>
      </c>
      <c r="BQ104" s="34">
        <f>MAX((AY104+MAX((-J104+L104-N104+Q104),0)),(MAX((J104-L104+N104-Q104),0)))</f>
        <v/>
      </c>
      <c r="BR104" s="82">
        <f>IFERROR(ABS(BK104/BQ104),0)</f>
        <v/>
      </c>
      <c r="BS104" s="34">
        <f>IF(BR104&lt;=0.1,0,BK104/BR104*(BR104-0.1))</f>
        <v/>
      </c>
      <c r="BT104" s="34">
        <f>IF((BS104)&lt;0,MAX(F104:G104)*(BS104)*1.03,MIN(F104:G104)*(BS104)*0.97)</f>
        <v/>
      </c>
      <c r="BU104" s="34">
        <f>IF(BR104&gt;0.1,1,0)</f>
        <v/>
      </c>
      <c r="BV104" s="34">
        <f>BF104+BG104+BH104+BY104-CA104</f>
        <v/>
      </c>
      <c r="BW104" s="34">
        <f>ABS(BX104)</f>
        <v/>
      </c>
      <c r="BX104" s="34">
        <f>AY104-(J104-L104+N104-Q104+T104-X104)</f>
        <v/>
      </c>
      <c r="BY104" s="34">
        <f>IF(AND(BX104&gt;0,MIN($F104:$G104)&lt;150,$E104="Enerji Açığı"),-100*BX104*1.03,IF(AND(BX104&gt;0,MIN($F104:$G104)&lt;150,$E104="Enerji Fazlası"),-100*BX104*1.06,IF(AND(BX104&gt;0,MIN($F104:$G104)&gt;=150,$E104="Enerji Açığı"),BX104*MIN($F104:$G104)*0.97,IF(AND(BX104&gt;0,MIN($F104:$G104)&gt;=150,$E104="Enerji Fazlası"),BX104*MIN($F104:$G104)*0.94,IF(AND(BX104&lt;0,MAX($F104:$G104)=4500,$E104="Enerji Açığı"),4500*1.05*1.06*BX104,IF(AND(BX104&lt;0,MAX($F104:$G104)=4500,$E104="Enerji Fazlası"),4500*1.05*1.03*BX104,IF(AND(BX104&lt;0,$E104="Enerji Açığı"),MAX($F104,$G104,150)*BX104*1.06,IF(AND(BX104&lt;0,$E104="Enerji Fazlası"),MAX($F104,$G104,150)*BX104*1.03,IF(AND(BX104&lt;0,$E104="Dengede"),MAX($F104:$G104,150)*1.03*BX104,MIN($F104:$G104)*0.97*BX104)))))))))</f>
        <v/>
      </c>
      <c r="BZ104" s="34">
        <f>BE104-BV104-CA104</f>
        <v/>
      </c>
      <c r="CA104" s="34">
        <f>BD104</f>
        <v/>
      </c>
      <c r="CB104" s="33">
        <f>BE104-BV104</f>
        <v/>
      </c>
      <c r="CC104" s="34">
        <f>IF(AY104=0,0,CB104/AY104)</f>
        <v/>
      </c>
      <c r="CD104" s="34">
        <f>MAX((AY104+MAX((-J104+L104-N104+Q104-T104+X104),0)),(MAX((J104-L104+N104-Q104+T104-X104),0)))</f>
        <v/>
      </c>
      <c r="CE104" s="82">
        <f>IFERROR(ABS(BX104/CD104),0)</f>
        <v/>
      </c>
      <c r="CF104" s="34">
        <f>IF(CE104&lt;=0.1,0,BX104/CE104*(CE104-0.1))</f>
        <v/>
      </c>
      <c r="CG104" s="34">
        <f>IF((CF104)&lt;0,MAX(F104:G104)*(CF104)*1.03,MIN(F104:G104)*(CF104)*0.97)</f>
        <v/>
      </c>
      <c r="CH104" s="34">
        <f>IF(CE104&gt;0.1,1,0)</f>
        <v/>
      </c>
      <c r="CI104" s="34">
        <f>(F104*BX104)-BY104</f>
        <v/>
      </c>
      <c r="CJ104" s="34">
        <f>IF(AY104=0,0,CI104/AY104)</f>
        <v/>
      </c>
    </row>
    <row r="105">
      <c r="A105" s="29" t="n">
        <v>46208.25</v>
      </c>
      <c r="B105" s="29" t="inlineStr">
        <is>
          <t>06:00</t>
        </is>
      </c>
      <c r="C105" s="35">
        <f>INT(A105)</f>
        <v/>
      </c>
      <c r="D105" s="36">
        <f>MONTH(A105)</f>
        <v/>
      </c>
      <c r="E105" s="147" t="inlineStr">
        <is>
          <t>Enerji Fazlası</t>
        </is>
      </c>
      <c r="F105" s="30" t="n">
        <v>2000</v>
      </c>
      <c r="G105" s="30" t="n">
        <v>1400</v>
      </c>
      <c r="H105" s="30" t="n">
        <v>42.89</v>
      </c>
      <c r="I105" s="30" t="n">
        <v>1755.67</v>
      </c>
      <c r="J105" s="119" t="n">
        <v>0</v>
      </c>
      <c r="K105" s="34">
        <f>F105*J105</f>
        <v/>
      </c>
      <c r="L105" s="119" t="n">
        <v>0</v>
      </c>
      <c r="M105" s="34">
        <f>L105*F105</f>
        <v/>
      </c>
      <c r="N105" s="119" t="n">
        <v>22.2</v>
      </c>
      <c r="O105" s="34">
        <f>F105</f>
        <v/>
      </c>
      <c r="P105" s="34">
        <f>N105*O105</f>
        <v/>
      </c>
      <c r="Q105" s="117" t="n">
        <v>0</v>
      </c>
      <c r="R105" s="34">
        <f>F105</f>
        <v/>
      </c>
      <c r="S105" s="34">
        <f>R105*Q105</f>
        <v/>
      </c>
      <c r="T105" s="34" t="n"/>
      <c r="U105" s="34">
        <f>IFERROR(W105/T105,0)</f>
        <v/>
      </c>
      <c r="V105" s="34">
        <f>IF(U105=0,0,U105-F105)</f>
        <v/>
      </c>
      <c r="W105" s="34" t="n"/>
      <c r="X105" s="34" t="n"/>
      <c r="Y105" s="34">
        <f>IFERROR(AA105/X105,0)</f>
        <v/>
      </c>
      <c r="Z105" s="34">
        <f>IF(Y105=0,0,F105-Y105)</f>
        <v/>
      </c>
      <c r="AA105" s="34" t="n"/>
      <c r="AB105" s="34" t="n">
        <v>0</v>
      </c>
      <c r="AC105" s="34" t="n">
        <v>0</v>
      </c>
      <c r="AD105" s="34">
        <f>IF(AB105&gt;AC105*1.05,AB105-AC105*1.05,IF(AB105&lt;AC105*0.95,AC105*0.95-AB105,0))</f>
        <v/>
      </c>
      <c r="AE105" s="34">
        <f>MAX(F105,G105,750)*0.05*AD105</f>
        <v/>
      </c>
      <c r="AF105" s="34" t="n">
        <v>0</v>
      </c>
      <c r="AG105" s="34">
        <f>IF(AB105&gt;AF105*1.05,AB105-AF105*1.05,IF(AB105&lt;AF105*0.95,AF105*0.95-AB105,0))</f>
        <v/>
      </c>
      <c r="AH105" s="34">
        <f>MAX(I105,J105,750)*0.05*AG105</f>
        <v/>
      </c>
      <c r="AI105" t="n">
        <v>12.41</v>
      </c>
      <c r="AJ105" t="n">
        <v>9</v>
      </c>
      <c r="AK105" s="34">
        <f>IF(AI105&gt;AJ105*1.05,AI105-AJ105*1.05,IF(AI105&lt;AJ105*0.95,AJ105*0.95-AI105,0))</f>
        <v/>
      </c>
      <c r="AL105" s="34">
        <f>MAX(F105,G105,750)*0.05*AK105</f>
        <v/>
      </c>
      <c r="AM105" s="39" t="n">
        <v>12</v>
      </c>
      <c r="AN105" s="34">
        <f>IF(AI105&gt;AM105*1.05,AI105-AM105*1.05,IF(AI105&lt;AM105*0.95,AM105*0.95-AI105,0))</f>
        <v/>
      </c>
      <c r="AO105" s="34">
        <f>MAX(F105,G105,750)*0.05*AN105</f>
        <v/>
      </c>
      <c r="AP105" s="34" t="n">
        <v>16.07</v>
      </c>
      <c r="AQ105" s="34" t="n">
        <v>13.2</v>
      </c>
      <c r="AR105" s="34">
        <f>IF(AP105&gt;AQ105*1.05,AP105-AQ105*1.05,IF(AP105&lt;AQ105*0.95,AQ105*0.95-AP105,0))</f>
        <v/>
      </c>
      <c r="AS105" s="34">
        <f>MAX(F105:G105,750)*0.05*AR105</f>
        <v/>
      </c>
      <c r="AT105" t="n">
        <v>16</v>
      </c>
      <c r="AU105" s="34">
        <f>IF(AP105&gt;AT105*1.05,AP105-AT105*1.05,IF(AP105&lt;AT105*0.95,AT105*0.95-AP105,0))</f>
        <v/>
      </c>
      <c r="AV105" s="34">
        <f>MAX(F105:G105,750)*0.05*AU105</f>
        <v/>
      </c>
      <c r="AW105" s="34">
        <f>AC105+AJ105+AQ105</f>
        <v/>
      </c>
      <c r="AX105" s="34">
        <f>AF105+AM105+AT105</f>
        <v/>
      </c>
      <c r="AY105" s="34">
        <f>AB105+AI105+AP105</f>
        <v/>
      </c>
      <c r="AZ105" s="34" t="n">
        <v>0</v>
      </c>
      <c r="BA105" s="34">
        <f>AD105+AK105+AR105</f>
        <v/>
      </c>
      <c r="BB105" s="34">
        <f>MAX(F105:G105,750)*0.05*BA105</f>
        <v/>
      </c>
      <c r="BC105" s="34">
        <f>AG105+AN105+AU105</f>
        <v/>
      </c>
      <c r="BD105" s="34">
        <f>MAX(F105:G105,750)*0.05*BC105</f>
        <v/>
      </c>
      <c r="BE105" s="34">
        <f>F105*AY105</f>
        <v/>
      </c>
      <c r="BF105" s="34">
        <f>K105-M105</f>
        <v/>
      </c>
      <c r="BG105" s="34">
        <f>P105-S105</f>
        <v/>
      </c>
      <c r="BH105" s="34">
        <f>W105-AA105</f>
        <v/>
      </c>
      <c r="BI105" s="34">
        <f>BF105+BG105+BL105-BN105</f>
        <v/>
      </c>
      <c r="BJ105" s="34">
        <f>ABS(BK105)</f>
        <v/>
      </c>
      <c r="BK105" s="34">
        <f>AY105-(J105-L105+N105-Q105)</f>
        <v/>
      </c>
      <c r="BL105" s="34">
        <f>IF(AND(BK105&gt;0,MIN($F105:$G105)&lt;150,$E105="Enerji Açığı"),-100*BK105*1.03,IF(AND(BK105&gt;0,MIN($F105:$G105)&lt;150,$E105="Enerji Fazlası"),-100*BK105*1.06,IF(AND(BK105&gt;0,MIN($F105:$G105)&gt;=150,$E105="Enerji Açığı"),BK105*MIN($F105:$G105)*0.97,IF(AND(BK105&gt;0,MIN($F105:$G105)&gt;=150,$E105="Enerji Fazlası"),BK105*MIN($F105:$G105)*0.94,IF(AND(BK105&lt;0,MAX($F105:$G105)=4500,$E105="Enerji Açığı"),4500*1.05*1.06*BK105,IF(AND(BK105&lt;0,MAX($F105:$G105)=4500,$E105="Enerji Fazlası"),4500*1.05*1.03*BK105,IF(AND(BK105&lt;0,$E105="Enerji Açığı"),MAX($F105,$G105,150)*BK105*1.06,IF(AND(BK105&lt;0,$E105="Enerji Fazlası"),MAX($F105,$G105,150)*BK105*1.03,IF(AND(BK105&lt;0,$E105="Dengede"),MAX($F105:$G105,150)*1.03*BK105,MIN($F105:$G105)*0.97*BK105)))))))))</f>
        <v/>
      </c>
      <c r="BM105" s="34">
        <f>BE105-BI105-BN105</f>
        <v/>
      </c>
      <c r="BN105" s="34">
        <f>BB105</f>
        <v/>
      </c>
      <c r="BO105" s="34">
        <f>BE105-BI105</f>
        <v/>
      </c>
      <c r="BP105" s="34">
        <f>IF(AY105=0,0,BO105/AY105)</f>
        <v/>
      </c>
      <c r="BQ105" s="34">
        <f>MAX((AY105+MAX((-J105+L105-N105+Q105),0)),(MAX((J105-L105+N105-Q105),0)))</f>
        <v/>
      </c>
      <c r="BR105" s="82">
        <f>IFERROR(ABS(BK105/BQ105),0)</f>
        <v/>
      </c>
      <c r="BS105" s="34">
        <f>IF(BR105&lt;=0.1,0,BK105/BR105*(BR105-0.1))</f>
        <v/>
      </c>
      <c r="BT105" s="34">
        <f>IF((BS105)&lt;0,MAX(F105:G105)*(BS105)*1.03,MIN(F105:G105)*(BS105)*0.97)</f>
        <v/>
      </c>
      <c r="BU105" s="34">
        <f>IF(BR105&gt;0.1,1,0)</f>
        <v/>
      </c>
      <c r="BV105" s="34">
        <f>BF105+BG105+BH105+BY105-CA105</f>
        <v/>
      </c>
      <c r="BW105" s="34">
        <f>ABS(BX105)</f>
        <v/>
      </c>
      <c r="BX105" s="34">
        <f>AY105-(J105-L105+N105-Q105+T105-X105)</f>
        <v/>
      </c>
      <c r="BY105" s="34">
        <f>IF(AND(BX105&gt;0,MIN($F105:$G105)&lt;150,$E105="Enerji Açığı"),-100*BX105*1.03,IF(AND(BX105&gt;0,MIN($F105:$G105)&lt;150,$E105="Enerji Fazlası"),-100*BX105*1.06,IF(AND(BX105&gt;0,MIN($F105:$G105)&gt;=150,$E105="Enerji Açığı"),BX105*MIN($F105:$G105)*0.97,IF(AND(BX105&gt;0,MIN($F105:$G105)&gt;=150,$E105="Enerji Fazlası"),BX105*MIN($F105:$G105)*0.94,IF(AND(BX105&lt;0,MAX($F105:$G105)=4500,$E105="Enerji Açığı"),4500*1.05*1.06*BX105,IF(AND(BX105&lt;0,MAX($F105:$G105)=4500,$E105="Enerji Fazlası"),4500*1.05*1.03*BX105,IF(AND(BX105&lt;0,$E105="Enerji Açığı"),MAX($F105,$G105,150)*BX105*1.06,IF(AND(BX105&lt;0,$E105="Enerji Fazlası"),MAX($F105,$G105,150)*BX105*1.03,IF(AND(BX105&lt;0,$E105="Dengede"),MAX($F105:$G105,150)*1.03*BX105,MIN($F105:$G105)*0.97*BX105)))))))))</f>
        <v/>
      </c>
      <c r="BZ105" s="34">
        <f>BE105-BV105-CA105</f>
        <v/>
      </c>
      <c r="CA105" s="34">
        <f>BD105</f>
        <v/>
      </c>
      <c r="CB105" s="33">
        <f>BE105-BV105</f>
        <v/>
      </c>
      <c r="CC105" s="34">
        <f>IF(AY105=0,0,CB105/AY105)</f>
        <v/>
      </c>
      <c r="CD105" s="34">
        <f>MAX((AY105+MAX((-J105+L105-N105+Q105-T105+X105),0)),(MAX((J105-L105+N105-Q105+T105-X105),0)))</f>
        <v/>
      </c>
      <c r="CE105" s="82">
        <f>IFERROR(ABS(BX105/CD105),0)</f>
        <v/>
      </c>
      <c r="CF105" s="34">
        <f>IF(CE105&lt;=0.1,0,BX105/CE105*(CE105-0.1))</f>
        <v/>
      </c>
      <c r="CG105" s="34">
        <f>IF((CF105)&lt;0,MAX(F105:G105)*(CF105)*1.03,MIN(F105:G105)*(CF105)*0.97)</f>
        <v/>
      </c>
      <c r="CH105" s="34">
        <f>IF(CE105&gt;0.1,1,0)</f>
        <v/>
      </c>
      <c r="CI105" s="34">
        <f>(F105*BX105)-BY105</f>
        <v/>
      </c>
      <c r="CJ105" s="34">
        <f>IF(AY105=0,0,CI105/AY105)</f>
        <v/>
      </c>
    </row>
    <row r="106">
      <c r="A106" s="29" t="n">
        <v>46208.29166666666</v>
      </c>
      <c r="B106" s="29" t="inlineStr">
        <is>
          <t>07:00</t>
        </is>
      </c>
      <c r="C106" s="35">
        <f>INT(A106)</f>
        <v/>
      </c>
      <c r="D106" s="36">
        <f>MONTH(A106)</f>
        <v/>
      </c>
      <c r="E106" s="147" t="inlineStr">
        <is>
          <t>Enerji Açığı</t>
        </is>
      </c>
      <c r="F106" s="30" t="n">
        <v>303.99</v>
      </c>
      <c r="G106" s="30" t="n">
        <v>928.99</v>
      </c>
      <c r="H106" s="30" t="n">
        <v>6.52</v>
      </c>
      <c r="I106" s="30" t="n">
        <v>314.22</v>
      </c>
      <c r="J106" s="119" t="n">
        <v>0</v>
      </c>
      <c r="K106" s="34">
        <f>F106*J106</f>
        <v/>
      </c>
      <c r="L106" s="119" t="n">
        <v>0</v>
      </c>
      <c r="M106" s="34">
        <f>L106*F106</f>
        <v/>
      </c>
      <c r="N106" s="119" t="n">
        <v>22.5</v>
      </c>
      <c r="O106" s="34">
        <f>F106</f>
        <v/>
      </c>
      <c r="P106" s="34">
        <f>N106*O106</f>
        <v/>
      </c>
      <c r="Q106" s="117" t="n">
        <v>0</v>
      </c>
      <c r="R106" s="34">
        <f>F106</f>
        <v/>
      </c>
      <c r="S106" s="34">
        <f>R106*Q106</f>
        <v/>
      </c>
      <c r="T106" s="34" t="n"/>
      <c r="U106" s="34">
        <f>IFERROR(W106/T106,0)</f>
        <v/>
      </c>
      <c r="V106" s="34">
        <f>IF(U106=0,0,U106-F106)</f>
        <v/>
      </c>
      <c r="W106" s="34" t="n"/>
      <c r="X106" s="34" t="n"/>
      <c r="Y106" s="34">
        <f>IFERROR(AA106/X106,0)</f>
        <v/>
      </c>
      <c r="Z106" s="34">
        <f>IF(Y106=0,0,F106-Y106)</f>
        <v/>
      </c>
      <c r="AA106" s="34" t="n"/>
      <c r="AB106" s="34" t="n">
        <v>0</v>
      </c>
      <c r="AC106" s="34" t="n">
        <v>0</v>
      </c>
      <c r="AD106" s="34">
        <f>IF(AB106&gt;AC106*1.05,AB106-AC106*1.05,IF(AB106&lt;AC106*0.95,AC106*0.95-AB106,0))</f>
        <v/>
      </c>
      <c r="AE106" s="34">
        <f>MAX(F106,G106,750)*0.05*AD106</f>
        <v/>
      </c>
      <c r="AF106" s="34" t="n">
        <v>0</v>
      </c>
      <c r="AG106" s="34">
        <f>IF(AB106&gt;AF106*1.05,AB106-AF106*1.05,IF(AB106&lt;AF106*0.95,AF106*0.95-AB106,0))</f>
        <v/>
      </c>
      <c r="AH106" s="34">
        <f>MAX(I106,J106,750)*0.05*AG106</f>
        <v/>
      </c>
      <c r="AI106" t="n">
        <v>10.54</v>
      </c>
      <c r="AJ106" t="n">
        <v>9</v>
      </c>
      <c r="AK106" s="34">
        <f>IF(AI106&gt;AJ106*1.05,AI106-AJ106*1.05,IF(AI106&lt;AJ106*0.95,AJ106*0.95-AI106,0))</f>
        <v/>
      </c>
      <c r="AL106" s="34">
        <f>MAX(F106,G106,750)*0.05*AK106</f>
        <v/>
      </c>
      <c r="AM106" s="39" t="n">
        <v>9</v>
      </c>
      <c r="AN106" s="34">
        <f>IF(AI106&gt;AM106*1.05,AI106-AM106*1.05,IF(AI106&lt;AM106*0.95,AM106*0.95-AI106,0))</f>
        <v/>
      </c>
      <c r="AO106" s="34">
        <f>MAX(F106,G106,750)*0.05*AN106</f>
        <v/>
      </c>
      <c r="AP106" s="34" t="n">
        <v>13.26</v>
      </c>
      <c r="AQ106" s="34" t="n">
        <v>13.5</v>
      </c>
      <c r="AR106" s="34">
        <f>IF(AP106&gt;AQ106*1.05,AP106-AQ106*1.05,IF(AP106&lt;AQ106*0.95,AQ106*0.95-AP106,0))</f>
        <v/>
      </c>
      <c r="AS106" s="34">
        <f>MAX(F106:G106,750)*0.05*AR106</f>
        <v/>
      </c>
      <c r="AT106" t="n">
        <v>13.5</v>
      </c>
      <c r="AU106" s="34">
        <f>IF(AP106&gt;AT106*1.05,AP106-AT106*1.05,IF(AP106&lt;AT106*0.95,AT106*0.95-AP106,0))</f>
        <v/>
      </c>
      <c r="AV106" s="34">
        <f>MAX(F106:G106,750)*0.05*AU106</f>
        <v/>
      </c>
      <c r="AW106" s="34">
        <f>AC106+AJ106+AQ106</f>
        <v/>
      </c>
      <c r="AX106" s="34">
        <f>AF106+AM106+AT106</f>
        <v/>
      </c>
      <c r="AY106" s="34">
        <f>AB106+AI106+AP106</f>
        <v/>
      </c>
      <c r="AZ106" s="34" t="n">
        <v>0</v>
      </c>
      <c r="BA106" s="34">
        <f>AD106+AK106+AR106</f>
        <v/>
      </c>
      <c r="BB106" s="34">
        <f>MAX(F106:G106,750)*0.05*BA106</f>
        <v/>
      </c>
      <c r="BC106" s="34">
        <f>AG106+AN106+AU106</f>
        <v/>
      </c>
      <c r="BD106" s="34">
        <f>MAX(F106:G106,750)*0.05*BC106</f>
        <v/>
      </c>
      <c r="BE106" s="34">
        <f>F106*AY106</f>
        <v/>
      </c>
      <c r="BF106" s="34">
        <f>K106-M106</f>
        <v/>
      </c>
      <c r="BG106" s="34">
        <f>P106-S106</f>
        <v/>
      </c>
      <c r="BH106" s="34">
        <f>W106-AA106</f>
        <v/>
      </c>
      <c r="BI106" s="34">
        <f>BF106+BG106+BL106-BN106</f>
        <v/>
      </c>
      <c r="BJ106" s="34">
        <f>ABS(BK106)</f>
        <v/>
      </c>
      <c r="BK106" s="34">
        <f>AY106-(J106-L106+N106-Q106)</f>
        <v/>
      </c>
      <c r="BL106" s="34">
        <f>IF(AND(BK106&gt;0,MIN($F106:$G106)&lt;150,$E106="Enerji Açığı"),-100*BK106*1.03,IF(AND(BK106&gt;0,MIN($F106:$G106)&lt;150,$E106="Enerji Fazlası"),-100*BK106*1.06,IF(AND(BK106&gt;0,MIN($F106:$G106)&gt;=150,$E106="Enerji Açığı"),BK106*MIN($F106:$G106)*0.97,IF(AND(BK106&gt;0,MIN($F106:$G106)&gt;=150,$E106="Enerji Fazlası"),BK106*MIN($F106:$G106)*0.94,IF(AND(BK106&lt;0,MAX($F106:$G106)=4500,$E106="Enerji Açığı"),4500*1.05*1.06*BK106,IF(AND(BK106&lt;0,MAX($F106:$G106)=4500,$E106="Enerji Fazlası"),4500*1.05*1.03*BK106,IF(AND(BK106&lt;0,$E106="Enerji Açığı"),MAX($F106,$G106,150)*BK106*1.06,IF(AND(BK106&lt;0,$E106="Enerji Fazlası"),MAX($F106,$G106,150)*BK106*1.03,IF(AND(BK106&lt;0,$E106="Dengede"),MAX($F106:$G106,150)*1.03*BK106,MIN($F106:$G106)*0.97*BK106)))))))))</f>
        <v/>
      </c>
      <c r="BM106" s="34">
        <f>BE106-BI106-BN106</f>
        <v/>
      </c>
      <c r="BN106" s="34">
        <f>BB106</f>
        <v/>
      </c>
      <c r="BO106" s="34">
        <f>BE106-BI106</f>
        <v/>
      </c>
      <c r="BP106" s="34">
        <f>IF(AY106=0,0,BO106/AY106)</f>
        <v/>
      </c>
      <c r="BQ106" s="34">
        <f>MAX((AY106+MAX((-J106+L106-N106+Q106),0)),(MAX((J106-L106+N106-Q106),0)))</f>
        <v/>
      </c>
      <c r="BR106" s="82">
        <f>IFERROR(ABS(BK106/BQ106),0)</f>
        <v/>
      </c>
      <c r="BS106" s="34">
        <f>IF(BR106&lt;=0.1,0,BK106/BR106*(BR106-0.1))</f>
        <v/>
      </c>
      <c r="BT106" s="34">
        <f>IF((BS106)&lt;0,MAX(F106:G106)*(BS106)*1.03,MIN(F106:G106)*(BS106)*0.97)</f>
        <v/>
      </c>
      <c r="BU106" s="34">
        <f>IF(BR106&gt;0.1,1,0)</f>
        <v/>
      </c>
      <c r="BV106" s="34">
        <f>BF106+BG106+BH106+BY106-CA106</f>
        <v/>
      </c>
      <c r="BW106" s="34">
        <f>ABS(BX106)</f>
        <v/>
      </c>
      <c r="BX106" s="34">
        <f>AY106-(J106-L106+N106-Q106+T106-X106)</f>
        <v/>
      </c>
      <c r="BY106" s="34">
        <f>IF(AND(BX106&gt;0,MIN($F106:$G106)&lt;150,$E106="Enerji Açığı"),-100*BX106*1.03,IF(AND(BX106&gt;0,MIN($F106:$G106)&lt;150,$E106="Enerji Fazlası"),-100*BX106*1.06,IF(AND(BX106&gt;0,MIN($F106:$G106)&gt;=150,$E106="Enerji Açığı"),BX106*MIN($F106:$G106)*0.97,IF(AND(BX106&gt;0,MIN($F106:$G106)&gt;=150,$E106="Enerji Fazlası"),BX106*MIN($F106:$G106)*0.94,IF(AND(BX106&lt;0,MAX($F106:$G106)=4500,$E106="Enerji Açığı"),4500*1.05*1.06*BX106,IF(AND(BX106&lt;0,MAX($F106:$G106)=4500,$E106="Enerji Fazlası"),4500*1.05*1.03*BX106,IF(AND(BX106&lt;0,$E106="Enerji Açığı"),MAX($F106,$G106,150)*BX106*1.06,IF(AND(BX106&lt;0,$E106="Enerji Fazlası"),MAX($F106,$G106,150)*BX106*1.03,IF(AND(BX106&lt;0,$E106="Dengede"),MAX($F106:$G106,150)*1.03*BX106,MIN($F106:$G106)*0.97*BX106)))))))))</f>
        <v/>
      </c>
      <c r="BZ106" s="34">
        <f>BE106-BV106-CA106</f>
        <v/>
      </c>
      <c r="CA106" s="34">
        <f>BD106</f>
        <v/>
      </c>
      <c r="CB106" s="33">
        <f>BE106-BV106</f>
        <v/>
      </c>
      <c r="CC106" s="34">
        <f>IF(AY106=0,0,CB106/AY106)</f>
        <v/>
      </c>
      <c r="CD106" s="34">
        <f>MAX((AY106+MAX((-J106+L106-N106+Q106-T106+X106),0)),(MAX((J106-L106+N106-Q106+T106-X106),0)))</f>
        <v/>
      </c>
      <c r="CE106" s="82">
        <f>IFERROR(ABS(BX106/CD106),0)</f>
        <v/>
      </c>
      <c r="CF106" s="34">
        <f>IF(CE106&lt;=0.1,0,BX106/CE106*(CE106-0.1))</f>
        <v/>
      </c>
      <c r="CG106" s="34">
        <f>IF((CF106)&lt;0,MAX(F106:G106)*(CF106)*1.03,MIN(F106:G106)*(CF106)*0.97)</f>
        <v/>
      </c>
      <c r="CH106" s="34">
        <f>IF(CE106&gt;0.1,1,0)</f>
        <v/>
      </c>
      <c r="CI106" s="34">
        <f>(F106*BX106)-BY106</f>
        <v/>
      </c>
      <c r="CJ106" s="34">
        <f>IF(AY106=0,0,CI106/AY106)</f>
        <v/>
      </c>
    </row>
    <row r="107">
      <c r="A107" s="29" t="n">
        <v>46208.33333333334</v>
      </c>
      <c r="B107" s="29" t="inlineStr">
        <is>
          <t>08:00</t>
        </is>
      </c>
      <c r="C107" s="35">
        <f>INT(A107)</f>
        <v/>
      </c>
      <c r="D107" s="36">
        <f>MONTH(A107)</f>
        <v/>
      </c>
      <c r="E107" s="147" t="inlineStr">
        <is>
          <t>Enerji Fazlası</t>
        </is>
      </c>
      <c r="F107" s="30" t="n">
        <v>174.99</v>
      </c>
      <c r="G107" s="30" t="n">
        <v>1</v>
      </c>
      <c r="H107" s="30" t="n">
        <v>3.75</v>
      </c>
      <c r="I107" s="30" t="n">
        <v>186.2</v>
      </c>
      <c r="J107" s="119" t="n">
        <v>0</v>
      </c>
      <c r="K107" s="34">
        <f>F107*J107</f>
        <v/>
      </c>
      <c r="L107" s="119" t="n">
        <v>24</v>
      </c>
      <c r="M107" s="34">
        <f>L107*F107</f>
        <v/>
      </c>
      <c r="N107" s="119" t="n">
        <v>24</v>
      </c>
      <c r="O107" s="34">
        <f>F107</f>
        <v/>
      </c>
      <c r="P107" s="34">
        <f>N107*O107</f>
        <v/>
      </c>
      <c r="Q107" s="117" t="n">
        <v>0</v>
      </c>
      <c r="R107" s="34">
        <f>F107</f>
        <v/>
      </c>
      <c r="S107" s="34">
        <f>R107*Q107</f>
        <v/>
      </c>
      <c r="T107" s="34" t="n"/>
      <c r="U107" s="34">
        <f>IFERROR(W107/T107,0)</f>
        <v/>
      </c>
      <c r="V107" s="34">
        <f>IF(U107=0,0,U107-F107)</f>
        <v/>
      </c>
      <c r="W107" s="34" t="n"/>
      <c r="X107" s="34" t="n"/>
      <c r="Y107" s="34">
        <f>IFERROR(AA107/X107,0)</f>
        <v/>
      </c>
      <c r="Z107" s="34">
        <f>IF(Y107=0,0,F107-Y107)</f>
        <v/>
      </c>
      <c r="AA107" s="34" t="n"/>
      <c r="AB107" s="34" t="n">
        <v>0</v>
      </c>
      <c r="AC107" s="34" t="n">
        <v>0</v>
      </c>
      <c r="AD107" s="34">
        <f>IF(AB107&gt;AC107*1.05,AB107-AC107*1.05,IF(AB107&lt;AC107*0.95,AC107*0.95-AB107,0))</f>
        <v/>
      </c>
      <c r="AE107" s="34">
        <f>MAX(F107,G107,750)*0.05*AD107</f>
        <v/>
      </c>
      <c r="AF107" s="34" t="n">
        <v>0</v>
      </c>
      <c r="AG107" s="34">
        <f>IF(AB107&gt;AF107*1.05,AB107-AF107*1.05,IF(AB107&lt;AF107*0.95,AF107*0.95-AB107,0))</f>
        <v/>
      </c>
      <c r="AH107" s="34">
        <f>MAX(I107,J107,750)*0.05*AG107</f>
        <v/>
      </c>
      <c r="AI107" t="n">
        <v>0</v>
      </c>
      <c r="AJ107" t="n">
        <v>0</v>
      </c>
      <c r="AK107" s="34">
        <f>IF(AI107&gt;AJ107*1.05,AI107-AJ107*1.05,IF(AI107&lt;AJ107*0.95,AJ107*0.95-AI107,0))</f>
        <v/>
      </c>
      <c r="AL107" s="34">
        <f>MAX(F107,G107,750)*0.05*AK107</f>
        <v/>
      </c>
      <c r="AM107" s="39" t="n">
        <v>0</v>
      </c>
      <c r="AN107" s="34">
        <f>IF(AI107&gt;AM107*1.05,AI107-AM107*1.05,IF(AI107&lt;AM107*0.95,AM107*0.95-AI107,0))</f>
        <v/>
      </c>
      <c r="AO107" s="34">
        <f>MAX(F107,G107,750)*0.05*AN107</f>
        <v/>
      </c>
      <c r="AP107" s="34" t="n">
        <v>0</v>
      </c>
      <c r="AQ107" s="34" t="n">
        <v>0</v>
      </c>
      <c r="AR107" s="34">
        <f>IF(AP107&gt;AQ107*1.05,AP107-AQ107*1.05,IF(AP107&lt;AQ107*0.95,AQ107*0.95-AP107,0))</f>
        <v/>
      </c>
      <c r="AS107" s="34">
        <f>MAX(F107:G107,750)*0.05*AR107</f>
        <v/>
      </c>
      <c r="AT107" t="n">
        <v>0</v>
      </c>
      <c r="AU107" s="34">
        <f>IF(AP107&gt;AT107*1.05,AP107-AT107*1.05,IF(AP107&lt;AT107*0.95,AT107*0.95-AP107,0))</f>
        <v/>
      </c>
      <c r="AV107" s="34">
        <f>MAX(F107:G107,750)*0.05*AU107</f>
        <v/>
      </c>
      <c r="AW107" s="34">
        <f>AC107+AJ107+AQ107</f>
        <v/>
      </c>
      <c r="AX107" s="34">
        <f>AF107+AM107+AT107</f>
        <v/>
      </c>
      <c r="AY107" s="34">
        <f>AB107+AI107+AP107</f>
        <v/>
      </c>
      <c r="AZ107" s="34" t="n">
        <v>0</v>
      </c>
      <c r="BA107" s="34">
        <f>AD107+AK107+AR107</f>
        <v/>
      </c>
      <c r="BB107" s="34">
        <f>MAX(F107:G107,750)*0.05*BA107</f>
        <v/>
      </c>
      <c r="BC107" s="34">
        <f>AG107+AN107+AU107</f>
        <v/>
      </c>
      <c r="BD107" s="34">
        <f>MAX(F107:G107,750)*0.05*BC107</f>
        <v/>
      </c>
      <c r="BE107" s="34">
        <f>F107*AY107</f>
        <v/>
      </c>
      <c r="BF107" s="34">
        <f>K107-M107</f>
        <v/>
      </c>
      <c r="BG107" s="34">
        <f>P107-S107</f>
        <v/>
      </c>
      <c r="BH107" s="34">
        <f>W107-AA107</f>
        <v/>
      </c>
      <c r="BI107" s="34">
        <f>BF107+BG107+BL107-BN107</f>
        <v/>
      </c>
      <c r="BJ107" s="34">
        <f>ABS(BK107)</f>
        <v/>
      </c>
      <c r="BK107" s="34">
        <f>AY107-(J107-L107+N107-Q107)</f>
        <v/>
      </c>
      <c r="BL107" s="34">
        <f>IF(AND(BK107&gt;0,MIN($F107:$G107)&lt;150,$E107="Enerji Açığı"),-100*BK107*1.03,IF(AND(BK107&gt;0,MIN($F107:$G107)&lt;150,$E107="Enerji Fazlası"),-100*BK107*1.06,IF(AND(BK107&gt;0,MIN($F107:$G107)&gt;=150,$E107="Enerji Açığı"),BK107*MIN($F107:$G107)*0.97,IF(AND(BK107&gt;0,MIN($F107:$G107)&gt;=150,$E107="Enerji Fazlası"),BK107*MIN($F107:$G107)*0.94,IF(AND(BK107&lt;0,MAX($F107:$G107)=4500,$E107="Enerji Açığı"),4500*1.05*1.06*BK107,IF(AND(BK107&lt;0,MAX($F107:$G107)=4500,$E107="Enerji Fazlası"),4500*1.05*1.03*BK107,IF(AND(BK107&lt;0,$E107="Enerji Açığı"),MAX($F107,$G107,150)*BK107*1.06,IF(AND(BK107&lt;0,$E107="Enerji Fazlası"),MAX($F107,$G107,150)*BK107*1.03,IF(AND(BK107&lt;0,$E107="Dengede"),MAX($F107:$G107,150)*1.03*BK107,MIN($F107:$G107)*0.97*BK107)))))))))</f>
        <v/>
      </c>
      <c r="BM107" s="34">
        <f>BE107-BI107-BN107</f>
        <v/>
      </c>
      <c r="BN107" s="34">
        <f>BB107</f>
        <v/>
      </c>
      <c r="BO107" s="34">
        <f>BE107-BI107</f>
        <v/>
      </c>
      <c r="BP107" s="34">
        <f>IF(AY107=0,0,BO107/AY107)</f>
        <v/>
      </c>
      <c r="BQ107" s="34">
        <f>MAX((AY107+MAX((-J107+L107-N107+Q107),0)),(MAX((J107-L107+N107-Q107),0)))</f>
        <v/>
      </c>
      <c r="BR107" s="82">
        <f>IFERROR(ABS(BK107/BQ107),0)</f>
        <v/>
      </c>
      <c r="BS107" s="34">
        <f>IF(BR107&lt;=0.1,0,BK107/BR107*(BR107-0.1))</f>
        <v/>
      </c>
      <c r="BT107" s="34">
        <f>IF((BS107)&lt;0,MAX(F107:G107)*(BS107)*1.03,MIN(F107:G107)*(BS107)*0.97)</f>
        <v/>
      </c>
      <c r="BU107" s="34">
        <f>IF(BR107&gt;0.1,1,0)</f>
        <v/>
      </c>
      <c r="BV107" s="34">
        <f>BF107+BG107+BH107+BY107-CA107</f>
        <v/>
      </c>
      <c r="BW107" s="34">
        <f>ABS(BX107)</f>
        <v/>
      </c>
      <c r="BX107" s="34">
        <f>AY107-(J107-L107+N107-Q107+T107-X107)</f>
        <v/>
      </c>
      <c r="BY107" s="34">
        <f>IF(AND(BX107&gt;0,MIN($F107:$G107)&lt;150,$E107="Enerji Açığı"),-100*BX107*1.03,IF(AND(BX107&gt;0,MIN($F107:$G107)&lt;150,$E107="Enerji Fazlası"),-100*BX107*1.06,IF(AND(BX107&gt;0,MIN($F107:$G107)&gt;=150,$E107="Enerji Açığı"),BX107*MIN($F107:$G107)*0.97,IF(AND(BX107&gt;0,MIN($F107:$G107)&gt;=150,$E107="Enerji Fazlası"),BX107*MIN($F107:$G107)*0.94,IF(AND(BX107&lt;0,MAX($F107:$G107)=4500,$E107="Enerji Açığı"),4500*1.05*1.06*BX107,IF(AND(BX107&lt;0,MAX($F107:$G107)=4500,$E107="Enerji Fazlası"),4500*1.05*1.03*BX107,IF(AND(BX107&lt;0,$E107="Enerji Açığı"),MAX($F107,$G107,150)*BX107*1.06,IF(AND(BX107&lt;0,$E107="Enerji Fazlası"),MAX($F107,$G107,150)*BX107*1.03,IF(AND(BX107&lt;0,$E107="Dengede"),MAX($F107:$G107,150)*1.03*BX107,MIN($F107:$G107)*0.97*BX107)))))))))</f>
        <v/>
      </c>
      <c r="BZ107" s="34">
        <f>BE107-BV107-CA107</f>
        <v/>
      </c>
      <c r="CA107" s="34">
        <f>BD107</f>
        <v/>
      </c>
      <c r="CB107" s="33">
        <f>BE107-BV107</f>
        <v/>
      </c>
      <c r="CC107" s="34">
        <f>IF(AY107=0,0,CB107/AY107)</f>
        <v/>
      </c>
      <c r="CD107" s="34">
        <f>MAX((AY107+MAX((-J107+L107-N107+Q107-T107+X107),0)),(MAX((J107-L107+N107-Q107+T107-X107),0)))</f>
        <v/>
      </c>
      <c r="CE107" s="82">
        <f>IFERROR(ABS(BX107/CD107),0)</f>
        <v/>
      </c>
      <c r="CF107" s="34">
        <f>IF(CE107&lt;=0.1,0,BX107/CE107*(CE107-0.1))</f>
        <v/>
      </c>
      <c r="CG107" s="34">
        <f>IF((CF107)&lt;0,MAX(F107:G107)*(CF107)*1.03,MIN(F107:G107)*(CF107)*0.97)</f>
        <v/>
      </c>
      <c r="CH107" s="34">
        <f>IF(CE107&gt;0.1,1,0)</f>
        <v/>
      </c>
      <c r="CI107" s="34">
        <f>(F107*BX107)-BY107</f>
        <v/>
      </c>
      <c r="CJ107" s="34">
        <f>IF(AY107=0,0,CI107/AY107)</f>
        <v/>
      </c>
    </row>
    <row r="108">
      <c r="A108" s="29" t="n">
        <v>46208.375</v>
      </c>
      <c r="B108" s="29" t="inlineStr">
        <is>
          <t>09:00</t>
        </is>
      </c>
      <c r="C108" s="35">
        <f>INT(A108)</f>
        <v/>
      </c>
      <c r="D108" s="36">
        <f>MONTH(A108)</f>
        <v/>
      </c>
      <c r="E108" s="147" t="inlineStr">
        <is>
          <t>Enerji Fazlası</t>
        </is>
      </c>
      <c r="F108" s="30" t="n">
        <v>170.01</v>
      </c>
      <c r="G108" s="30" t="n">
        <v>0</v>
      </c>
      <c r="H108" s="30" t="n">
        <v>3.65</v>
      </c>
      <c r="I108" s="30" t="n">
        <v>99.93000000000001</v>
      </c>
      <c r="J108" s="119" t="n">
        <v>0</v>
      </c>
      <c r="K108" s="34">
        <f>F108*J108</f>
        <v/>
      </c>
      <c r="L108" s="119" t="n">
        <v>25</v>
      </c>
      <c r="M108" s="34">
        <f>L108*F108</f>
        <v/>
      </c>
      <c r="N108" s="119" t="n">
        <v>25</v>
      </c>
      <c r="O108" s="34">
        <f>F108</f>
        <v/>
      </c>
      <c r="P108" s="34">
        <f>N108*O108</f>
        <v/>
      </c>
      <c r="Q108" s="117" t="n">
        <v>0</v>
      </c>
      <c r="R108" s="34">
        <f>F108</f>
        <v/>
      </c>
      <c r="S108" s="34">
        <f>R108*Q108</f>
        <v/>
      </c>
      <c r="T108" s="34" t="n"/>
      <c r="U108" s="34">
        <f>IFERROR(W108/T108,0)</f>
        <v/>
      </c>
      <c r="V108" s="34">
        <f>IF(U108=0,0,U108-F108)</f>
        <v/>
      </c>
      <c r="W108" s="34" t="n"/>
      <c r="X108" s="34" t="n"/>
      <c r="Y108" s="34">
        <f>IFERROR(AA108/X108,0)</f>
        <v/>
      </c>
      <c r="Z108" s="34">
        <f>IF(Y108=0,0,F108-Y108)</f>
        <v/>
      </c>
      <c r="AA108" s="34" t="n"/>
      <c r="AB108" s="34" t="n">
        <v>0</v>
      </c>
      <c r="AC108" s="34" t="n">
        <v>0</v>
      </c>
      <c r="AD108" s="34">
        <f>IF(AB108&gt;AC108*1.05,AB108-AC108*1.05,IF(AB108&lt;AC108*0.95,AC108*0.95-AB108,0))</f>
        <v/>
      </c>
      <c r="AE108" s="34">
        <f>MAX(F108,G108,750)*0.05*AD108</f>
        <v/>
      </c>
      <c r="AF108" s="34" t="n">
        <v>0</v>
      </c>
      <c r="AG108" s="34">
        <f>IF(AB108&gt;AF108*1.05,AB108-AF108*1.05,IF(AB108&lt;AF108*0.95,AF108*0.95-AB108,0))</f>
        <v/>
      </c>
      <c r="AH108" s="34">
        <f>MAX(I108,J108,750)*0.05*AG108</f>
        <v/>
      </c>
      <c r="AI108" t="n">
        <v>0</v>
      </c>
      <c r="AJ108" t="n">
        <v>0</v>
      </c>
      <c r="AK108" s="34">
        <f>IF(AI108&gt;AJ108*1.05,AI108-AJ108*1.05,IF(AI108&lt;AJ108*0.95,AJ108*0.95-AI108,0))</f>
        <v/>
      </c>
      <c r="AL108" s="34">
        <f>MAX(F108,G108,750)*0.05*AK108</f>
        <v/>
      </c>
      <c r="AM108" s="39" t="n">
        <v>0</v>
      </c>
      <c r="AN108" s="34">
        <f>IF(AI108&gt;AM108*1.05,AI108-AM108*1.05,IF(AI108&lt;AM108*0.95,AM108*0.95-AI108,0))</f>
        <v/>
      </c>
      <c r="AO108" s="34">
        <f>MAX(F108,G108,750)*0.05*AN108</f>
        <v/>
      </c>
      <c r="AP108" s="34" t="n">
        <v>0</v>
      </c>
      <c r="AQ108" s="34" t="n">
        <v>0</v>
      </c>
      <c r="AR108" s="34">
        <f>IF(AP108&gt;AQ108*1.05,AP108-AQ108*1.05,IF(AP108&lt;AQ108*0.95,AQ108*0.95-AP108,0))</f>
        <v/>
      </c>
      <c r="AS108" s="34">
        <f>MAX(F108:G108,750)*0.05*AR108</f>
        <v/>
      </c>
      <c r="AT108" t="n">
        <v>0</v>
      </c>
      <c r="AU108" s="34">
        <f>IF(AP108&gt;AT108*1.05,AP108-AT108*1.05,IF(AP108&lt;AT108*0.95,AT108*0.95-AP108,0))</f>
        <v/>
      </c>
      <c r="AV108" s="34">
        <f>MAX(F108:G108,750)*0.05*AU108</f>
        <v/>
      </c>
      <c r="AW108" s="34">
        <f>AC108+AJ108+AQ108</f>
        <v/>
      </c>
      <c r="AX108" s="34">
        <f>AF108+AM108+AT108</f>
        <v/>
      </c>
      <c r="AY108" s="34">
        <f>AB108+AI108+AP108</f>
        <v/>
      </c>
      <c r="AZ108" s="34" t="n">
        <v>0</v>
      </c>
      <c r="BA108" s="34">
        <f>AD108+AK108+AR108</f>
        <v/>
      </c>
      <c r="BB108" s="34">
        <f>MAX(F108:G108,750)*0.05*BA108</f>
        <v/>
      </c>
      <c r="BC108" s="34">
        <f>AG108+AN108+AU108</f>
        <v/>
      </c>
      <c r="BD108" s="34">
        <f>MAX(F108:G108,750)*0.05*BC108</f>
        <v/>
      </c>
      <c r="BE108" s="34">
        <f>F108*AY108</f>
        <v/>
      </c>
      <c r="BF108" s="34">
        <f>K108-M108</f>
        <v/>
      </c>
      <c r="BG108" s="34">
        <f>P108-S108</f>
        <v/>
      </c>
      <c r="BH108" s="34">
        <f>W108-AA108</f>
        <v/>
      </c>
      <c r="BI108" s="34">
        <f>BF108+BG108+BL108-BN108</f>
        <v/>
      </c>
      <c r="BJ108" s="34">
        <f>ABS(BK108)</f>
        <v/>
      </c>
      <c r="BK108" s="34">
        <f>AY108-(J108-L108+N108-Q108)</f>
        <v/>
      </c>
      <c r="BL108" s="34">
        <f>IF(AND(BK108&gt;0,MIN($F108:$G108)&lt;150,$E108="Enerji Açığı"),-100*BK108*1.03,IF(AND(BK108&gt;0,MIN($F108:$G108)&lt;150,$E108="Enerji Fazlası"),-100*BK108*1.06,IF(AND(BK108&gt;0,MIN($F108:$G108)&gt;=150,$E108="Enerji Açığı"),BK108*MIN($F108:$G108)*0.97,IF(AND(BK108&gt;0,MIN($F108:$G108)&gt;=150,$E108="Enerji Fazlası"),BK108*MIN($F108:$G108)*0.94,IF(AND(BK108&lt;0,MAX($F108:$G108)=4500,$E108="Enerji Açığı"),4500*1.05*1.06*BK108,IF(AND(BK108&lt;0,MAX($F108:$G108)=4500,$E108="Enerji Fazlası"),4500*1.05*1.03*BK108,IF(AND(BK108&lt;0,$E108="Enerji Açığı"),MAX($F108,$G108,150)*BK108*1.06,IF(AND(BK108&lt;0,$E108="Enerji Fazlası"),MAX($F108,$G108,150)*BK108*1.03,IF(AND(BK108&lt;0,$E108="Dengede"),MAX($F108:$G108,150)*1.03*BK108,MIN($F108:$G108)*0.97*BK108)))))))))</f>
        <v/>
      </c>
      <c r="BM108" s="34">
        <f>BE108-BI108-BN108</f>
        <v/>
      </c>
      <c r="BN108" s="34">
        <f>BB108</f>
        <v/>
      </c>
      <c r="BO108" s="34">
        <f>BE108-BI108</f>
        <v/>
      </c>
      <c r="BP108" s="34">
        <f>IF(AY108=0,0,BO108/AY108)</f>
        <v/>
      </c>
      <c r="BQ108" s="34">
        <f>MAX((AY108+MAX((-J108+L108-N108+Q108),0)),(MAX((J108-L108+N108-Q108),0)))</f>
        <v/>
      </c>
      <c r="BR108" s="82">
        <f>IFERROR(ABS(BK108/BQ108),0)</f>
        <v/>
      </c>
      <c r="BS108" s="34">
        <f>IF(BR108&lt;=0.1,0,BK108/BR108*(BR108-0.1))</f>
        <v/>
      </c>
      <c r="BT108" s="34">
        <f>IF((BS108)&lt;0,MAX(F108:G108)*(BS108)*1.03,MIN(F108:G108)*(BS108)*0.97)</f>
        <v/>
      </c>
      <c r="BU108" s="34">
        <f>IF(BR108&gt;0.1,1,0)</f>
        <v/>
      </c>
      <c r="BV108" s="34">
        <f>BF108+BG108+BH108+BY108-CA108</f>
        <v/>
      </c>
      <c r="BW108" s="34">
        <f>ABS(BX108)</f>
        <v/>
      </c>
      <c r="BX108" s="34">
        <f>AY108-(J108-L108+N108-Q108+T108-X108)</f>
        <v/>
      </c>
      <c r="BY108" s="34">
        <f>IF(AND(BX108&gt;0,MIN($F108:$G108)&lt;150,$E108="Enerji Açığı"),-100*BX108*1.03,IF(AND(BX108&gt;0,MIN($F108:$G108)&lt;150,$E108="Enerji Fazlası"),-100*BX108*1.06,IF(AND(BX108&gt;0,MIN($F108:$G108)&gt;=150,$E108="Enerji Açığı"),BX108*MIN($F108:$G108)*0.97,IF(AND(BX108&gt;0,MIN($F108:$G108)&gt;=150,$E108="Enerji Fazlası"),BX108*MIN($F108:$G108)*0.94,IF(AND(BX108&lt;0,MAX($F108:$G108)=4500,$E108="Enerji Açığı"),4500*1.05*1.06*BX108,IF(AND(BX108&lt;0,MAX($F108:$G108)=4500,$E108="Enerji Fazlası"),4500*1.05*1.03*BX108,IF(AND(BX108&lt;0,$E108="Enerji Açığı"),MAX($F108,$G108,150)*BX108*1.06,IF(AND(BX108&lt;0,$E108="Enerji Fazlası"),MAX($F108,$G108,150)*BX108*1.03,IF(AND(BX108&lt;0,$E108="Dengede"),MAX($F108:$G108,150)*1.03*BX108,MIN($F108:$G108)*0.97*BX108)))))))))</f>
        <v/>
      </c>
      <c r="BZ108" s="34">
        <f>BE108-BV108-CA108</f>
        <v/>
      </c>
      <c r="CA108" s="34">
        <f>BD108</f>
        <v/>
      </c>
      <c r="CB108" s="33">
        <f>BE108-BV108</f>
        <v/>
      </c>
      <c r="CC108" s="34">
        <f>IF(AY108=0,0,CB108/AY108)</f>
        <v/>
      </c>
      <c r="CD108" s="34">
        <f>MAX((AY108+MAX((-J108+L108-N108+Q108-T108+X108),0)),(MAX((J108-L108+N108-Q108+T108-X108),0)))</f>
        <v/>
      </c>
      <c r="CE108" s="82">
        <f>IFERROR(ABS(BX108/CD108),0)</f>
        <v/>
      </c>
      <c r="CF108" s="34">
        <f>IF(CE108&lt;=0.1,0,BX108/CE108*(CE108-0.1))</f>
        <v/>
      </c>
      <c r="CG108" s="34">
        <f>IF((CF108)&lt;0,MAX(F108:G108)*(CF108)*1.03,MIN(F108:G108)*(CF108)*0.97)</f>
        <v/>
      </c>
      <c r="CH108" s="34">
        <f>IF(CE108&gt;0.1,1,0)</f>
        <v/>
      </c>
      <c r="CI108" s="34">
        <f>(F108*BX108)-BY108</f>
        <v/>
      </c>
      <c r="CJ108" s="34">
        <f>IF(AY108=0,0,CI108/AY108)</f>
        <v/>
      </c>
    </row>
    <row r="109">
      <c r="A109" s="29" t="n">
        <v>46208.41666666666</v>
      </c>
      <c r="B109" s="29" t="inlineStr">
        <is>
          <t>10:00</t>
        </is>
      </c>
      <c r="C109" s="35">
        <f>INT(A109)</f>
        <v/>
      </c>
      <c r="D109" s="36">
        <f>MONTH(A109)</f>
        <v/>
      </c>
      <c r="E109" s="147" t="inlineStr">
        <is>
          <t>Enerji Fazlası</t>
        </is>
      </c>
      <c r="F109" s="30" t="n">
        <v>169.98</v>
      </c>
      <c r="G109" s="30" t="n">
        <v>0</v>
      </c>
      <c r="H109" s="30" t="n">
        <v>3.65</v>
      </c>
      <c r="I109" s="30" t="n">
        <v>94.42</v>
      </c>
      <c r="J109" s="119" t="n">
        <v>0</v>
      </c>
      <c r="K109" s="34">
        <f>F109*J109</f>
        <v/>
      </c>
      <c r="L109" s="119" t="n">
        <v>25.3</v>
      </c>
      <c r="M109" s="34">
        <f>L109*F109</f>
        <v/>
      </c>
      <c r="N109" s="119" t="n">
        <v>25.3</v>
      </c>
      <c r="O109" s="34">
        <f>F109</f>
        <v/>
      </c>
      <c r="P109" s="34">
        <f>N109*O109</f>
        <v/>
      </c>
      <c r="Q109" s="117" t="n">
        <v>0</v>
      </c>
      <c r="R109" s="34">
        <f>F109</f>
        <v/>
      </c>
      <c r="S109" s="34">
        <f>R109*Q109</f>
        <v/>
      </c>
      <c r="T109" s="34" t="n"/>
      <c r="U109" s="34">
        <f>IFERROR(W109/T109,0)</f>
        <v/>
      </c>
      <c r="V109" s="34">
        <f>IF(U109=0,0,U109-F109)</f>
        <v/>
      </c>
      <c r="W109" s="34" t="n"/>
      <c r="X109" s="34" t="n"/>
      <c r="Y109" s="34">
        <f>IFERROR(AA109/X109,0)</f>
        <v/>
      </c>
      <c r="Z109" s="34">
        <f>IF(Y109=0,0,F109-Y109)</f>
        <v/>
      </c>
      <c r="AA109" s="34" t="n"/>
      <c r="AB109" s="34" t="n">
        <v>0</v>
      </c>
      <c r="AC109" s="34" t="n">
        <v>0</v>
      </c>
      <c r="AD109" s="34">
        <f>IF(AB109&gt;AC109*1.05,AB109-AC109*1.05,IF(AB109&lt;AC109*0.95,AC109*0.95-AB109,0))</f>
        <v/>
      </c>
      <c r="AE109" s="34">
        <f>MAX(F109,G109,750)*0.05*AD109</f>
        <v/>
      </c>
      <c r="AF109" s="34" t="n">
        <v>0</v>
      </c>
      <c r="AG109" s="34">
        <f>IF(AB109&gt;AF109*1.05,AB109-AF109*1.05,IF(AB109&lt;AF109*0.95,AF109*0.95-AB109,0))</f>
        <v/>
      </c>
      <c r="AH109" s="34">
        <f>MAX(I109,J109,750)*0.05*AG109</f>
        <v/>
      </c>
      <c r="AI109" t="n">
        <v>0</v>
      </c>
      <c r="AJ109" t="n">
        <v>0</v>
      </c>
      <c r="AK109" s="34">
        <f>IF(AI109&gt;AJ109*1.05,AI109-AJ109*1.05,IF(AI109&lt;AJ109*0.95,AJ109*0.95-AI109,0))</f>
        <v/>
      </c>
      <c r="AL109" s="34">
        <f>MAX(F109,G109,750)*0.05*AK109</f>
        <v/>
      </c>
      <c r="AM109" s="39" t="n">
        <v>0</v>
      </c>
      <c r="AN109" s="34">
        <f>IF(AI109&gt;AM109*1.05,AI109-AM109*1.05,IF(AI109&lt;AM109*0.95,AM109*0.95-AI109,0))</f>
        <v/>
      </c>
      <c r="AO109" s="34">
        <f>MAX(F109,G109,750)*0.05*AN109</f>
        <v/>
      </c>
      <c r="AP109" s="34" t="n">
        <v>0</v>
      </c>
      <c r="AQ109" s="34" t="n">
        <v>0</v>
      </c>
      <c r="AR109" s="34">
        <f>IF(AP109&gt;AQ109*1.05,AP109-AQ109*1.05,IF(AP109&lt;AQ109*0.95,AQ109*0.95-AP109,0))</f>
        <v/>
      </c>
      <c r="AS109" s="34">
        <f>MAX(F109:G109,750)*0.05*AR109</f>
        <v/>
      </c>
      <c r="AT109" t="n">
        <v>0</v>
      </c>
      <c r="AU109" s="34">
        <f>IF(AP109&gt;AT109*1.05,AP109-AT109*1.05,IF(AP109&lt;AT109*0.95,AT109*0.95-AP109,0))</f>
        <v/>
      </c>
      <c r="AV109" s="34">
        <f>MAX(F109:G109,750)*0.05*AU109</f>
        <v/>
      </c>
      <c r="AW109" s="34">
        <f>AC109+AJ109+AQ109</f>
        <v/>
      </c>
      <c r="AX109" s="34">
        <f>AF109+AM109+AT109</f>
        <v/>
      </c>
      <c r="AY109" s="34">
        <f>AB109+AI109+AP109</f>
        <v/>
      </c>
      <c r="AZ109" s="34" t="n">
        <v>0</v>
      </c>
      <c r="BA109" s="34">
        <f>AD109+AK109+AR109</f>
        <v/>
      </c>
      <c r="BB109" s="34">
        <f>MAX(F109:G109,750)*0.05*BA109</f>
        <v/>
      </c>
      <c r="BC109" s="34">
        <f>AG109+AN109+AU109</f>
        <v/>
      </c>
      <c r="BD109" s="34">
        <f>MAX(F109:G109,750)*0.05*BC109</f>
        <v/>
      </c>
      <c r="BE109" s="34">
        <f>F109*AY109</f>
        <v/>
      </c>
      <c r="BF109" s="34">
        <f>K109-M109</f>
        <v/>
      </c>
      <c r="BG109" s="34">
        <f>P109-S109</f>
        <v/>
      </c>
      <c r="BH109" s="34">
        <f>W109-AA109</f>
        <v/>
      </c>
      <c r="BI109" s="34">
        <f>BF109+BG109+BL109-BN109</f>
        <v/>
      </c>
      <c r="BJ109" s="34">
        <f>ABS(BK109)</f>
        <v/>
      </c>
      <c r="BK109" s="34">
        <f>AY109-(J109-L109+N109-Q109)</f>
        <v/>
      </c>
      <c r="BL109" s="34">
        <f>IF(AND(BK109&gt;0,MIN($F109:$G109)&lt;150,$E109="Enerji Açığı"),-100*BK109*1.03,IF(AND(BK109&gt;0,MIN($F109:$G109)&lt;150,$E109="Enerji Fazlası"),-100*BK109*1.06,IF(AND(BK109&gt;0,MIN($F109:$G109)&gt;=150,$E109="Enerji Açığı"),BK109*MIN($F109:$G109)*0.97,IF(AND(BK109&gt;0,MIN($F109:$G109)&gt;=150,$E109="Enerji Fazlası"),BK109*MIN($F109:$G109)*0.94,IF(AND(BK109&lt;0,MAX($F109:$G109)=4500,$E109="Enerji Açığı"),4500*1.05*1.06*BK109,IF(AND(BK109&lt;0,MAX($F109:$G109)=4500,$E109="Enerji Fazlası"),4500*1.05*1.03*BK109,IF(AND(BK109&lt;0,$E109="Enerji Açığı"),MAX($F109,$G109,150)*BK109*1.06,IF(AND(BK109&lt;0,$E109="Enerji Fazlası"),MAX($F109,$G109,150)*BK109*1.03,IF(AND(BK109&lt;0,$E109="Dengede"),MAX($F109:$G109,150)*1.03*BK109,MIN($F109:$G109)*0.97*BK109)))))))))</f>
        <v/>
      </c>
      <c r="BM109" s="34">
        <f>BE109-BI109-BN109</f>
        <v/>
      </c>
      <c r="BN109" s="34">
        <f>BB109</f>
        <v/>
      </c>
      <c r="BO109" s="34">
        <f>BE109-BI109</f>
        <v/>
      </c>
      <c r="BP109" s="34">
        <f>IF(AY109=0,0,BO109/AY109)</f>
        <v/>
      </c>
      <c r="BQ109" s="34">
        <f>MAX((AY109+MAX((-J109+L109-N109+Q109),0)),(MAX((J109-L109+N109-Q109),0)))</f>
        <v/>
      </c>
      <c r="BR109" s="82">
        <f>IFERROR(ABS(BK109/BQ109),0)</f>
        <v/>
      </c>
      <c r="BS109" s="34">
        <f>IF(BR109&lt;=0.1,0,BK109/BR109*(BR109-0.1))</f>
        <v/>
      </c>
      <c r="BT109" s="34">
        <f>IF((BS109)&lt;0,MAX(F109:G109)*(BS109)*1.03,MIN(F109:G109)*(BS109)*0.97)</f>
        <v/>
      </c>
      <c r="BU109" s="34">
        <f>IF(BR109&gt;0.1,1,0)</f>
        <v/>
      </c>
      <c r="BV109" s="34">
        <f>BF109+BG109+BH109+BY109-CA109</f>
        <v/>
      </c>
      <c r="BW109" s="34">
        <f>ABS(BX109)</f>
        <v/>
      </c>
      <c r="BX109" s="34">
        <f>AY109-(J109-L109+N109-Q109+T109-X109)</f>
        <v/>
      </c>
      <c r="BY109" s="34">
        <f>IF(AND(BX109&gt;0,MIN($F109:$G109)&lt;150,$E109="Enerji Açığı"),-100*BX109*1.03,IF(AND(BX109&gt;0,MIN($F109:$G109)&lt;150,$E109="Enerji Fazlası"),-100*BX109*1.06,IF(AND(BX109&gt;0,MIN($F109:$G109)&gt;=150,$E109="Enerji Açığı"),BX109*MIN($F109:$G109)*0.97,IF(AND(BX109&gt;0,MIN($F109:$G109)&gt;=150,$E109="Enerji Fazlası"),BX109*MIN($F109:$G109)*0.94,IF(AND(BX109&lt;0,MAX($F109:$G109)=4500,$E109="Enerji Açığı"),4500*1.05*1.06*BX109,IF(AND(BX109&lt;0,MAX($F109:$G109)=4500,$E109="Enerji Fazlası"),4500*1.05*1.03*BX109,IF(AND(BX109&lt;0,$E109="Enerji Açığı"),MAX($F109,$G109,150)*BX109*1.06,IF(AND(BX109&lt;0,$E109="Enerji Fazlası"),MAX($F109,$G109,150)*BX109*1.03,IF(AND(BX109&lt;0,$E109="Dengede"),MAX($F109:$G109,150)*1.03*BX109,MIN($F109:$G109)*0.97*BX109)))))))))</f>
        <v/>
      </c>
      <c r="BZ109" s="34">
        <f>BE109-BV109-CA109</f>
        <v/>
      </c>
      <c r="CA109" s="34">
        <f>BD109</f>
        <v/>
      </c>
      <c r="CB109" s="33">
        <f>BE109-BV109</f>
        <v/>
      </c>
      <c r="CC109" s="34">
        <f>IF(AY109=0,0,CB109/AY109)</f>
        <v/>
      </c>
      <c r="CD109" s="34">
        <f>MAX((AY109+MAX((-J109+L109-N109+Q109-T109+X109),0)),(MAX((J109-L109+N109-Q109+T109-X109),0)))</f>
        <v/>
      </c>
      <c r="CE109" s="82">
        <f>IFERROR(ABS(BX109/CD109),0)</f>
        <v/>
      </c>
      <c r="CF109" s="34">
        <f>IF(CE109&lt;=0.1,0,BX109/CE109*(CE109-0.1))</f>
        <v/>
      </c>
      <c r="CG109" s="34">
        <f>IF((CF109)&lt;0,MAX(F109:G109)*(CF109)*1.03,MIN(F109:G109)*(CF109)*0.97)</f>
        <v/>
      </c>
      <c r="CH109" s="34">
        <f>IF(CE109&gt;0.1,1,0)</f>
        <v/>
      </c>
      <c r="CI109" s="34">
        <f>(F109*BX109)-BY109</f>
        <v/>
      </c>
      <c r="CJ109" s="34">
        <f>IF(AY109=0,0,CI109/AY109)</f>
        <v/>
      </c>
    </row>
    <row r="110">
      <c r="A110" s="29" t="n">
        <v>46208.45833333334</v>
      </c>
      <c r="B110" s="29" t="inlineStr">
        <is>
          <t>11:00</t>
        </is>
      </c>
      <c r="C110" s="35">
        <f>INT(A110)</f>
        <v/>
      </c>
      <c r="D110" s="36">
        <f>MONTH(A110)</f>
        <v/>
      </c>
      <c r="E110" s="147" t="inlineStr">
        <is>
          <t>Enerji Fazlası</t>
        </is>
      </c>
      <c r="F110" s="30" t="n">
        <v>169.99</v>
      </c>
      <c r="G110" s="30" t="n">
        <v>0</v>
      </c>
      <c r="H110" s="30" t="n">
        <v>3.65</v>
      </c>
      <c r="I110" s="30" t="n">
        <v>66.95999999999999</v>
      </c>
      <c r="J110" s="119" t="n">
        <v>0</v>
      </c>
      <c r="K110" s="34">
        <f>F110*J110</f>
        <v/>
      </c>
      <c r="L110" s="119" t="n">
        <v>25.3</v>
      </c>
      <c r="M110" s="34">
        <f>L110*F110</f>
        <v/>
      </c>
      <c r="N110" s="119" t="n">
        <v>25.3</v>
      </c>
      <c r="O110" s="34">
        <f>F110</f>
        <v/>
      </c>
      <c r="P110" s="34">
        <f>N110*O110</f>
        <v/>
      </c>
      <c r="Q110" s="117" t="n">
        <v>0</v>
      </c>
      <c r="R110" s="34">
        <f>F110</f>
        <v/>
      </c>
      <c r="S110" s="34">
        <f>R110*Q110</f>
        <v/>
      </c>
      <c r="T110" s="34" t="n"/>
      <c r="U110" s="34">
        <f>IFERROR(W110/T110,0)</f>
        <v/>
      </c>
      <c r="V110" s="34">
        <f>IF(U110=0,0,U110-F110)</f>
        <v/>
      </c>
      <c r="W110" s="34" t="n"/>
      <c r="X110" s="34" t="n"/>
      <c r="Y110" s="34">
        <f>IFERROR(AA110/X110,0)</f>
        <v/>
      </c>
      <c r="Z110" s="34">
        <f>IF(Y110=0,0,F110-Y110)</f>
        <v/>
      </c>
      <c r="AA110" s="34" t="n"/>
      <c r="AB110" s="34" t="n">
        <v>0</v>
      </c>
      <c r="AC110" s="34" t="n">
        <v>0</v>
      </c>
      <c r="AD110" s="34">
        <f>IF(AB110&gt;AC110*1.05,AB110-AC110*1.05,IF(AB110&lt;AC110*0.95,AC110*0.95-AB110,0))</f>
        <v/>
      </c>
      <c r="AE110" s="34">
        <f>MAX(F110,G110,750)*0.05*AD110</f>
        <v/>
      </c>
      <c r="AF110" s="34" t="n">
        <v>0</v>
      </c>
      <c r="AG110" s="34">
        <f>IF(AB110&gt;AF110*1.05,AB110-AF110*1.05,IF(AB110&lt;AF110*0.95,AF110*0.95-AB110,0))</f>
        <v/>
      </c>
      <c r="AH110" s="34">
        <f>MAX(I110,J110,750)*0.05*AG110</f>
        <v/>
      </c>
      <c r="AI110" t="n">
        <v>0</v>
      </c>
      <c r="AJ110" t="n">
        <v>0</v>
      </c>
      <c r="AK110" s="34">
        <f>IF(AI110&gt;AJ110*1.05,AI110-AJ110*1.05,IF(AI110&lt;AJ110*0.95,AJ110*0.95-AI110,0))</f>
        <v/>
      </c>
      <c r="AL110" s="34">
        <f>MAX(F110,G110,750)*0.05*AK110</f>
        <v/>
      </c>
      <c r="AM110" s="39" t="n">
        <v>0</v>
      </c>
      <c r="AN110" s="34">
        <f>IF(AI110&gt;AM110*1.05,AI110-AM110*1.05,IF(AI110&lt;AM110*0.95,AM110*0.95-AI110,0))</f>
        <v/>
      </c>
      <c r="AO110" s="34">
        <f>MAX(F110,G110,750)*0.05*AN110</f>
        <v/>
      </c>
      <c r="AP110" s="34" t="n">
        <v>0</v>
      </c>
      <c r="AQ110" s="34" t="n">
        <v>0</v>
      </c>
      <c r="AR110" s="34">
        <f>IF(AP110&gt;AQ110*1.05,AP110-AQ110*1.05,IF(AP110&lt;AQ110*0.95,AQ110*0.95-AP110,0))</f>
        <v/>
      </c>
      <c r="AS110" s="34">
        <f>MAX(F110:G110,750)*0.05*AR110</f>
        <v/>
      </c>
      <c r="AT110" t="n">
        <v>0</v>
      </c>
      <c r="AU110" s="34">
        <f>IF(AP110&gt;AT110*1.05,AP110-AT110*1.05,IF(AP110&lt;AT110*0.95,AT110*0.95-AP110,0))</f>
        <v/>
      </c>
      <c r="AV110" s="34">
        <f>MAX(F110:G110,750)*0.05*AU110</f>
        <v/>
      </c>
      <c r="AW110" s="34">
        <f>AC110+AJ110+AQ110</f>
        <v/>
      </c>
      <c r="AX110" s="34">
        <f>AF110+AM110+AT110</f>
        <v/>
      </c>
      <c r="AY110" s="34">
        <f>AB110+AI110+AP110</f>
        <v/>
      </c>
      <c r="AZ110" s="34" t="n">
        <v>0</v>
      </c>
      <c r="BA110" s="34">
        <f>AD110+AK110+AR110</f>
        <v/>
      </c>
      <c r="BB110" s="34">
        <f>MAX(F110:G110,750)*0.05*BA110</f>
        <v/>
      </c>
      <c r="BC110" s="34">
        <f>AG110+AN110+AU110</f>
        <v/>
      </c>
      <c r="BD110" s="34">
        <f>MAX(F110:G110,750)*0.05*BC110</f>
        <v/>
      </c>
      <c r="BE110" s="34">
        <f>F110*AY110</f>
        <v/>
      </c>
      <c r="BF110" s="34">
        <f>K110-M110</f>
        <v/>
      </c>
      <c r="BG110" s="34">
        <f>P110-S110</f>
        <v/>
      </c>
      <c r="BH110" s="34">
        <f>W110-AA110</f>
        <v/>
      </c>
      <c r="BI110" s="34">
        <f>BF110+BG110+BL110-BN110</f>
        <v/>
      </c>
      <c r="BJ110" s="34">
        <f>ABS(BK110)</f>
        <v/>
      </c>
      <c r="BK110" s="34">
        <f>AY110-(J110-L110+N110-Q110)</f>
        <v/>
      </c>
      <c r="BL110" s="34">
        <f>IF(AND(BK110&gt;0,MIN($F110:$G110)&lt;150,$E110="Enerji Açığı"),-100*BK110*1.03,IF(AND(BK110&gt;0,MIN($F110:$G110)&lt;150,$E110="Enerji Fazlası"),-100*BK110*1.06,IF(AND(BK110&gt;0,MIN($F110:$G110)&gt;=150,$E110="Enerji Açığı"),BK110*MIN($F110:$G110)*0.97,IF(AND(BK110&gt;0,MIN($F110:$G110)&gt;=150,$E110="Enerji Fazlası"),BK110*MIN($F110:$G110)*0.94,IF(AND(BK110&lt;0,MAX($F110:$G110)=4500,$E110="Enerji Açığı"),4500*1.05*1.06*BK110,IF(AND(BK110&lt;0,MAX($F110:$G110)=4500,$E110="Enerji Fazlası"),4500*1.05*1.03*BK110,IF(AND(BK110&lt;0,$E110="Enerji Açığı"),MAX($F110,$G110,150)*BK110*1.06,IF(AND(BK110&lt;0,$E110="Enerji Fazlası"),MAX($F110,$G110,150)*BK110*1.03,IF(AND(BK110&lt;0,$E110="Dengede"),MAX($F110:$G110,150)*1.03*BK110,MIN($F110:$G110)*0.97*BK110)))))))))</f>
        <v/>
      </c>
      <c r="BM110" s="34">
        <f>BE110-BI110-BN110</f>
        <v/>
      </c>
      <c r="BN110" s="34">
        <f>BB110</f>
        <v/>
      </c>
      <c r="BO110" s="34">
        <f>BE110-BI110</f>
        <v/>
      </c>
      <c r="BP110" s="34">
        <f>IF(AY110=0,0,BO110/AY110)</f>
        <v/>
      </c>
      <c r="BQ110" s="34">
        <f>MAX((AY110+MAX((-J110+L110-N110+Q110),0)),(MAX((J110-L110+N110-Q110),0)))</f>
        <v/>
      </c>
      <c r="BR110" s="82">
        <f>IFERROR(ABS(BK110/BQ110),0)</f>
        <v/>
      </c>
      <c r="BS110" s="34">
        <f>IF(BR110&lt;=0.1,0,BK110/BR110*(BR110-0.1))</f>
        <v/>
      </c>
      <c r="BT110" s="34">
        <f>IF((BS110)&lt;0,MAX(F110:G110)*(BS110)*1.03,MIN(F110:G110)*(BS110)*0.97)</f>
        <v/>
      </c>
      <c r="BU110" s="34">
        <f>IF(BR110&gt;0.1,1,0)</f>
        <v/>
      </c>
      <c r="BV110" s="34">
        <f>BF110+BG110+BH110+BY110-CA110</f>
        <v/>
      </c>
      <c r="BW110" s="34">
        <f>ABS(BX110)</f>
        <v/>
      </c>
      <c r="BX110" s="34">
        <f>AY110-(J110-L110+N110-Q110+T110-X110)</f>
        <v/>
      </c>
      <c r="BY110" s="34">
        <f>IF(AND(BX110&gt;0,MIN($F110:$G110)&lt;150,$E110="Enerji Açığı"),-100*BX110*1.03,IF(AND(BX110&gt;0,MIN($F110:$G110)&lt;150,$E110="Enerji Fazlası"),-100*BX110*1.06,IF(AND(BX110&gt;0,MIN($F110:$G110)&gt;=150,$E110="Enerji Açığı"),BX110*MIN($F110:$G110)*0.97,IF(AND(BX110&gt;0,MIN($F110:$G110)&gt;=150,$E110="Enerji Fazlası"),BX110*MIN($F110:$G110)*0.94,IF(AND(BX110&lt;0,MAX($F110:$G110)=4500,$E110="Enerji Açığı"),4500*1.05*1.06*BX110,IF(AND(BX110&lt;0,MAX($F110:$G110)=4500,$E110="Enerji Fazlası"),4500*1.05*1.03*BX110,IF(AND(BX110&lt;0,$E110="Enerji Açığı"),MAX($F110,$G110,150)*BX110*1.06,IF(AND(BX110&lt;0,$E110="Enerji Fazlası"),MAX($F110,$G110,150)*BX110*1.03,IF(AND(BX110&lt;0,$E110="Dengede"),MAX($F110:$G110,150)*1.03*BX110,MIN($F110:$G110)*0.97*BX110)))))))))</f>
        <v/>
      </c>
      <c r="BZ110" s="34">
        <f>BE110-BV110-CA110</f>
        <v/>
      </c>
      <c r="CA110" s="34">
        <f>BD110</f>
        <v/>
      </c>
      <c r="CB110" s="33">
        <f>BE110-BV110</f>
        <v/>
      </c>
      <c r="CC110" s="34">
        <f>IF(AY110=0,0,CB110/AY110)</f>
        <v/>
      </c>
      <c r="CD110" s="34">
        <f>MAX((AY110+MAX((-J110+L110-N110+Q110-T110+X110),0)),(MAX((J110-L110+N110-Q110+T110-X110),0)))</f>
        <v/>
      </c>
      <c r="CE110" s="82">
        <f>IFERROR(ABS(BX110/CD110),0)</f>
        <v/>
      </c>
      <c r="CF110" s="34">
        <f>IF(CE110&lt;=0.1,0,BX110/CE110*(CE110-0.1))</f>
        <v/>
      </c>
      <c r="CG110" s="34">
        <f>IF((CF110)&lt;0,MAX(F110:G110)*(CF110)*1.03,MIN(F110:G110)*(CF110)*0.97)</f>
        <v/>
      </c>
      <c r="CH110" s="34">
        <f>IF(CE110&gt;0.1,1,0)</f>
        <v/>
      </c>
      <c r="CI110" s="34">
        <f>(F110*BX110)-BY110</f>
        <v/>
      </c>
      <c r="CJ110" s="34">
        <f>IF(AY110=0,0,CI110/AY110)</f>
        <v/>
      </c>
    </row>
    <row r="111">
      <c r="A111" s="29" t="n">
        <v>46208.5</v>
      </c>
      <c r="B111" s="29" t="inlineStr">
        <is>
          <t>12:00</t>
        </is>
      </c>
      <c r="C111" s="35">
        <f>INT(A111)</f>
        <v/>
      </c>
      <c r="D111" s="36">
        <f>MONTH(A111)</f>
        <v/>
      </c>
      <c r="E111" s="147" t="inlineStr">
        <is>
          <t>Enerji Fazlası</t>
        </is>
      </c>
      <c r="F111" s="30" t="n">
        <v>170</v>
      </c>
      <c r="G111" s="30" t="n">
        <v>10</v>
      </c>
      <c r="H111" s="30" t="n">
        <v>3.65</v>
      </c>
      <c r="I111" s="30" t="n">
        <v>79.19</v>
      </c>
      <c r="J111" s="119" t="n">
        <v>0</v>
      </c>
      <c r="K111" s="34">
        <f>F111*J111</f>
        <v/>
      </c>
      <c r="L111" s="119" t="n">
        <v>18.5</v>
      </c>
      <c r="M111" s="34">
        <f>L111*F111</f>
        <v/>
      </c>
      <c r="N111" s="119" t="n">
        <v>18.5</v>
      </c>
      <c r="O111" s="34">
        <f>F111</f>
        <v/>
      </c>
      <c r="P111" s="34">
        <f>N111*O111</f>
        <v/>
      </c>
      <c r="Q111" s="117" t="n">
        <v>0</v>
      </c>
      <c r="R111" s="34">
        <f>F111</f>
        <v/>
      </c>
      <c r="S111" s="34">
        <f>R111*Q111</f>
        <v/>
      </c>
      <c r="T111" s="34" t="n"/>
      <c r="U111" s="34">
        <f>IFERROR(W111/T111,0)</f>
        <v/>
      </c>
      <c r="V111" s="34">
        <f>IF(U111=0,0,U111-F111)</f>
        <v/>
      </c>
      <c r="W111" s="34" t="n"/>
      <c r="X111" s="34" t="n"/>
      <c r="Y111" s="34">
        <f>IFERROR(AA111/X111,0)</f>
        <v/>
      </c>
      <c r="Z111" s="34">
        <f>IF(Y111=0,0,F111-Y111)</f>
        <v/>
      </c>
      <c r="AA111" s="34" t="n"/>
      <c r="AB111" s="34" t="n">
        <v>0</v>
      </c>
      <c r="AC111" s="34" t="n">
        <v>0</v>
      </c>
      <c r="AD111" s="34">
        <f>IF(AB111&gt;AC111*1.05,AB111-AC111*1.05,IF(AB111&lt;AC111*0.95,AC111*0.95-AB111,0))</f>
        <v/>
      </c>
      <c r="AE111" s="34">
        <f>MAX(F111,G111,750)*0.05*AD111</f>
        <v/>
      </c>
      <c r="AF111" s="34" t="n">
        <v>0</v>
      </c>
      <c r="AG111" s="34">
        <f>IF(AB111&gt;AF111*1.05,AB111-AF111*1.05,IF(AB111&lt;AF111*0.95,AF111*0.95-AB111,0))</f>
        <v/>
      </c>
      <c r="AH111" s="34">
        <f>MAX(I111,J111,750)*0.05*AG111</f>
        <v/>
      </c>
      <c r="AI111" t="n">
        <v>0</v>
      </c>
      <c r="AJ111" t="n">
        <v>0</v>
      </c>
      <c r="AK111" s="34">
        <f>IF(AI111&gt;AJ111*1.05,AI111-AJ111*1.05,IF(AI111&lt;AJ111*0.95,AJ111*0.95-AI111,0))</f>
        <v/>
      </c>
      <c r="AL111" s="34">
        <f>MAX(F111,G111,750)*0.05*AK111</f>
        <v/>
      </c>
      <c r="AM111" s="39" t="n">
        <v>0</v>
      </c>
      <c r="AN111" s="34">
        <f>IF(AI111&gt;AM111*1.05,AI111-AM111*1.05,IF(AI111&lt;AM111*0.95,AM111*0.95-AI111,0))</f>
        <v/>
      </c>
      <c r="AO111" s="34">
        <f>MAX(F111,G111,750)*0.05*AN111</f>
        <v/>
      </c>
      <c r="AP111" s="34" t="n">
        <v>0</v>
      </c>
      <c r="AQ111" s="34" t="n">
        <v>0</v>
      </c>
      <c r="AR111" s="34">
        <f>IF(AP111&gt;AQ111*1.05,AP111-AQ111*1.05,IF(AP111&lt;AQ111*0.95,AQ111*0.95-AP111,0))</f>
        <v/>
      </c>
      <c r="AS111" s="34">
        <f>MAX(F111:G111,750)*0.05*AR111</f>
        <v/>
      </c>
      <c r="AT111" t="n">
        <v>0</v>
      </c>
      <c r="AU111" s="34">
        <f>IF(AP111&gt;AT111*1.05,AP111-AT111*1.05,IF(AP111&lt;AT111*0.95,AT111*0.95-AP111,0))</f>
        <v/>
      </c>
      <c r="AV111" s="34">
        <f>MAX(F111:G111,750)*0.05*AU111</f>
        <v/>
      </c>
      <c r="AW111" s="34">
        <f>AC111+AJ111+AQ111</f>
        <v/>
      </c>
      <c r="AX111" s="34">
        <f>AF111+AM111+AT111</f>
        <v/>
      </c>
      <c r="AY111" s="34">
        <f>AB111+AI111+AP111</f>
        <v/>
      </c>
      <c r="AZ111" s="34" t="n">
        <v>0</v>
      </c>
      <c r="BA111" s="34">
        <f>AD111+AK111+AR111</f>
        <v/>
      </c>
      <c r="BB111" s="34">
        <f>MAX(F111:G111,750)*0.05*BA111</f>
        <v/>
      </c>
      <c r="BC111" s="34">
        <f>AG111+AN111+AU111</f>
        <v/>
      </c>
      <c r="BD111" s="34">
        <f>MAX(F111:G111,750)*0.05*BC111</f>
        <v/>
      </c>
      <c r="BE111" s="34">
        <f>F111*AY111</f>
        <v/>
      </c>
      <c r="BF111" s="34">
        <f>K111-M111</f>
        <v/>
      </c>
      <c r="BG111" s="34">
        <f>P111-S111</f>
        <v/>
      </c>
      <c r="BH111" s="34">
        <f>W111-AA111</f>
        <v/>
      </c>
      <c r="BI111" s="34">
        <f>BF111+BG111+BL111-BN111</f>
        <v/>
      </c>
      <c r="BJ111" s="34">
        <f>ABS(BK111)</f>
        <v/>
      </c>
      <c r="BK111" s="34">
        <f>AY111-(J111-L111+N111-Q111)</f>
        <v/>
      </c>
      <c r="BL111" s="34">
        <f>IF(AND(BK111&gt;0,MIN($F111:$G111)&lt;150,$E111="Enerji Açığı"),-100*BK111*1.03,IF(AND(BK111&gt;0,MIN($F111:$G111)&lt;150,$E111="Enerji Fazlası"),-100*BK111*1.06,IF(AND(BK111&gt;0,MIN($F111:$G111)&gt;=150,$E111="Enerji Açığı"),BK111*MIN($F111:$G111)*0.97,IF(AND(BK111&gt;0,MIN($F111:$G111)&gt;=150,$E111="Enerji Fazlası"),BK111*MIN($F111:$G111)*0.94,IF(AND(BK111&lt;0,MAX($F111:$G111)=4500,$E111="Enerji Açığı"),4500*1.05*1.06*BK111,IF(AND(BK111&lt;0,MAX($F111:$G111)=4500,$E111="Enerji Fazlası"),4500*1.05*1.03*BK111,IF(AND(BK111&lt;0,$E111="Enerji Açığı"),MAX($F111,$G111,150)*BK111*1.06,IF(AND(BK111&lt;0,$E111="Enerji Fazlası"),MAX($F111,$G111,150)*BK111*1.03,IF(AND(BK111&lt;0,$E111="Dengede"),MAX($F111:$G111,150)*1.03*BK111,MIN($F111:$G111)*0.97*BK111)))))))))</f>
        <v/>
      </c>
      <c r="BM111" s="34">
        <f>BE111-BI111-BN111</f>
        <v/>
      </c>
      <c r="BN111" s="34">
        <f>BB111</f>
        <v/>
      </c>
      <c r="BO111" s="34">
        <f>BE111-BI111</f>
        <v/>
      </c>
      <c r="BP111" s="34">
        <f>IF(AY111=0,0,BO111/AY111)</f>
        <v/>
      </c>
      <c r="BQ111" s="34">
        <f>MAX((AY111+MAX((-J111+L111-N111+Q111),0)),(MAX((J111-L111+N111-Q111),0)))</f>
        <v/>
      </c>
      <c r="BR111" s="82">
        <f>IFERROR(ABS(BK111/BQ111),0)</f>
        <v/>
      </c>
      <c r="BS111" s="34">
        <f>IF(BR111&lt;=0.1,0,BK111/BR111*(BR111-0.1))</f>
        <v/>
      </c>
      <c r="BT111" s="34">
        <f>IF((BS111)&lt;0,MAX(F111:G111)*(BS111)*1.03,MIN(F111:G111)*(BS111)*0.97)</f>
        <v/>
      </c>
      <c r="BU111" s="34">
        <f>IF(BR111&gt;0.1,1,0)</f>
        <v/>
      </c>
      <c r="BV111" s="34">
        <f>BF111+BG111+BH111+BY111-CA111</f>
        <v/>
      </c>
      <c r="BW111" s="34">
        <f>ABS(BX111)</f>
        <v/>
      </c>
      <c r="BX111" s="34">
        <f>AY111-(J111-L111+N111-Q111+T111-X111)</f>
        <v/>
      </c>
      <c r="BY111" s="34">
        <f>IF(AND(BX111&gt;0,MIN($F111:$G111)&lt;150,$E111="Enerji Açığı"),-100*BX111*1.03,IF(AND(BX111&gt;0,MIN($F111:$G111)&lt;150,$E111="Enerji Fazlası"),-100*BX111*1.06,IF(AND(BX111&gt;0,MIN($F111:$G111)&gt;=150,$E111="Enerji Açığı"),BX111*MIN($F111:$G111)*0.97,IF(AND(BX111&gt;0,MIN($F111:$G111)&gt;=150,$E111="Enerji Fazlası"),BX111*MIN($F111:$G111)*0.94,IF(AND(BX111&lt;0,MAX($F111:$G111)=4500,$E111="Enerji Açığı"),4500*1.05*1.06*BX111,IF(AND(BX111&lt;0,MAX($F111:$G111)=4500,$E111="Enerji Fazlası"),4500*1.05*1.03*BX111,IF(AND(BX111&lt;0,$E111="Enerji Açığı"),MAX($F111,$G111,150)*BX111*1.06,IF(AND(BX111&lt;0,$E111="Enerji Fazlası"),MAX($F111,$G111,150)*BX111*1.03,IF(AND(BX111&lt;0,$E111="Dengede"),MAX($F111:$G111,150)*1.03*BX111,MIN($F111:$G111)*0.97*BX111)))))))))</f>
        <v/>
      </c>
      <c r="BZ111" s="34">
        <f>BE111-BV111-CA111</f>
        <v/>
      </c>
      <c r="CA111" s="34">
        <f>BD111</f>
        <v/>
      </c>
      <c r="CB111" s="33">
        <f>BE111-BV111</f>
        <v/>
      </c>
      <c r="CC111" s="34">
        <f>IF(AY111=0,0,CB111/AY111)</f>
        <v/>
      </c>
      <c r="CD111" s="34">
        <f>MAX((AY111+MAX((-J111+L111-N111+Q111-T111+X111),0)),(MAX((J111-L111+N111-Q111+T111-X111),0)))</f>
        <v/>
      </c>
      <c r="CE111" s="82">
        <f>IFERROR(ABS(BX111/CD111),0)</f>
        <v/>
      </c>
      <c r="CF111" s="34">
        <f>IF(CE111&lt;=0.1,0,BX111/CE111*(CE111-0.1))</f>
        <v/>
      </c>
      <c r="CG111" s="34">
        <f>IF((CF111)&lt;0,MAX(F111:G111)*(CF111)*1.03,MIN(F111:G111)*(CF111)*0.97)</f>
        <v/>
      </c>
      <c r="CH111" s="34">
        <f>IF(CE111&gt;0.1,1,0)</f>
        <v/>
      </c>
      <c r="CI111" s="34">
        <f>(F111*BX111)-BY111</f>
        <v/>
      </c>
      <c r="CJ111" s="34">
        <f>IF(AY111=0,0,CI111/AY111)</f>
        <v/>
      </c>
    </row>
    <row r="112">
      <c r="A112" s="29" t="n">
        <v>46208.54166666666</v>
      </c>
      <c r="B112" s="29" t="inlineStr">
        <is>
          <t>13:00</t>
        </is>
      </c>
      <c r="C112" s="35">
        <f>INT(A112)</f>
        <v/>
      </c>
      <c r="D112" s="36">
        <f>MONTH(A112)</f>
        <v/>
      </c>
      <c r="E112" s="147" t="inlineStr">
        <is>
          <t>Enerji Fazlası</t>
        </is>
      </c>
      <c r="F112" s="30" t="n">
        <v>171.01</v>
      </c>
      <c r="G112" s="30" t="n">
        <v>5</v>
      </c>
      <c r="H112" s="30" t="n">
        <v>3.67</v>
      </c>
      <c r="I112" s="30" t="n">
        <v>80.48</v>
      </c>
      <c r="J112" s="119" t="n">
        <v>0</v>
      </c>
      <c r="K112" s="34">
        <f>F112*J112</f>
        <v/>
      </c>
      <c r="L112" s="119" t="n">
        <v>25.5</v>
      </c>
      <c r="M112" s="34">
        <f>L112*F112</f>
        <v/>
      </c>
      <c r="N112" s="119" t="n">
        <v>25.5</v>
      </c>
      <c r="O112" s="34">
        <f>F112</f>
        <v/>
      </c>
      <c r="P112" s="34">
        <f>N112*O112</f>
        <v/>
      </c>
      <c r="Q112" s="117" t="n">
        <v>0</v>
      </c>
      <c r="R112" s="34">
        <f>F112</f>
        <v/>
      </c>
      <c r="S112" s="34">
        <f>R112*Q112</f>
        <v/>
      </c>
      <c r="T112" s="34" t="n"/>
      <c r="U112" s="34">
        <f>IFERROR(W112/T112,0)</f>
        <v/>
      </c>
      <c r="V112" s="34">
        <f>IF(U112=0,0,U112-F112)</f>
        <v/>
      </c>
      <c r="W112" s="34" t="n"/>
      <c r="X112" s="34" t="n"/>
      <c r="Y112" s="34">
        <f>IFERROR(AA112/X112,0)</f>
        <v/>
      </c>
      <c r="Z112" s="34">
        <f>IF(Y112=0,0,F112-Y112)</f>
        <v/>
      </c>
      <c r="AA112" s="34" t="n"/>
      <c r="AB112" s="34" t="n">
        <v>0</v>
      </c>
      <c r="AC112" s="34" t="n">
        <v>0</v>
      </c>
      <c r="AD112" s="34">
        <f>IF(AB112&gt;AC112*1.05,AB112-AC112*1.05,IF(AB112&lt;AC112*0.95,AC112*0.95-AB112,0))</f>
        <v/>
      </c>
      <c r="AE112" s="34">
        <f>MAX(F112,G112,750)*0.05*AD112</f>
        <v/>
      </c>
      <c r="AF112" s="34" t="n">
        <v>0</v>
      </c>
      <c r="AG112" s="34">
        <f>IF(AB112&gt;AF112*1.05,AB112-AF112*1.05,IF(AB112&lt;AF112*0.95,AF112*0.95-AB112,0))</f>
        <v/>
      </c>
      <c r="AH112" s="34">
        <f>MAX(I112,J112,750)*0.05*AG112</f>
        <v/>
      </c>
      <c r="AI112" t="n">
        <v>0</v>
      </c>
      <c r="AJ112" t="n">
        <v>0</v>
      </c>
      <c r="AK112" s="34">
        <f>IF(AI112&gt;AJ112*1.05,AI112-AJ112*1.05,IF(AI112&lt;AJ112*0.95,AJ112*0.95-AI112,0))</f>
        <v/>
      </c>
      <c r="AL112" s="34">
        <f>MAX(F112,G112,750)*0.05*AK112</f>
        <v/>
      </c>
      <c r="AM112" s="39" t="n">
        <v>0</v>
      </c>
      <c r="AN112" s="34">
        <f>IF(AI112&gt;AM112*1.05,AI112-AM112*1.05,IF(AI112&lt;AM112*0.95,AM112*0.95-AI112,0))</f>
        <v/>
      </c>
      <c r="AO112" s="34">
        <f>MAX(F112,G112,750)*0.05*AN112</f>
        <v/>
      </c>
      <c r="AP112" s="34" t="n">
        <v>0</v>
      </c>
      <c r="AQ112" s="34" t="n">
        <v>0</v>
      </c>
      <c r="AR112" s="34">
        <f>IF(AP112&gt;AQ112*1.05,AP112-AQ112*1.05,IF(AP112&lt;AQ112*0.95,AQ112*0.95-AP112,0))</f>
        <v/>
      </c>
      <c r="AS112" s="34">
        <f>MAX(F112:G112,750)*0.05*AR112</f>
        <v/>
      </c>
      <c r="AT112" t="n">
        <v>0</v>
      </c>
      <c r="AU112" s="34">
        <f>IF(AP112&gt;AT112*1.05,AP112-AT112*1.05,IF(AP112&lt;AT112*0.95,AT112*0.95-AP112,0))</f>
        <v/>
      </c>
      <c r="AV112" s="34">
        <f>MAX(F112:G112,750)*0.05*AU112</f>
        <v/>
      </c>
      <c r="AW112" s="34">
        <f>AC112+AJ112+AQ112</f>
        <v/>
      </c>
      <c r="AX112" s="34">
        <f>AF112+AM112+AT112</f>
        <v/>
      </c>
      <c r="AY112" s="34">
        <f>AB112+AI112+AP112</f>
        <v/>
      </c>
      <c r="AZ112" s="34" t="n">
        <v>0</v>
      </c>
      <c r="BA112" s="34">
        <f>AD112+AK112+AR112</f>
        <v/>
      </c>
      <c r="BB112" s="34">
        <f>MAX(F112:G112,750)*0.05*BA112</f>
        <v/>
      </c>
      <c r="BC112" s="34">
        <f>AG112+AN112+AU112</f>
        <v/>
      </c>
      <c r="BD112" s="34">
        <f>MAX(F112:G112,750)*0.05*BC112</f>
        <v/>
      </c>
      <c r="BE112" s="34">
        <f>F112*AY112</f>
        <v/>
      </c>
      <c r="BF112" s="34">
        <f>K112-M112</f>
        <v/>
      </c>
      <c r="BG112" s="34">
        <f>P112-S112</f>
        <v/>
      </c>
      <c r="BH112" s="34">
        <f>W112-AA112</f>
        <v/>
      </c>
      <c r="BI112" s="34">
        <f>BF112+BG112+BL112-BN112</f>
        <v/>
      </c>
      <c r="BJ112" s="34">
        <f>ABS(BK112)</f>
        <v/>
      </c>
      <c r="BK112" s="34">
        <f>AY112-(J112-L112+N112-Q112)</f>
        <v/>
      </c>
      <c r="BL112" s="34">
        <f>IF(AND(BK112&gt;0,MIN($F112:$G112)&lt;150,$E112="Enerji Açığı"),-100*BK112*1.03,IF(AND(BK112&gt;0,MIN($F112:$G112)&lt;150,$E112="Enerji Fazlası"),-100*BK112*1.06,IF(AND(BK112&gt;0,MIN($F112:$G112)&gt;=150,$E112="Enerji Açığı"),BK112*MIN($F112:$G112)*0.97,IF(AND(BK112&gt;0,MIN($F112:$G112)&gt;=150,$E112="Enerji Fazlası"),BK112*MIN($F112:$G112)*0.94,IF(AND(BK112&lt;0,MAX($F112:$G112)=4500,$E112="Enerji Açığı"),4500*1.05*1.06*BK112,IF(AND(BK112&lt;0,MAX($F112:$G112)=4500,$E112="Enerji Fazlası"),4500*1.05*1.03*BK112,IF(AND(BK112&lt;0,$E112="Enerji Açığı"),MAX($F112,$G112,150)*BK112*1.06,IF(AND(BK112&lt;0,$E112="Enerji Fazlası"),MAX($F112,$G112,150)*BK112*1.03,IF(AND(BK112&lt;0,$E112="Dengede"),MAX($F112:$G112,150)*1.03*BK112,MIN($F112:$G112)*0.97*BK112)))))))))</f>
        <v/>
      </c>
      <c r="BM112" s="34">
        <f>BE112-BI112-BN112</f>
        <v/>
      </c>
      <c r="BN112" s="34">
        <f>BB112</f>
        <v/>
      </c>
      <c r="BO112" s="34">
        <f>BE112-BI112</f>
        <v/>
      </c>
      <c r="BP112" s="34">
        <f>IF(AY112=0,0,BO112/AY112)</f>
        <v/>
      </c>
      <c r="BQ112" s="34">
        <f>MAX((AY112+MAX((-J112+L112-N112+Q112),0)),(MAX((J112-L112+N112-Q112),0)))</f>
        <v/>
      </c>
      <c r="BR112" s="82">
        <f>IFERROR(ABS(BK112/BQ112),0)</f>
        <v/>
      </c>
      <c r="BS112" s="34">
        <f>IF(BR112&lt;=0.1,0,BK112/BR112*(BR112-0.1))</f>
        <v/>
      </c>
      <c r="BT112" s="34">
        <f>IF((BS112)&lt;0,MAX(F112:G112)*(BS112)*1.03,MIN(F112:G112)*(BS112)*0.97)</f>
        <v/>
      </c>
      <c r="BU112" s="34">
        <f>IF(BR112&gt;0.1,1,0)</f>
        <v/>
      </c>
      <c r="BV112" s="34">
        <f>BF112+BG112+BH112+BY112-CA112</f>
        <v/>
      </c>
      <c r="BW112" s="34">
        <f>ABS(BX112)</f>
        <v/>
      </c>
      <c r="BX112" s="34">
        <f>AY112-(J112-L112+N112-Q112+T112-X112)</f>
        <v/>
      </c>
      <c r="BY112" s="34">
        <f>IF(AND(BX112&gt;0,MIN($F112:$G112)&lt;150,$E112="Enerji Açığı"),-100*BX112*1.03,IF(AND(BX112&gt;0,MIN($F112:$G112)&lt;150,$E112="Enerji Fazlası"),-100*BX112*1.06,IF(AND(BX112&gt;0,MIN($F112:$G112)&gt;=150,$E112="Enerji Açığı"),BX112*MIN($F112:$G112)*0.97,IF(AND(BX112&gt;0,MIN($F112:$G112)&gt;=150,$E112="Enerji Fazlası"),BX112*MIN($F112:$G112)*0.94,IF(AND(BX112&lt;0,MAX($F112:$G112)=4500,$E112="Enerji Açığı"),4500*1.05*1.06*BX112,IF(AND(BX112&lt;0,MAX($F112:$G112)=4500,$E112="Enerji Fazlası"),4500*1.05*1.03*BX112,IF(AND(BX112&lt;0,$E112="Enerji Açığı"),MAX($F112,$G112,150)*BX112*1.06,IF(AND(BX112&lt;0,$E112="Enerji Fazlası"),MAX($F112,$G112,150)*BX112*1.03,IF(AND(BX112&lt;0,$E112="Dengede"),MAX($F112:$G112,150)*1.03*BX112,MIN($F112:$G112)*0.97*BX112)))))))))</f>
        <v/>
      </c>
      <c r="BZ112" s="34">
        <f>BE112-BV112-CA112</f>
        <v/>
      </c>
      <c r="CA112" s="34">
        <f>BD112</f>
        <v/>
      </c>
      <c r="CB112" s="33">
        <f>BE112-BV112</f>
        <v/>
      </c>
      <c r="CC112" s="34">
        <f>IF(AY112=0,0,CB112/AY112)</f>
        <v/>
      </c>
      <c r="CD112" s="34">
        <f>MAX((AY112+MAX((-J112+L112-N112+Q112-T112+X112),0)),(MAX((J112-L112+N112-Q112+T112-X112),0)))</f>
        <v/>
      </c>
      <c r="CE112" s="82">
        <f>IFERROR(ABS(BX112/CD112),0)</f>
        <v/>
      </c>
      <c r="CF112" s="34">
        <f>IF(CE112&lt;=0.1,0,BX112/CE112*(CE112-0.1))</f>
        <v/>
      </c>
      <c r="CG112" s="34">
        <f>IF((CF112)&lt;0,MAX(F112:G112)*(CF112)*1.03,MIN(F112:G112)*(CF112)*0.97)</f>
        <v/>
      </c>
      <c r="CH112" s="34">
        <f>IF(CE112&gt;0.1,1,0)</f>
        <v/>
      </c>
      <c r="CI112" s="34">
        <f>(F112*BX112)-BY112</f>
        <v/>
      </c>
      <c r="CJ112" s="34">
        <f>IF(AY112=0,0,CI112/AY112)</f>
        <v/>
      </c>
    </row>
    <row r="113">
      <c r="A113" s="29" t="n">
        <v>46208.58333333334</v>
      </c>
      <c r="B113" s="29" t="inlineStr">
        <is>
          <t>14:00</t>
        </is>
      </c>
      <c r="C113" s="35">
        <f>INT(A113)</f>
        <v/>
      </c>
      <c r="D113" s="36">
        <f>MONTH(A113)</f>
        <v/>
      </c>
      <c r="E113" s="147" t="inlineStr">
        <is>
          <t>Enerji Fazlası</t>
        </is>
      </c>
      <c r="F113" s="30" t="n">
        <v>196.01</v>
      </c>
      <c r="G113" s="30" t="n">
        <v>0</v>
      </c>
      <c r="H113" s="30" t="n">
        <v>4.2</v>
      </c>
      <c r="I113" s="30" t="n">
        <v>92.45999999999999</v>
      </c>
      <c r="J113" s="119" t="n">
        <v>0</v>
      </c>
      <c r="K113" s="34">
        <f>F113*J113</f>
        <v/>
      </c>
      <c r="L113" s="119" t="n">
        <v>25.5</v>
      </c>
      <c r="M113" s="34">
        <f>L113*F113</f>
        <v/>
      </c>
      <c r="N113" s="119" t="n">
        <v>25.5</v>
      </c>
      <c r="O113" s="34">
        <f>F113</f>
        <v/>
      </c>
      <c r="P113" s="34">
        <f>N113*O113</f>
        <v/>
      </c>
      <c r="Q113" s="117" t="n">
        <v>0</v>
      </c>
      <c r="R113" s="34">
        <f>F113</f>
        <v/>
      </c>
      <c r="S113" s="34">
        <f>R113*Q113</f>
        <v/>
      </c>
      <c r="T113" s="34" t="n"/>
      <c r="U113" s="34">
        <f>IFERROR(W113/T113,0)</f>
        <v/>
      </c>
      <c r="V113" s="34">
        <f>IF(U113=0,0,U113-F113)</f>
        <v/>
      </c>
      <c r="W113" s="34" t="n"/>
      <c r="X113" s="34" t="n"/>
      <c r="Y113" s="34">
        <f>IFERROR(AA113/X113,0)</f>
        <v/>
      </c>
      <c r="Z113" s="34">
        <f>IF(Y113=0,0,F113-Y113)</f>
        <v/>
      </c>
      <c r="AA113" s="34" t="n"/>
      <c r="AB113" s="34" t="n">
        <v>0</v>
      </c>
      <c r="AC113" s="34" t="n">
        <v>0</v>
      </c>
      <c r="AD113" s="34">
        <f>IF(AB113&gt;AC113*1.05,AB113-AC113*1.05,IF(AB113&lt;AC113*0.95,AC113*0.95-AB113,0))</f>
        <v/>
      </c>
      <c r="AE113" s="34">
        <f>MAX(F113,G113,750)*0.05*AD113</f>
        <v/>
      </c>
      <c r="AF113" s="34" t="n">
        <v>0</v>
      </c>
      <c r="AG113" s="34">
        <f>IF(AB113&gt;AF113*1.05,AB113-AF113*1.05,IF(AB113&lt;AF113*0.95,AF113*0.95-AB113,0))</f>
        <v/>
      </c>
      <c r="AH113" s="34">
        <f>MAX(I113,J113,750)*0.05*AG113</f>
        <v/>
      </c>
      <c r="AI113" t="n">
        <v>0</v>
      </c>
      <c r="AJ113" t="n">
        <v>0</v>
      </c>
      <c r="AK113" s="34">
        <f>IF(AI113&gt;AJ113*1.05,AI113-AJ113*1.05,IF(AI113&lt;AJ113*0.95,AJ113*0.95-AI113,0))</f>
        <v/>
      </c>
      <c r="AL113" s="34">
        <f>MAX(F113,G113,750)*0.05*AK113</f>
        <v/>
      </c>
      <c r="AM113" s="39" t="n">
        <v>0</v>
      </c>
      <c r="AN113" s="34">
        <f>IF(AI113&gt;AM113*1.05,AI113-AM113*1.05,IF(AI113&lt;AM113*0.95,AM113*0.95-AI113,0))</f>
        <v/>
      </c>
      <c r="AO113" s="34">
        <f>MAX(F113,G113,750)*0.05*AN113</f>
        <v/>
      </c>
      <c r="AP113" s="34" t="n">
        <v>0</v>
      </c>
      <c r="AQ113" s="34" t="n">
        <v>0</v>
      </c>
      <c r="AR113" s="34">
        <f>IF(AP113&gt;AQ113*1.05,AP113-AQ113*1.05,IF(AP113&lt;AQ113*0.95,AQ113*0.95-AP113,0))</f>
        <v/>
      </c>
      <c r="AS113" s="34">
        <f>MAX(F113:G113,750)*0.05*AR113</f>
        <v/>
      </c>
      <c r="AT113" t="n">
        <v>0</v>
      </c>
      <c r="AU113" s="34">
        <f>IF(AP113&gt;AT113*1.05,AP113-AT113*1.05,IF(AP113&lt;AT113*0.95,AT113*0.95-AP113,0))</f>
        <v/>
      </c>
      <c r="AV113" s="34">
        <f>MAX(F113:G113,750)*0.05*AU113</f>
        <v/>
      </c>
      <c r="AW113" s="34">
        <f>AC113+AJ113+AQ113</f>
        <v/>
      </c>
      <c r="AX113" s="34">
        <f>AF113+AM113+AT113</f>
        <v/>
      </c>
      <c r="AY113" s="34">
        <f>AB113+AI113+AP113</f>
        <v/>
      </c>
      <c r="AZ113" s="34" t="n">
        <v>0</v>
      </c>
      <c r="BA113" s="34">
        <f>AD113+AK113+AR113</f>
        <v/>
      </c>
      <c r="BB113" s="34">
        <f>MAX(F113:G113,750)*0.05*BA113</f>
        <v/>
      </c>
      <c r="BC113" s="34">
        <f>AG113+AN113+AU113</f>
        <v/>
      </c>
      <c r="BD113" s="34">
        <f>MAX(F113:G113,750)*0.05*BC113</f>
        <v/>
      </c>
      <c r="BE113" s="34">
        <f>F113*AY113</f>
        <v/>
      </c>
      <c r="BF113" s="34">
        <f>K113-M113</f>
        <v/>
      </c>
      <c r="BG113" s="34">
        <f>P113-S113</f>
        <v/>
      </c>
      <c r="BH113" s="34">
        <f>W113-AA113</f>
        <v/>
      </c>
      <c r="BI113" s="34">
        <f>BF113+BG113+BL113-BN113</f>
        <v/>
      </c>
      <c r="BJ113" s="34">
        <f>ABS(BK113)</f>
        <v/>
      </c>
      <c r="BK113" s="34">
        <f>AY113-(J113-L113+N113-Q113)</f>
        <v/>
      </c>
      <c r="BL113" s="34">
        <f>IF(AND(BK113&gt;0,MIN($F113:$G113)&lt;150,$E113="Enerji Açığı"),-100*BK113*1.03,IF(AND(BK113&gt;0,MIN($F113:$G113)&lt;150,$E113="Enerji Fazlası"),-100*BK113*1.06,IF(AND(BK113&gt;0,MIN($F113:$G113)&gt;=150,$E113="Enerji Açığı"),BK113*MIN($F113:$G113)*0.97,IF(AND(BK113&gt;0,MIN($F113:$G113)&gt;=150,$E113="Enerji Fazlası"),BK113*MIN($F113:$G113)*0.94,IF(AND(BK113&lt;0,MAX($F113:$G113)=4500,$E113="Enerji Açığı"),4500*1.05*1.06*BK113,IF(AND(BK113&lt;0,MAX($F113:$G113)=4500,$E113="Enerji Fazlası"),4500*1.05*1.03*BK113,IF(AND(BK113&lt;0,$E113="Enerji Açığı"),MAX($F113,$G113,150)*BK113*1.06,IF(AND(BK113&lt;0,$E113="Enerji Fazlası"),MAX($F113,$G113,150)*BK113*1.03,IF(AND(BK113&lt;0,$E113="Dengede"),MAX($F113:$G113,150)*1.03*BK113,MIN($F113:$G113)*0.97*BK113)))))))))</f>
        <v/>
      </c>
      <c r="BM113" s="34">
        <f>BE113-BI113-BN113</f>
        <v/>
      </c>
      <c r="BN113" s="34">
        <f>BB113</f>
        <v/>
      </c>
      <c r="BO113" s="34">
        <f>BE113-BI113</f>
        <v/>
      </c>
      <c r="BP113" s="34">
        <f>IF(AY113=0,0,BO113/AY113)</f>
        <v/>
      </c>
      <c r="BQ113" s="34">
        <f>MAX((AY113+MAX((-J113+L113-N113+Q113),0)),(MAX((J113-L113+N113-Q113),0)))</f>
        <v/>
      </c>
      <c r="BR113" s="82">
        <f>IFERROR(ABS(BK113/BQ113),0)</f>
        <v/>
      </c>
      <c r="BS113" s="34">
        <f>IF(BR113&lt;=0.1,0,BK113/BR113*(BR113-0.1))</f>
        <v/>
      </c>
      <c r="BT113" s="34">
        <f>IF((BS113)&lt;0,MAX(F113:G113)*(BS113)*1.03,MIN(F113:G113)*(BS113)*0.97)</f>
        <v/>
      </c>
      <c r="BU113" s="34">
        <f>IF(BR113&gt;0.1,1,0)</f>
        <v/>
      </c>
      <c r="BV113" s="34">
        <f>BF113+BG113+BH113+BY113-CA113</f>
        <v/>
      </c>
      <c r="BW113" s="34">
        <f>ABS(BX113)</f>
        <v/>
      </c>
      <c r="BX113" s="34">
        <f>AY113-(J113-L113+N113-Q113+T113-X113)</f>
        <v/>
      </c>
      <c r="BY113" s="34">
        <f>IF(AND(BX113&gt;0,MIN($F113:$G113)&lt;150,$E113="Enerji Açığı"),-100*BX113*1.03,IF(AND(BX113&gt;0,MIN($F113:$G113)&lt;150,$E113="Enerji Fazlası"),-100*BX113*1.06,IF(AND(BX113&gt;0,MIN($F113:$G113)&gt;=150,$E113="Enerji Açığı"),BX113*MIN($F113:$G113)*0.97,IF(AND(BX113&gt;0,MIN($F113:$G113)&gt;=150,$E113="Enerji Fazlası"),BX113*MIN($F113:$G113)*0.94,IF(AND(BX113&lt;0,MAX($F113:$G113)=4500,$E113="Enerji Açığı"),4500*1.05*1.06*BX113,IF(AND(BX113&lt;0,MAX($F113:$G113)=4500,$E113="Enerji Fazlası"),4500*1.05*1.03*BX113,IF(AND(BX113&lt;0,$E113="Enerji Açığı"),MAX($F113,$G113,150)*BX113*1.06,IF(AND(BX113&lt;0,$E113="Enerji Fazlası"),MAX($F113,$G113,150)*BX113*1.03,IF(AND(BX113&lt;0,$E113="Dengede"),MAX($F113:$G113,150)*1.03*BX113,MIN($F113:$G113)*0.97*BX113)))))))))</f>
        <v/>
      </c>
      <c r="BZ113" s="34">
        <f>BE113-BV113-CA113</f>
        <v/>
      </c>
      <c r="CA113" s="34">
        <f>BD113</f>
        <v/>
      </c>
      <c r="CB113" s="33">
        <f>BE113-BV113</f>
        <v/>
      </c>
      <c r="CC113" s="34">
        <f>IF(AY113=0,0,CB113/AY113)</f>
        <v/>
      </c>
      <c r="CD113" s="34">
        <f>MAX((AY113+MAX((-J113+L113-N113+Q113-T113+X113),0)),(MAX((J113-L113+N113-Q113+T113-X113),0)))</f>
        <v/>
      </c>
      <c r="CE113" s="82">
        <f>IFERROR(ABS(BX113/CD113),0)</f>
        <v/>
      </c>
      <c r="CF113" s="34">
        <f>IF(CE113&lt;=0.1,0,BX113/CE113*(CE113-0.1))</f>
        <v/>
      </c>
      <c r="CG113" s="34">
        <f>IF((CF113)&lt;0,MAX(F113:G113)*(CF113)*1.03,MIN(F113:G113)*(CF113)*0.97)</f>
        <v/>
      </c>
      <c r="CH113" s="34">
        <f>IF(CE113&gt;0.1,1,0)</f>
        <v/>
      </c>
      <c r="CI113" s="34">
        <f>(F113*BX113)-BY113</f>
        <v/>
      </c>
      <c r="CJ113" s="34">
        <f>IF(AY113=0,0,CI113/AY113)</f>
        <v/>
      </c>
    </row>
    <row r="114">
      <c r="A114" s="29" t="n">
        <v>46208.625</v>
      </c>
      <c r="B114" s="29" t="inlineStr">
        <is>
          <t>15:00</t>
        </is>
      </c>
      <c r="C114" s="35">
        <f>INT(A114)</f>
        <v/>
      </c>
      <c r="D114" s="36">
        <f>MONTH(A114)</f>
        <v/>
      </c>
      <c r="E114" s="147" t="inlineStr">
        <is>
          <t>Enerji Fazlası</t>
        </is>
      </c>
      <c r="F114" s="30" t="n">
        <v>200</v>
      </c>
      <c r="G114" s="30" t="n">
        <v>0</v>
      </c>
      <c r="H114" s="30" t="n">
        <v>4.29</v>
      </c>
      <c r="I114" s="30" t="n">
        <v>141.22</v>
      </c>
      <c r="J114" s="119" t="n">
        <v>0</v>
      </c>
      <c r="K114" s="34">
        <f>F114*J114</f>
        <v/>
      </c>
      <c r="L114" s="119" t="n">
        <v>25.3</v>
      </c>
      <c r="M114" s="34">
        <f>L114*F114</f>
        <v/>
      </c>
      <c r="N114" s="119" t="n">
        <v>25.3</v>
      </c>
      <c r="O114" s="34">
        <f>F114</f>
        <v/>
      </c>
      <c r="P114" s="34">
        <f>N114*O114</f>
        <v/>
      </c>
      <c r="Q114" s="117" t="n">
        <v>0</v>
      </c>
      <c r="R114" s="34">
        <f>F114</f>
        <v/>
      </c>
      <c r="S114" s="34">
        <f>R114*Q114</f>
        <v/>
      </c>
      <c r="T114" s="34" t="n"/>
      <c r="U114" s="34">
        <f>IFERROR(W114/T114,0)</f>
        <v/>
      </c>
      <c r="V114" s="34">
        <f>IF(U114=0,0,U114-F114)</f>
        <v/>
      </c>
      <c r="W114" s="34" t="n"/>
      <c r="X114" s="34" t="n"/>
      <c r="Y114" s="34">
        <f>IFERROR(AA114/X114,0)</f>
        <v/>
      </c>
      <c r="Z114" s="34">
        <f>IF(Y114=0,0,F114-Y114)</f>
        <v/>
      </c>
      <c r="AA114" s="34" t="n"/>
      <c r="AB114" s="34" t="n">
        <v>0</v>
      </c>
      <c r="AC114" s="34" t="n">
        <v>0</v>
      </c>
      <c r="AD114" s="34">
        <f>IF(AB114&gt;AC114*1.05,AB114-AC114*1.05,IF(AB114&lt;AC114*0.95,AC114*0.95-AB114,0))</f>
        <v/>
      </c>
      <c r="AE114" s="34">
        <f>MAX(F114,G114,750)*0.05*AD114</f>
        <v/>
      </c>
      <c r="AF114" s="34" t="n">
        <v>0</v>
      </c>
      <c r="AG114" s="34">
        <f>IF(AB114&gt;AF114*1.05,AB114-AF114*1.05,IF(AB114&lt;AF114*0.95,AF114*0.95-AB114,0))</f>
        <v/>
      </c>
      <c r="AH114" s="34">
        <f>MAX(I114,J114,750)*0.05*AG114</f>
        <v/>
      </c>
      <c r="AI114" t="n">
        <v>0</v>
      </c>
      <c r="AJ114" t="n">
        <v>0</v>
      </c>
      <c r="AK114" s="34">
        <f>IF(AI114&gt;AJ114*1.05,AI114-AJ114*1.05,IF(AI114&lt;AJ114*0.95,AJ114*0.95-AI114,0))</f>
        <v/>
      </c>
      <c r="AL114" s="34">
        <f>MAX(F114,G114,750)*0.05*AK114</f>
        <v/>
      </c>
      <c r="AM114" s="39" t="n">
        <v>0</v>
      </c>
      <c r="AN114" s="34">
        <f>IF(AI114&gt;AM114*1.05,AI114-AM114*1.05,IF(AI114&lt;AM114*0.95,AM114*0.95-AI114,0))</f>
        <v/>
      </c>
      <c r="AO114" s="34">
        <f>MAX(F114,G114,750)*0.05*AN114</f>
        <v/>
      </c>
      <c r="AP114" s="34" t="n">
        <v>0</v>
      </c>
      <c r="AQ114" s="34" t="n">
        <v>0</v>
      </c>
      <c r="AR114" s="34">
        <f>IF(AP114&gt;AQ114*1.05,AP114-AQ114*1.05,IF(AP114&lt;AQ114*0.95,AQ114*0.95-AP114,0))</f>
        <v/>
      </c>
      <c r="AS114" s="34">
        <f>MAX(F114:G114,750)*0.05*AR114</f>
        <v/>
      </c>
      <c r="AT114" t="n">
        <v>0</v>
      </c>
      <c r="AU114" s="34">
        <f>IF(AP114&gt;AT114*1.05,AP114-AT114*1.05,IF(AP114&lt;AT114*0.95,AT114*0.95-AP114,0))</f>
        <v/>
      </c>
      <c r="AV114" s="34">
        <f>MAX(F114:G114,750)*0.05*AU114</f>
        <v/>
      </c>
      <c r="AW114" s="34">
        <f>AC114+AJ114+AQ114</f>
        <v/>
      </c>
      <c r="AX114" s="34">
        <f>AF114+AM114+AT114</f>
        <v/>
      </c>
      <c r="AY114" s="34">
        <f>AB114+AI114+AP114</f>
        <v/>
      </c>
      <c r="AZ114" s="34" t="n">
        <v>0</v>
      </c>
      <c r="BA114" s="34">
        <f>AD114+AK114+AR114</f>
        <v/>
      </c>
      <c r="BB114" s="34">
        <f>MAX(F114:G114,750)*0.05*BA114</f>
        <v/>
      </c>
      <c r="BC114" s="34">
        <f>AG114+AN114+AU114</f>
        <v/>
      </c>
      <c r="BD114" s="34">
        <f>MAX(F114:G114,750)*0.05*BC114</f>
        <v/>
      </c>
      <c r="BE114" s="34">
        <f>F114*AY114</f>
        <v/>
      </c>
      <c r="BF114" s="34">
        <f>K114-M114</f>
        <v/>
      </c>
      <c r="BG114" s="34">
        <f>P114-S114</f>
        <v/>
      </c>
      <c r="BH114" s="34">
        <f>W114-AA114</f>
        <v/>
      </c>
      <c r="BI114" s="34">
        <f>BF114+BG114+BL114-BN114</f>
        <v/>
      </c>
      <c r="BJ114" s="34">
        <f>ABS(BK114)</f>
        <v/>
      </c>
      <c r="BK114" s="34">
        <f>AY114-(J114-L114+N114-Q114)</f>
        <v/>
      </c>
      <c r="BL114" s="34">
        <f>IF(AND(BK114&gt;0,MIN($F114:$G114)&lt;150,$E114="Enerji Açığı"),-100*BK114*1.03,IF(AND(BK114&gt;0,MIN($F114:$G114)&lt;150,$E114="Enerji Fazlası"),-100*BK114*1.06,IF(AND(BK114&gt;0,MIN($F114:$G114)&gt;=150,$E114="Enerji Açığı"),BK114*MIN($F114:$G114)*0.97,IF(AND(BK114&gt;0,MIN($F114:$G114)&gt;=150,$E114="Enerji Fazlası"),BK114*MIN($F114:$G114)*0.94,IF(AND(BK114&lt;0,MAX($F114:$G114)=4500,$E114="Enerji Açığı"),4500*1.05*1.06*BK114,IF(AND(BK114&lt;0,MAX($F114:$G114)=4500,$E114="Enerji Fazlası"),4500*1.05*1.03*BK114,IF(AND(BK114&lt;0,$E114="Enerji Açığı"),MAX($F114,$G114,150)*BK114*1.06,IF(AND(BK114&lt;0,$E114="Enerji Fazlası"),MAX($F114,$G114,150)*BK114*1.03,IF(AND(BK114&lt;0,$E114="Dengede"),MAX($F114:$G114,150)*1.03*BK114,MIN($F114:$G114)*0.97*BK114)))))))))</f>
        <v/>
      </c>
      <c r="BM114" s="34">
        <f>BE114-BI114-BN114</f>
        <v/>
      </c>
      <c r="BN114" s="34">
        <f>BB114</f>
        <v/>
      </c>
      <c r="BO114" s="34">
        <f>BE114-BI114</f>
        <v/>
      </c>
      <c r="BP114" s="34">
        <f>IF(AY114=0,0,BO114/AY114)</f>
        <v/>
      </c>
      <c r="BQ114" s="34">
        <f>MAX((AY114+MAX((-J114+L114-N114+Q114),0)),(MAX((J114-L114+N114-Q114),0)))</f>
        <v/>
      </c>
      <c r="BR114" s="82">
        <f>IFERROR(ABS(BK114/BQ114),0)</f>
        <v/>
      </c>
      <c r="BS114" s="34">
        <f>IF(BR114&lt;=0.1,0,BK114/BR114*(BR114-0.1))</f>
        <v/>
      </c>
      <c r="BT114" s="34">
        <f>IF((BS114)&lt;0,MAX(F114:G114)*(BS114)*1.03,MIN(F114:G114)*(BS114)*0.97)</f>
        <v/>
      </c>
      <c r="BU114" s="34">
        <f>IF(BR114&gt;0.1,1,0)</f>
        <v/>
      </c>
      <c r="BV114" s="34">
        <f>BF114+BG114+BH114+BY114-CA114</f>
        <v/>
      </c>
      <c r="BW114" s="34">
        <f>ABS(BX114)</f>
        <v/>
      </c>
      <c r="BX114" s="34">
        <f>AY114-(J114-L114+N114-Q114+T114-X114)</f>
        <v/>
      </c>
      <c r="BY114" s="34">
        <f>IF(AND(BX114&gt;0,MIN($F114:$G114)&lt;150,$E114="Enerji Açığı"),-100*BX114*1.03,IF(AND(BX114&gt;0,MIN($F114:$G114)&lt;150,$E114="Enerji Fazlası"),-100*BX114*1.06,IF(AND(BX114&gt;0,MIN($F114:$G114)&gt;=150,$E114="Enerji Açığı"),BX114*MIN($F114:$G114)*0.97,IF(AND(BX114&gt;0,MIN($F114:$G114)&gt;=150,$E114="Enerji Fazlası"),BX114*MIN($F114:$G114)*0.94,IF(AND(BX114&lt;0,MAX($F114:$G114)=4500,$E114="Enerji Açığı"),4500*1.05*1.06*BX114,IF(AND(BX114&lt;0,MAX($F114:$G114)=4500,$E114="Enerji Fazlası"),4500*1.05*1.03*BX114,IF(AND(BX114&lt;0,$E114="Enerji Açığı"),MAX($F114,$G114,150)*BX114*1.06,IF(AND(BX114&lt;0,$E114="Enerji Fazlası"),MAX($F114,$G114,150)*BX114*1.03,IF(AND(BX114&lt;0,$E114="Dengede"),MAX($F114:$G114,150)*1.03*BX114,MIN($F114:$G114)*0.97*BX114)))))))))</f>
        <v/>
      </c>
      <c r="BZ114" s="34">
        <f>BE114-BV114-CA114</f>
        <v/>
      </c>
      <c r="CA114" s="34">
        <f>BD114</f>
        <v/>
      </c>
      <c r="CB114" s="33">
        <f>BE114-BV114</f>
        <v/>
      </c>
      <c r="CC114" s="34">
        <f>IF(AY114=0,0,CB114/AY114)</f>
        <v/>
      </c>
      <c r="CD114" s="34">
        <f>MAX((AY114+MAX((-J114+L114-N114+Q114-T114+X114),0)),(MAX((J114-L114+N114-Q114+T114-X114),0)))</f>
        <v/>
      </c>
      <c r="CE114" s="82">
        <f>IFERROR(ABS(BX114/CD114),0)</f>
        <v/>
      </c>
      <c r="CF114" s="34">
        <f>IF(CE114&lt;=0.1,0,BX114/CE114*(CE114-0.1))</f>
        <v/>
      </c>
      <c r="CG114" s="34">
        <f>IF((CF114)&lt;0,MAX(F114:G114)*(CF114)*1.03,MIN(F114:G114)*(CF114)*0.97)</f>
        <v/>
      </c>
      <c r="CH114" s="34">
        <f>IF(CE114&gt;0.1,1,0)</f>
        <v/>
      </c>
      <c r="CI114" s="34">
        <f>(F114*BX114)-BY114</f>
        <v/>
      </c>
      <c r="CJ114" s="34">
        <f>IF(AY114=0,0,CI114/AY114)</f>
        <v/>
      </c>
    </row>
    <row r="115">
      <c r="A115" s="29" t="n">
        <v>46208.66666666666</v>
      </c>
      <c r="B115" s="29" t="inlineStr">
        <is>
          <t>16:00</t>
        </is>
      </c>
      <c r="C115" s="35">
        <f>INT(A115)</f>
        <v/>
      </c>
      <c r="D115" s="36">
        <f>MONTH(A115)</f>
        <v/>
      </c>
      <c r="E115" s="147" t="inlineStr">
        <is>
          <t>Enerji Fazlası</t>
        </is>
      </c>
      <c r="F115" s="30" t="n">
        <v>449.99</v>
      </c>
      <c r="G115" s="30" t="n">
        <v>0</v>
      </c>
      <c r="H115" s="30" t="n">
        <v>9.65</v>
      </c>
      <c r="I115" s="30" t="n">
        <v>312.13</v>
      </c>
      <c r="J115" s="119" t="n">
        <v>0</v>
      </c>
      <c r="K115" s="34">
        <f>F115*J115</f>
        <v/>
      </c>
      <c r="L115" s="119" t="n">
        <v>0</v>
      </c>
      <c r="M115" s="34">
        <f>L115*F115</f>
        <v/>
      </c>
      <c r="N115" s="119" t="n">
        <v>25</v>
      </c>
      <c r="O115" s="34">
        <f>F115</f>
        <v/>
      </c>
      <c r="P115" s="34">
        <f>N115*O115</f>
        <v/>
      </c>
      <c r="Q115" s="117" t="n">
        <v>0</v>
      </c>
      <c r="R115" s="34">
        <f>F115</f>
        <v/>
      </c>
      <c r="S115" s="34">
        <f>R115*Q115</f>
        <v/>
      </c>
      <c r="T115" s="34" t="n"/>
      <c r="U115" s="34">
        <f>IFERROR(W115/T115,0)</f>
        <v/>
      </c>
      <c r="V115" s="34">
        <f>IF(U115=0,0,U115-F115)</f>
        <v/>
      </c>
      <c r="W115" s="34" t="n"/>
      <c r="X115" s="34" t="n"/>
      <c r="Y115" s="34">
        <f>IFERROR(AA115/X115,0)</f>
        <v/>
      </c>
      <c r="Z115" s="34">
        <f>IF(Y115=0,0,F115-Y115)</f>
        <v/>
      </c>
      <c r="AA115" s="34" t="n"/>
      <c r="AB115" s="34" t="n">
        <v>0</v>
      </c>
      <c r="AC115" s="34" t="n">
        <v>0</v>
      </c>
      <c r="AD115" s="34">
        <f>IF(AB115&gt;AC115*1.05,AB115-AC115*1.05,IF(AB115&lt;AC115*0.95,AC115*0.95-AB115,0))</f>
        <v/>
      </c>
      <c r="AE115" s="34">
        <f>MAX(F115,G115,750)*0.05*AD115</f>
        <v/>
      </c>
      <c r="AF115" s="34" t="n">
        <v>0</v>
      </c>
      <c r="AG115" s="34">
        <f>IF(AB115&gt;AF115*1.05,AB115-AF115*1.05,IF(AB115&lt;AF115*0.95,AF115*0.95-AB115,0))</f>
        <v/>
      </c>
      <c r="AH115" s="34">
        <f>MAX(I115,J115,750)*0.05*AG115</f>
        <v/>
      </c>
      <c r="AI115" t="n">
        <v>9.6</v>
      </c>
      <c r="AJ115" t="n">
        <v>10</v>
      </c>
      <c r="AK115" s="34">
        <f>IF(AI115&gt;AJ115*1.05,AI115-AJ115*1.05,IF(AI115&lt;AJ115*0.95,AJ115*0.95-AI115,0))</f>
        <v/>
      </c>
      <c r="AL115" s="34">
        <f>MAX(F115,G115,750)*0.05*AK115</f>
        <v/>
      </c>
      <c r="AM115" s="39" t="n">
        <v>10</v>
      </c>
      <c r="AN115" s="34">
        <f>IF(AI115&gt;AM115*1.05,AI115-AM115*1.05,IF(AI115&lt;AM115*0.95,AM115*0.95-AI115,0))</f>
        <v/>
      </c>
      <c r="AO115" s="34">
        <f>MAX(F115,G115,750)*0.05*AN115</f>
        <v/>
      </c>
      <c r="AP115" s="34" t="n">
        <v>14.95</v>
      </c>
      <c r="AQ115" s="34" t="n">
        <v>15</v>
      </c>
      <c r="AR115" s="34">
        <f>IF(AP115&gt;AQ115*1.05,AP115-AQ115*1.05,IF(AP115&lt;AQ115*0.95,AQ115*0.95-AP115,0))</f>
        <v/>
      </c>
      <c r="AS115" s="34">
        <f>MAX(F115:G115,750)*0.05*AR115</f>
        <v/>
      </c>
      <c r="AT115" t="n">
        <v>15</v>
      </c>
      <c r="AU115" s="34">
        <f>IF(AP115&gt;AT115*1.05,AP115-AT115*1.05,IF(AP115&lt;AT115*0.95,AT115*0.95-AP115,0))</f>
        <v/>
      </c>
      <c r="AV115" s="34">
        <f>MAX(F115:G115,750)*0.05*AU115</f>
        <v/>
      </c>
      <c r="AW115" s="34">
        <f>AC115+AJ115+AQ115</f>
        <v/>
      </c>
      <c r="AX115" s="34">
        <f>AF115+AM115+AT115</f>
        <v/>
      </c>
      <c r="AY115" s="34">
        <f>AB115+AI115+AP115</f>
        <v/>
      </c>
      <c r="AZ115" s="34" t="n">
        <v>0</v>
      </c>
      <c r="BA115" s="34">
        <f>AD115+AK115+AR115</f>
        <v/>
      </c>
      <c r="BB115" s="34">
        <f>MAX(F115:G115,750)*0.05*BA115</f>
        <v/>
      </c>
      <c r="BC115" s="34">
        <f>AG115+AN115+AU115</f>
        <v/>
      </c>
      <c r="BD115" s="34">
        <f>MAX(F115:G115,750)*0.05*BC115</f>
        <v/>
      </c>
      <c r="BE115" s="34">
        <f>F115*AY115</f>
        <v/>
      </c>
      <c r="BF115" s="34">
        <f>K115-M115</f>
        <v/>
      </c>
      <c r="BG115" s="34">
        <f>P115-S115</f>
        <v/>
      </c>
      <c r="BH115" s="34">
        <f>W115-AA115</f>
        <v/>
      </c>
      <c r="BI115" s="34">
        <f>BF115+BG115+BL115-BN115</f>
        <v/>
      </c>
      <c r="BJ115" s="34">
        <f>ABS(BK115)</f>
        <v/>
      </c>
      <c r="BK115" s="34">
        <f>AY115-(J115-L115+N115-Q115)</f>
        <v/>
      </c>
      <c r="BL115" s="34">
        <f>IF(AND(BK115&gt;0,MIN($F115:$G115)&lt;150,$E115="Enerji Açığı"),-100*BK115*1.03,IF(AND(BK115&gt;0,MIN($F115:$G115)&lt;150,$E115="Enerji Fazlası"),-100*BK115*1.06,IF(AND(BK115&gt;0,MIN($F115:$G115)&gt;=150,$E115="Enerji Açığı"),BK115*MIN($F115:$G115)*0.97,IF(AND(BK115&gt;0,MIN($F115:$G115)&gt;=150,$E115="Enerji Fazlası"),BK115*MIN($F115:$G115)*0.94,IF(AND(BK115&lt;0,MAX($F115:$G115)=4500,$E115="Enerji Açığı"),4500*1.05*1.06*BK115,IF(AND(BK115&lt;0,MAX($F115:$G115)=4500,$E115="Enerji Fazlası"),4500*1.05*1.03*BK115,IF(AND(BK115&lt;0,$E115="Enerji Açığı"),MAX($F115,$G115,150)*BK115*1.06,IF(AND(BK115&lt;0,$E115="Enerji Fazlası"),MAX($F115,$G115,150)*BK115*1.03,IF(AND(BK115&lt;0,$E115="Dengede"),MAX($F115:$G115,150)*1.03*BK115,MIN($F115:$G115)*0.97*BK115)))))))))</f>
        <v/>
      </c>
      <c r="BM115" s="34">
        <f>BE115-BI115-BN115</f>
        <v/>
      </c>
      <c r="BN115" s="34">
        <f>BB115</f>
        <v/>
      </c>
      <c r="BO115" s="34">
        <f>BE115-BI115</f>
        <v/>
      </c>
      <c r="BP115" s="34">
        <f>IF(AY115=0,0,BO115/AY115)</f>
        <v/>
      </c>
      <c r="BQ115" s="34">
        <f>MAX((AY115+MAX((-J115+L115-N115+Q115),0)),(MAX((J115-L115+N115-Q115),0)))</f>
        <v/>
      </c>
      <c r="BR115" s="82">
        <f>IFERROR(ABS(BK115/BQ115),0)</f>
        <v/>
      </c>
      <c r="BS115" s="34">
        <f>IF(BR115&lt;=0.1,0,BK115/BR115*(BR115-0.1))</f>
        <v/>
      </c>
      <c r="BT115" s="34">
        <f>IF((BS115)&lt;0,MAX(F115:G115)*(BS115)*1.03,MIN(F115:G115)*(BS115)*0.97)</f>
        <v/>
      </c>
      <c r="BU115" s="34">
        <f>IF(BR115&gt;0.1,1,0)</f>
        <v/>
      </c>
      <c r="BV115" s="34">
        <f>BF115+BG115+BH115+BY115-CA115</f>
        <v/>
      </c>
      <c r="BW115" s="34">
        <f>ABS(BX115)</f>
        <v/>
      </c>
      <c r="BX115" s="34">
        <f>AY115-(J115-L115+N115-Q115+T115-X115)</f>
        <v/>
      </c>
      <c r="BY115" s="34">
        <f>IF(AND(BX115&gt;0,MIN($F115:$G115)&lt;150,$E115="Enerji Açığı"),-100*BX115*1.03,IF(AND(BX115&gt;0,MIN($F115:$G115)&lt;150,$E115="Enerji Fazlası"),-100*BX115*1.06,IF(AND(BX115&gt;0,MIN($F115:$G115)&gt;=150,$E115="Enerji Açığı"),BX115*MIN($F115:$G115)*0.97,IF(AND(BX115&gt;0,MIN($F115:$G115)&gt;=150,$E115="Enerji Fazlası"),BX115*MIN($F115:$G115)*0.94,IF(AND(BX115&lt;0,MAX($F115:$G115)=4500,$E115="Enerji Açığı"),4500*1.05*1.06*BX115,IF(AND(BX115&lt;0,MAX($F115:$G115)=4500,$E115="Enerji Fazlası"),4500*1.05*1.03*BX115,IF(AND(BX115&lt;0,$E115="Enerji Açığı"),MAX($F115,$G115,150)*BX115*1.06,IF(AND(BX115&lt;0,$E115="Enerji Fazlası"),MAX($F115,$G115,150)*BX115*1.03,IF(AND(BX115&lt;0,$E115="Dengede"),MAX($F115:$G115,150)*1.03*BX115,MIN($F115:$G115)*0.97*BX115)))))))))</f>
        <v/>
      </c>
      <c r="BZ115" s="34">
        <f>BE115-BV115-CA115</f>
        <v/>
      </c>
      <c r="CA115" s="34">
        <f>BD115</f>
        <v/>
      </c>
      <c r="CB115" s="33">
        <f>BE115-BV115</f>
        <v/>
      </c>
      <c r="CC115" s="34">
        <f>IF(AY115=0,0,CB115/AY115)</f>
        <v/>
      </c>
      <c r="CD115" s="34">
        <f>MAX((AY115+MAX((-J115+L115-N115+Q115-T115+X115),0)),(MAX((J115-L115+N115-Q115+T115-X115),0)))</f>
        <v/>
      </c>
      <c r="CE115" s="82">
        <f>IFERROR(ABS(BX115/CD115),0)</f>
        <v/>
      </c>
      <c r="CF115" s="34">
        <f>IF(CE115&lt;=0.1,0,BX115/CE115*(CE115-0.1))</f>
        <v/>
      </c>
      <c r="CG115" s="34">
        <f>IF((CF115)&lt;0,MAX(F115:G115)*(CF115)*1.03,MIN(F115:G115)*(CF115)*0.97)</f>
        <v/>
      </c>
      <c r="CH115" s="34">
        <f>IF(CE115&gt;0.1,1,0)</f>
        <v/>
      </c>
      <c r="CI115" s="34">
        <f>(F115*BX115)-BY115</f>
        <v/>
      </c>
      <c r="CJ115" s="34">
        <f>IF(AY115=0,0,CI115/AY115)</f>
        <v/>
      </c>
    </row>
    <row r="116">
      <c r="A116" s="29" t="n">
        <v>46208.70833333334</v>
      </c>
      <c r="B116" s="29" t="inlineStr">
        <is>
          <t>17:00</t>
        </is>
      </c>
      <c r="C116" s="35">
        <f>INT(A116)</f>
        <v/>
      </c>
      <c r="D116" s="36">
        <f>MONTH(A116)</f>
        <v/>
      </c>
      <c r="E116" s="147" t="inlineStr">
        <is>
          <t>Enerji Fazlası</t>
        </is>
      </c>
      <c r="F116" s="30" t="n">
        <v>920</v>
      </c>
      <c r="G116" s="30" t="n">
        <v>920</v>
      </c>
      <c r="H116" s="30" t="n">
        <v>19.73</v>
      </c>
      <c r="I116" s="30" t="n">
        <v>710.15</v>
      </c>
      <c r="J116" s="119" t="n">
        <v>0</v>
      </c>
      <c r="K116" s="34">
        <f>F116*J116</f>
        <v/>
      </c>
      <c r="L116" s="119" t="n">
        <v>0</v>
      </c>
      <c r="M116" s="34">
        <f>L116*F116</f>
        <v/>
      </c>
      <c r="N116" s="119" t="n">
        <v>23.5</v>
      </c>
      <c r="O116" s="34">
        <f>F116</f>
        <v/>
      </c>
      <c r="P116" s="34">
        <f>N116*O116</f>
        <v/>
      </c>
      <c r="Q116" s="117" t="n">
        <v>0</v>
      </c>
      <c r="R116" s="34">
        <f>F116</f>
        <v/>
      </c>
      <c r="S116" s="34">
        <f>R116*Q116</f>
        <v/>
      </c>
      <c r="T116" s="34" t="n"/>
      <c r="U116" s="34">
        <f>IFERROR(W116/T116,0)</f>
        <v/>
      </c>
      <c r="V116" s="34">
        <f>IF(U116=0,0,U116-F116)</f>
        <v/>
      </c>
      <c r="W116" s="34" t="n"/>
      <c r="X116" s="34" t="n"/>
      <c r="Y116" s="34">
        <f>IFERROR(AA116/X116,0)</f>
        <v/>
      </c>
      <c r="Z116" s="34">
        <f>IF(Y116=0,0,F116-Y116)</f>
        <v/>
      </c>
      <c r="AA116" s="34" t="n"/>
      <c r="AB116" s="34" t="n">
        <v>0</v>
      </c>
      <c r="AC116" s="34" t="n">
        <v>0</v>
      </c>
      <c r="AD116" s="34">
        <f>IF(AB116&gt;AC116*1.05,AB116-AC116*1.05,IF(AB116&lt;AC116*0.95,AC116*0.95-AB116,0))</f>
        <v/>
      </c>
      <c r="AE116" s="34">
        <f>MAX(F116,G116,750)*0.05*AD116</f>
        <v/>
      </c>
      <c r="AF116" s="34" t="n">
        <v>0</v>
      </c>
      <c r="AG116" s="34">
        <f>IF(AB116&gt;AF116*1.05,AB116-AF116*1.05,IF(AB116&lt;AF116*0.95,AF116*0.95-AB116,0))</f>
        <v/>
      </c>
      <c r="AH116" s="34">
        <f>MAX(I116,J116,750)*0.05*AG116</f>
        <v/>
      </c>
      <c r="AI116" t="n">
        <v>10.95</v>
      </c>
      <c r="AJ116" t="n">
        <v>9</v>
      </c>
      <c r="AK116" s="34">
        <f>IF(AI116&gt;AJ116*1.05,AI116-AJ116*1.05,IF(AI116&lt;AJ116*0.95,AJ116*0.95-AI116,0))</f>
        <v/>
      </c>
      <c r="AL116" s="34">
        <f>MAX(F116,G116,750)*0.05*AK116</f>
        <v/>
      </c>
      <c r="AM116" s="39" t="n">
        <v>9</v>
      </c>
      <c r="AN116" s="34">
        <f>IF(AI116&gt;AM116*1.05,AI116-AM116*1.05,IF(AI116&lt;AM116*0.95,AM116*0.95-AI116,0))</f>
        <v/>
      </c>
      <c r="AO116" s="34">
        <f>MAX(F116,G116,750)*0.05*AN116</f>
        <v/>
      </c>
      <c r="AP116" s="34" t="n">
        <v>12.87</v>
      </c>
      <c r="AQ116" s="34" t="n">
        <v>14.5</v>
      </c>
      <c r="AR116" s="34">
        <f>IF(AP116&gt;AQ116*1.05,AP116-AQ116*1.05,IF(AP116&lt;AQ116*0.95,AQ116*0.95-AP116,0))</f>
        <v/>
      </c>
      <c r="AS116" s="34">
        <f>MAX(F116:G116,750)*0.05*AR116</f>
        <v/>
      </c>
      <c r="AT116" t="n">
        <v>14.5</v>
      </c>
      <c r="AU116" s="34">
        <f>IF(AP116&gt;AT116*1.05,AP116-AT116*1.05,IF(AP116&lt;AT116*0.95,AT116*0.95-AP116,0))</f>
        <v/>
      </c>
      <c r="AV116" s="34">
        <f>MAX(F116:G116,750)*0.05*AU116</f>
        <v/>
      </c>
      <c r="AW116" s="34">
        <f>AC116+AJ116+AQ116</f>
        <v/>
      </c>
      <c r="AX116" s="34">
        <f>AF116+AM116+AT116</f>
        <v/>
      </c>
      <c r="AY116" s="34">
        <f>AB116+AI116+AP116</f>
        <v/>
      </c>
      <c r="AZ116" s="34" t="n">
        <v>0</v>
      </c>
      <c r="BA116" s="34">
        <f>AD116+AK116+AR116</f>
        <v/>
      </c>
      <c r="BB116" s="34">
        <f>MAX(F116:G116,750)*0.05*BA116</f>
        <v/>
      </c>
      <c r="BC116" s="34">
        <f>AG116+AN116+AU116</f>
        <v/>
      </c>
      <c r="BD116" s="34">
        <f>MAX(F116:G116,750)*0.05*BC116</f>
        <v/>
      </c>
      <c r="BE116" s="34">
        <f>F116*AY116</f>
        <v/>
      </c>
      <c r="BF116" s="34">
        <f>K116-M116</f>
        <v/>
      </c>
      <c r="BG116" s="34">
        <f>P116-S116</f>
        <v/>
      </c>
      <c r="BH116" s="34">
        <f>W116-AA116</f>
        <v/>
      </c>
      <c r="BI116" s="34">
        <f>BF116+BG116+BL116-BN116</f>
        <v/>
      </c>
      <c r="BJ116" s="34">
        <f>ABS(BK116)</f>
        <v/>
      </c>
      <c r="BK116" s="34">
        <f>AY116-(J116-L116+N116-Q116)</f>
        <v/>
      </c>
      <c r="BL116" s="34">
        <f>IF(AND(BK116&gt;0,MIN($F116:$G116)&lt;150,$E116="Enerji Açığı"),-100*BK116*1.03,IF(AND(BK116&gt;0,MIN($F116:$G116)&lt;150,$E116="Enerji Fazlası"),-100*BK116*1.06,IF(AND(BK116&gt;0,MIN($F116:$G116)&gt;=150,$E116="Enerji Açığı"),BK116*MIN($F116:$G116)*0.97,IF(AND(BK116&gt;0,MIN($F116:$G116)&gt;=150,$E116="Enerji Fazlası"),BK116*MIN($F116:$G116)*0.94,IF(AND(BK116&lt;0,MAX($F116:$G116)=4500,$E116="Enerji Açığı"),4500*1.05*1.06*BK116,IF(AND(BK116&lt;0,MAX($F116:$G116)=4500,$E116="Enerji Fazlası"),4500*1.05*1.03*BK116,IF(AND(BK116&lt;0,$E116="Enerji Açığı"),MAX($F116,$G116,150)*BK116*1.06,IF(AND(BK116&lt;0,$E116="Enerji Fazlası"),MAX($F116,$G116,150)*BK116*1.03,IF(AND(BK116&lt;0,$E116="Dengede"),MAX($F116:$G116,150)*1.03*BK116,MIN($F116:$G116)*0.97*BK116)))))))))</f>
        <v/>
      </c>
      <c r="BM116" s="34">
        <f>BE116-BI116-BN116</f>
        <v/>
      </c>
      <c r="BN116" s="34">
        <f>BB116</f>
        <v/>
      </c>
      <c r="BO116" s="34">
        <f>BE116-BI116</f>
        <v/>
      </c>
      <c r="BP116" s="34">
        <f>IF(AY116=0,0,BO116/AY116)</f>
        <v/>
      </c>
      <c r="BQ116" s="34">
        <f>MAX((AY116+MAX((-J116+L116-N116+Q116),0)),(MAX((J116-L116+N116-Q116),0)))</f>
        <v/>
      </c>
      <c r="BR116" s="82">
        <f>IFERROR(ABS(BK116/BQ116),0)</f>
        <v/>
      </c>
      <c r="BS116" s="34">
        <f>IF(BR116&lt;=0.1,0,BK116/BR116*(BR116-0.1))</f>
        <v/>
      </c>
      <c r="BT116" s="34">
        <f>IF((BS116)&lt;0,MAX(F116:G116)*(BS116)*1.03,MIN(F116:G116)*(BS116)*0.97)</f>
        <v/>
      </c>
      <c r="BU116" s="34">
        <f>IF(BR116&gt;0.1,1,0)</f>
        <v/>
      </c>
      <c r="BV116" s="34">
        <f>BF116+BG116+BH116+BY116-CA116</f>
        <v/>
      </c>
      <c r="BW116" s="34">
        <f>ABS(BX116)</f>
        <v/>
      </c>
      <c r="BX116" s="34">
        <f>AY116-(J116-L116+N116-Q116+T116-X116)</f>
        <v/>
      </c>
      <c r="BY116" s="34">
        <f>IF(AND(BX116&gt;0,MIN($F116:$G116)&lt;150,$E116="Enerji Açığı"),-100*BX116*1.03,IF(AND(BX116&gt;0,MIN($F116:$G116)&lt;150,$E116="Enerji Fazlası"),-100*BX116*1.06,IF(AND(BX116&gt;0,MIN($F116:$G116)&gt;=150,$E116="Enerji Açığı"),BX116*MIN($F116:$G116)*0.97,IF(AND(BX116&gt;0,MIN($F116:$G116)&gt;=150,$E116="Enerji Fazlası"),BX116*MIN($F116:$G116)*0.94,IF(AND(BX116&lt;0,MAX($F116:$G116)=4500,$E116="Enerji Açığı"),4500*1.05*1.06*BX116,IF(AND(BX116&lt;0,MAX($F116:$G116)=4500,$E116="Enerji Fazlası"),4500*1.05*1.03*BX116,IF(AND(BX116&lt;0,$E116="Enerji Açığı"),MAX($F116,$G116,150)*BX116*1.06,IF(AND(BX116&lt;0,$E116="Enerji Fazlası"),MAX($F116,$G116,150)*BX116*1.03,IF(AND(BX116&lt;0,$E116="Dengede"),MAX($F116:$G116,150)*1.03*BX116,MIN($F116:$G116)*0.97*BX116)))))))))</f>
        <v/>
      </c>
      <c r="BZ116" s="34">
        <f>BE116-BV116-CA116</f>
        <v/>
      </c>
      <c r="CA116" s="34">
        <f>BD116</f>
        <v/>
      </c>
      <c r="CB116" s="33">
        <f>BE116-BV116</f>
        <v/>
      </c>
      <c r="CC116" s="34">
        <f>IF(AY116=0,0,CB116/AY116)</f>
        <v/>
      </c>
      <c r="CD116" s="34">
        <f>MAX((AY116+MAX((-J116+L116-N116+Q116-T116+X116),0)),(MAX((J116-L116+N116-Q116+T116-X116),0)))</f>
        <v/>
      </c>
      <c r="CE116" s="82">
        <f>IFERROR(ABS(BX116/CD116),0)</f>
        <v/>
      </c>
      <c r="CF116" s="34">
        <f>IF(CE116&lt;=0.1,0,BX116/CE116*(CE116-0.1))</f>
        <v/>
      </c>
      <c r="CG116" s="34">
        <f>IF((CF116)&lt;0,MAX(F116:G116)*(CF116)*1.03,MIN(F116:G116)*(CF116)*0.97)</f>
        <v/>
      </c>
      <c r="CH116" s="34">
        <f>IF(CE116&gt;0.1,1,0)</f>
        <v/>
      </c>
      <c r="CI116" s="34">
        <f>(F116*BX116)-BY116</f>
        <v/>
      </c>
      <c r="CJ116" s="34">
        <f>IF(AY116=0,0,CI116/AY116)</f>
        <v/>
      </c>
    </row>
    <row r="117">
      <c r="A117" s="29" t="n">
        <v>46208.75</v>
      </c>
      <c r="B117" s="29" t="inlineStr">
        <is>
          <t>18:00</t>
        </is>
      </c>
      <c r="C117" s="35">
        <f>INT(A117)</f>
        <v/>
      </c>
      <c r="D117" s="36">
        <f>MONTH(A117)</f>
        <v/>
      </c>
      <c r="E117" s="147" t="inlineStr">
        <is>
          <t>Enerji Fazlası</t>
        </is>
      </c>
      <c r="F117" s="30" t="n">
        <v>1587.23</v>
      </c>
      <c r="G117" s="30" t="n">
        <v>600</v>
      </c>
      <c r="H117" s="30" t="n">
        <v>34.04</v>
      </c>
      <c r="I117" s="30" t="n">
        <v>1794.57</v>
      </c>
      <c r="J117" s="119" t="n">
        <v>0</v>
      </c>
      <c r="K117" s="34">
        <f>F117*J117</f>
        <v/>
      </c>
      <c r="L117" s="119" t="n">
        <v>0</v>
      </c>
      <c r="M117" s="34">
        <f>L117*F117</f>
        <v/>
      </c>
      <c r="N117" s="119" t="n">
        <v>22.3</v>
      </c>
      <c r="O117" s="34">
        <f>F117</f>
        <v/>
      </c>
      <c r="P117" s="34">
        <f>N117*O117</f>
        <v/>
      </c>
      <c r="Q117" s="117" t="n">
        <v>0</v>
      </c>
      <c r="R117" s="34">
        <f>F117</f>
        <v/>
      </c>
      <c r="S117" s="34">
        <f>R117*Q117</f>
        <v/>
      </c>
      <c r="T117" s="34" t="n"/>
      <c r="U117" s="34">
        <f>IFERROR(W117/T117,0)</f>
        <v/>
      </c>
      <c r="V117" s="34">
        <f>IF(U117=0,0,U117-F117)</f>
        <v/>
      </c>
      <c r="W117" s="34" t="n"/>
      <c r="X117" s="34" t="n"/>
      <c r="Y117" s="34">
        <f>IFERROR(AA117/X117,0)</f>
        <v/>
      </c>
      <c r="Z117" s="34">
        <f>IF(Y117=0,0,F117-Y117)</f>
        <v/>
      </c>
      <c r="AA117" s="34" t="n"/>
      <c r="AB117" s="34" t="n">
        <v>0</v>
      </c>
      <c r="AC117" s="34" t="n">
        <v>0</v>
      </c>
      <c r="AD117" s="34">
        <f>IF(AB117&gt;AC117*1.05,AB117-AC117*1.05,IF(AB117&lt;AC117*0.95,AC117*0.95-AB117,0))</f>
        <v/>
      </c>
      <c r="AE117" s="34">
        <f>MAX(F117,G117,750)*0.05*AD117</f>
        <v/>
      </c>
      <c r="AF117" s="34" t="n">
        <v>0</v>
      </c>
      <c r="AG117" s="34">
        <f>IF(AB117&gt;AF117*1.05,AB117-AF117*1.05,IF(AB117&lt;AF117*0.95,AF117*0.95-AB117,0))</f>
        <v/>
      </c>
      <c r="AH117" s="34">
        <f>MAX(I117,J117,750)*0.05*AG117</f>
        <v/>
      </c>
      <c r="AI117" t="n">
        <v>11.82</v>
      </c>
      <c r="AJ117" t="n">
        <v>9</v>
      </c>
      <c r="AK117" s="34">
        <f>IF(AI117&gt;AJ117*1.05,AI117-AJ117*1.05,IF(AI117&lt;AJ117*0.95,AJ117*0.95-AI117,0))</f>
        <v/>
      </c>
      <c r="AL117" s="34">
        <f>MAX(F117,G117,750)*0.05*AK117</f>
        <v/>
      </c>
      <c r="AM117" s="39" t="n">
        <v>9</v>
      </c>
      <c r="AN117" s="34">
        <f>IF(AI117&gt;AM117*1.05,AI117-AM117*1.05,IF(AI117&lt;AM117*0.95,AM117*0.95-AI117,0))</f>
        <v/>
      </c>
      <c r="AO117" s="34">
        <f>MAX(F117,G117,750)*0.05*AN117</f>
        <v/>
      </c>
      <c r="AP117" s="34" t="n">
        <v>10.75</v>
      </c>
      <c r="AQ117" s="34" t="n">
        <v>13.3</v>
      </c>
      <c r="AR117" s="34">
        <f>IF(AP117&gt;AQ117*1.05,AP117-AQ117*1.05,IF(AP117&lt;AQ117*0.95,AQ117*0.95-AP117,0))</f>
        <v/>
      </c>
      <c r="AS117" s="34">
        <f>MAX(F117:G117,750)*0.05*AR117</f>
        <v/>
      </c>
      <c r="AT117" t="n">
        <v>13.3</v>
      </c>
      <c r="AU117" s="34">
        <f>IF(AP117&gt;AT117*1.05,AP117-AT117*1.05,IF(AP117&lt;AT117*0.95,AT117*0.95-AP117,0))</f>
        <v/>
      </c>
      <c r="AV117" s="34">
        <f>MAX(F117:G117,750)*0.05*AU117</f>
        <v/>
      </c>
      <c r="AW117" s="34">
        <f>AC117+AJ117+AQ117</f>
        <v/>
      </c>
      <c r="AX117" s="34">
        <f>AF117+AM117+AT117</f>
        <v/>
      </c>
      <c r="AY117" s="34">
        <f>AB117+AI117+AP117</f>
        <v/>
      </c>
      <c r="AZ117" s="34" t="n">
        <v>0</v>
      </c>
      <c r="BA117" s="34">
        <f>AD117+AK117+AR117</f>
        <v/>
      </c>
      <c r="BB117" s="34">
        <f>MAX(F117:G117,750)*0.05*BA117</f>
        <v/>
      </c>
      <c r="BC117" s="34">
        <f>AG117+AN117+AU117</f>
        <v/>
      </c>
      <c r="BD117" s="34">
        <f>MAX(F117:G117,750)*0.05*BC117</f>
        <v/>
      </c>
      <c r="BE117" s="34">
        <f>F117*AY117</f>
        <v/>
      </c>
      <c r="BF117" s="34">
        <f>K117-M117</f>
        <v/>
      </c>
      <c r="BG117" s="34">
        <f>P117-S117</f>
        <v/>
      </c>
      <c r="BH117" s="34">
        <f>W117-AA117</f>
        <v/>
      </c>
      <c r="BI117" s="34">
        <f>BF117+BG117+BL117-BN117</f>
        <v/>
      </c>
      <c r="BJ117" s="34">
        <f>ABS(BK117)</f>
        <v/>
      </c>
      <c r="BK117" s="34">
        <f>AY117-(J117-L117+N117-Q117)</f>
        <v/>
      </c>
      <c r="BL117" s="34">
        <f>IF(AND(BK117&gt;0,MIN($F117:$G117)&lt;150,$E117="Enerji Açığı"),-100*BK117*1.03,IF(AND(BK117&gt;0,MIN($F117:$G117)&lt;150,$E117="Enerji Fazlası"),-100*BK117*1.06,IF(AND(BK117&gt;0,MIN($F117:$G117)&gt;=150,$E117="Enerji Açığı"),BK117*MIN($F117:$G117)*0.97,IF(AND(BK117&gt;0,MIN($F117:$G117)&gt;=150,$E117="Enerji Fazlası"),BK117*MIN($F117:$G117)*0.94,IF(AND(BK117&lt;0,MAX($F117:$G117)=4500,$E117="Enerji Açığı"),4500*1.05*1.06*BK117,IF(AND(BK117&lt;0,MAX($F117:$G117)=4500,$E117="Enerji Fazlası"),4500*1.05*1.03*BK117,IF(AND(BK117&lt;0,$E117="Enerji Açığı"),MAX($F117,$G117,150)*BK117*1.06,IF(AND(BK117&lt;0,$E117="Enerji Fazlası"),MAX($F117,$G117,150)*BK117*1.03,IF(AND(BK117&lt;0,$E117="Dengede"),MAX($F117:$G117,150)*1.03*BK117,MIN($F117:$G117)*0.97*BK117)))))))))</f>
        <v/>
      </c>
      <c r="BM117" s="34">
        <f>BE117-BI117-BN117</f>
        <v/>
      </c>
      <c r="BN117" s="34">
        <f>BB117</f>
        <v/>
      </c>
      <c r="BO117" s="34">
        <f>BE117-BI117</f>
        <v/>
      </c>
      <c r="BP117" s="34">
        <f>IF(AY117=0,0,BO117/AY117)</f>
        <v/>
      </c>
      <c r="BQ117" s="34">
        <f>MAX((AY117+MAX((-J117+L117-N117+Q117),0)),(MAX((J117-L117+N117-Q117),0)))</f>
        <v/>
      </c>
      <c r="BR117" s="82">
        <f>IFERROR(ABS(BK117/BQ117),0)</f>
        <v/>
      </c>
      <c r="BS117" s="34">
        <f>IF(BR117&lt;=0.1,0,BK117/BR117*(BR117-0.1))</f>
        <v/>
      </c>
      <c r="BT117" s="34">
        <f>IF((BS117)&lt;0,MAX(F117:G117)*(BS117)*1.03,MIN(F117:G117)*(BS117)*0.97)</f>
        <v/>
      </c>
      <c r="BU117" s="34">
        <f>IF(BR117&gt;0.1,1,0)</f>
        <v/>
      </c>
      <c r="BV117" s="34">
        <f>BF117+BG117+BH117+BY117-CA117</f>
        <v/>
      </c>
      <c r="BW117" s="34">
        <f>ABS(BX117)</f>
        <v/>
      </c>
      <c r="BX117" s="34">
        <f>AY117-(J117-L117+N117-Q117+T117-X117)</f>
        <v/>
      </c>
      <c r="BY117" s="34">
        <f>IF(AND(BX117&gt;0,MIN($F117:$G117)&lt;150,$E117="Enerji Açığı"),-100*BX117*1.03,IF(AND(BX117&gt;0,MIN($F117:$G117)&lt;150,$E117="Enerji Fazlası"),-100*BX117*1.06,IF(AND(BX117&gt;0,MIN($F117:$G117)&gt;=150,$E117="Enerji Açığı"),BX117*MIN($F117:$G117)*0.97,IF(AND(BX117&gt;0,MIN($F117:$G117)&gt;=150,$E117="Enerji Fazlası"),BX117*MIN($F117:$G117)*0.94,IF(AND(BX117&lt;0,MAX($F117:$G117)=4500,$E117="Enerji Açığı"),4500*1.05*1.06*BX117,IF(AND(BX117&lt;0,MAX($F117:$G117)=4500,$E117="Enerji Fazlası"),4500*1.05*1.03*BX117,IF(AND(BX117&lt;0,$E117="Enerji Açığı"),MAX($F117,$G117,150)*BX117*1.06,IF(AND(BX117&lt;0,$E117="Enerji Fazlası"),MAX($F117,$G117,150)*BX117*1.03,IF(AND(BX117&lt;0,$E117="Dengede"),MAX($F117:$G117,150)*1.03*BX117,MIN($F117:$G117)*0.97*BX117)))))))))</f>
        <v/>
      </c>
      <c r="BZ117" s="34">
        <f>BE117-BV117-CA117</f>
        <v/>
      </c>
      <c r="CA117" s="34">
        <f>BD117</f>
        <v/>
      </c>
      <c r="CB117" s="33">
        <f>BE117-BV117</f>
        <v/>
      </c>
      <c r="CC117" s="34">
        <f>IF(AY117=0,0,CB117/AY117)</f>
        <v/>
      </c>
      <c r="CD117" s="34">
        <f>MAX((AY117+MAX((-J117+L117-N117+Q117-T117+X117),0)),(MAX((J117-L117+N117-Q117+T117-X117),0)))</f>
        <v/>
      </c>
      <c r="CE117" s="82">
        <f>IFERROR(ABS(BX117/CD117),0)</f>
        <v/>
      </c>
      <c r="CF117" s="34">
        <f>IF(CE117&lt;=0.1,0,BX117/CE117*(CE117-0.1))</f>
        <v/>
      </c>
      <c r="CG117" s="34">
        <f>IF((CF117)&lt;0,MAX(F117:G117)*(CF117)*1.03,MIN(F117:G117)*(CF117)*0.97)</f>
        <v/>
      </c>
      <c r="CH117" s="34">
        <f>IF(CE117&gt;0.1,1,0)</f>
        <v/>
      </c>
      <c r="CI117" s="34">
        <f>(F117*BX117)-BY117</f>
        <v/>
      </c>
      <c r="CJ117" s="34">
        <f>IF(AY117=0,0,CI117/AY117)</f>
        <v/>
      </c>
    </row>
    <row r="118">
      <c r="A118" s="29" t="n">
        <v>46208.79166666666</v>
      </c>
      <c r="B118" s="29" t="inlineStr">
        <is>
          <t>19:00</t>
        </is>
      </c>
      <c r="C118" s="35">
        <f>INT(A118)</f>
        <v/>
      </c>
      <c r="D118" s="36">
        <f>MONTH(A118)</f>
        <v/>
      </c>
      <c r="E118" s="147" t="inlineStr">
        <is>
          <t>Enerji Açığı</t>
        </is>
      </c>
      <c r="F118" s="30" t="n">
        <v>1899.99</v>
      </c>
      <c r="G118" s="30" t="n">
        <v>1899.99</v>
      </c>
      <c r="H118" s="30" t="n">
        <v>40.74</v>
      </c>
      <c r="I118" s="30" t="n">
        <v>2020.35</v>
      </c>
      <c r="J118" s="119" t="n">
        <v>0</v>
      </c>
      <c r="K118" s="34">
        <f>F118*J118</f>
        <v/>
      </c>
      <c r="L118" s="119" t="n">
        <v>0</v>
      </c>
      <c r="M118" s="34">
        <f>L118*F118</f>
        <v/>
      </c>
      <c r="N118" s="119" t="n">
        <v>23.2</v>
      </c>
      <c r="O118" s="34">
        <f>F118</f>
        <v/>
      </c>
      <c r="P118" s="34">
        <f>N118*O118</f>
        <v/>
      </c>
      <c r="Q118" s="117" t="n">
        <v>0</v>
      </c>
      <c r="R118" s="34">
        <f>F118</f>
        <v/>
      </c>
      <c r="S118" s="34">
        <f>R118*Q118</f>
        <v/>
      </c>
      <c r="T118" s="34" t="n"/>
      <c r="U118" s="34">
        <f>IFERROR(W118/T118,0)</f>
        <v/>
      </c>
      <c r="V118" s="34">
        <f>IF(U118=0,0,U118-F118)</f>
        <v/>
      </c>
      <c r="W118" s="34" t="n"/>
      <c r="X118" s="34" t="n"/>
      <c r="Y118" s="34">
        <f>IFERROR(AA118/X118,0)</f>
        <v/>
      </c>
      <c r="Z118" s="34">
        <f>IF(Y118=0,0,F118-Y118)</f>
        <v/>
      </c>
      <c r="AA118" s="34" t="n"/>
      <c r="AB118" s="34" t="n">
        <v>0</v>
      </c>
      <c r="AC118" s="34" t="n">
        <v>0</v>
      </c>
      <c r="AD118" s="34">
        <f>IF(AB118&gt;AC118*1.05,AB118-AC118*1.05,IF(AB118&lt;AC118*0.95,AC118*0.95-AB118,0))</f>
        <v/>
      </c>
      <c r="AE118" s="34">
        <f>MAX(F118,G118,750)*0.05*AD118</f>
        <v/>
      </c>
      <c r="AF118" s="34" t="n">
        <v>0</v>
      </c>
      <c r="AG118" s="34">
        <f>IF(AB118&gt;AF118*1.05,AB118-AF118*1.05,IF(AB118&lt;AF118*0.95,AF118*0.95-AB118,0))</f>
        <v/>
      </c>
      <c r="AH118" s="34">
        <f>MAX(I118,J118,750)*0.05*AG118</f>
        <v/>
      </c>
      <c r="AI118" t="n">
        <v>11.36</v>
      </c>
      <c r="AJ118" t="n">
        <v>10</v>
      </c>
      <c r="AK118" s="34">
        <f>IF(AI118&gt;AJ118*1.05,AI118-AJ118*1.05,IF(AI118&lt;AJ118*0.95,AJ118*0.95-AI118,0))</f>
        <v/>
      </c>
      <c r="AL118" s="34">
        <f>MAX(F118,G118,750)*0.05*AK118</f>
        <v/>
      </c>
      <c r="AM118" s="39" t="n">
        <v>10</v>
      </c>
      <c r="AN118" s="34">
        <f>IF(AI118&gt;AM118*1.05,AI118-AM118*1.05,IF(AI118&lt;AM118*0.95,AM118*0.95-AI118,0))</f>
        <v/>
      </c>
      <c r="AO118" s="34">
        <f>MAX(F118,G118,750)*0.05*AN118</f>
        <v/>
      </c>
      <c r="AP118" s="34" t="n">
        <v>11.47</v>
      </c>
      <c r="AQ118" s="34" t="n">
        <v>13.2</v>
      </c>
      <c r="AR118" s="34">
        <f>IF(AP118&gt;AQ118*1.05,AP118-AQ118*1.05,IF(AP118&lt;AQ118*0.95,AQ118*0.95-AP118,0))</f>
        <v/>
      </c>
      <c r="AS118" s="34">
        <f>MAX(F118:G118,750)*0.05*AR118</f>
        <v/>
      </c>
      <c r="AT118" t="n">
        <v>13.2</v>
      </c>
      <c r="AU118" s="34">
        <f>IF(AP118&gt;AT118*1.05,AP118-AT118*1.05,IF(AP118&lt;AT118*0.95,AT118*0.95-AP118,0))</f>
        <v/>
      </c>
      <c r="AV118" s="34">
        <f>MAX(F118:G118,750)*0.05*AU118</f>
        <v/>
      </c>
      <c r="AW118" s="34">
        <f>AC118+AJ118+AQ118</f>
        <v/>
      </c>
      <c r="AX118" s="34">
        <f>AF118+AM118+AT118</f>
        <v/>
      </c>
      <c r="AY118" s="34">
        <f>AB118+AI118+AP118</f>
        <v/>
      </c>
      <c r="AZ118" s="34" t="n">
        <v>0</v>
      </c>
      <c r="BA118" s="34">
        <f>AD118+AK118+AR118</f>
        <v/>
      </c>
      <c r="BB118" s="34">
        <f>MAX(F118:G118,750)*0.05*BA118</f>
        <v/>
      </c>
      <c r="BC118" s="34">
        <f>AG118+AN118+AU118</f>
        <v/>
      </c>
      <c r="BD118" s="34">
        <f>MAX(F118:G118,750)*0.05*BC118</f>
        <v/>
      </c>
      <c r="BE118" s="34">
        <f>F118*AY118</f>
        <v/>
      </c>
      <c r="BF118" s="34">
        <f>K118-M118</f>
        <v/>
      </c>
      <c r="BG118" s="34">
        <f>P118-S118</f>
        <v/>
      </c>
      <c r="BH118" s="34">
        <f>W118-AA118</f>
        <v/>
      </c>
      <c r="BI118" s="34">
        <f>BF118+BG118+BL118-BN118</f>
        <v/>
      </c>
      <c r="BJ118" s="34">
        <f>ABS(BK118)</f>
        <v/>
      </c>
      <c r="BK118" s="34">
        <f>AY118-(J118-L118+N118-Q118)</f>
        <v/>
      </c>
      <c r="BL118" s="34">
        <f>IF(AND(BK118&gt;0,MIN($F118:$G118)&lt;150,$E118="Enerji Açığı"),-100*BK118*1.03,IF(AND(BK118&gt;0,MIN($F118:$G118)&lt;150,$E118="Enerji Fazlası"),-100*BK118*1.06,IF(AND(BK118&gt;0,MIN($F118:$G118)&gt;=150,$E118="Enerji Açığı"),BK118*MIN($F118:$G118)*0.97,IF(AND(BK118&gt;0,MIN($F118:$G118)&gt;=150,$E118="Enerji Fazlası"),BK118*MIN($F118:$G118)*0.94,IF(AND(BK118&lt;0,MAX($F118:$G118)=4500,$E118="Enerji Açığı"),4500*1.05*1.06*BK118,IF(AND(BK118&lt;0,MAX($F118:$G118)=4500,$E118="Enerji Fazlası"),4500*1.05*1.03*BK118,IF(AND(BK118&lt;0,$E118="Enerji Açığı"),MAX($F118,$G118,150)*BK118*1.06,IF(AND(BK118&lt;0,$E118="Enerji Fazlası"),MAX($F118,$G118,150)*BK118*1.03,IF(AND(BK118&lt;0,$E118="Dengede"),MAX($F118:$G118,150)*1.03*BK118,MIN($F118:$G118)*0.97*BK118)))))))))</f>
        <v/>
      </c>
      <c r="BM118" s="34">
        <f>BE118-BI118-BN118</f>
        <v/>
      </c>
      <c r="BN118" s="34">
        <f>BB118</f>
        <v/>
      </c>
      <c r="BO118" s="34">
        <f>BE118-BI118</f>
        <v/>
      </c>
      <c r="BP118" s="34">
        <f>IF(AY118=0,0,BO118/AY118)</f>
        <v/>
      </c>
      <c r="BQ118" s="34">
        <f>MAX((AY118+MAX((-J118+L118-N118+Q118),0)),(MAX((J118-L118+N118-Q118),0)))</f>
        <v/>
      </c>
      <c r="BR118" s="82">
        <f>IFERROR(ABS(BK118/BQ118),0)</f>
        <v/>
      </c>
      <c r="BS118" s="34">
        <f>IF(BR118&lt;=0.1,0,BK118/BR118*(BR118-0.1))</f>
        <v/>
      </c>
      <c r="BT118" s="34">
        <f>IF((BS118)&lt;0,MAX(F118:G118)*(BS118)*1.03,MIN(F118:G118)*(BS118)*0.97)</f>
        <v/>
      </c>
      <c r="BU118" s="34">
        <f>IF(BR118&gt;0.1,1,0)</f>
        <v/>
      </c>
      <c r="BV118" s="34">
        <f>BF118+BG118+BH118+BY118-CA118</f>
        <v/>
      </c>
      <c r="BW118" s="34">
        <f>ABS(BX118)</f>
        <v/>
      </c>
      <c r="BX118" s="34">
        <f>AY118-(J118-L118+N118-Q118+T118-X118)</f>
        <v/>
      </c>
      <c r="BY118" s="34">
        <f>IF(AND(BX118&gt;0,MIN($F118:$G118)&lt;150,$E118="Enerji Açığı"),-100*BX118*1.03,IF(AND(BX118&gt;0,MIN($F118:$G118)&lt;150,$E118="Enerji Fazlası"),-100*BX118*1.06,IF(AND(BX118&gt;0,MIN($F118:$G118)&gt;=150,$E118="Enerji Açığı"),BX118*MIN($F118:$G118)*0.97,IF(AND(BX118&gt;0,MIN($F118:$G118)&gt;=150,$E118="Enerji Fazlası"),BX118*MIN($F118:$G118)*0.94,IF(AND(BX118&lt;0,MAX($F118:$G118)=4500,$E118="Enerji Açığı"),4500*1.05*1.06*BX118,IF(AND(BX118&lt;0,MAX($F118:$G118)=4500,$E118="Enerji Fazlası"),4500*1.05*1.03*BX118,IF(AND(BX118&lt;0,$E118="Enerji Açığı"),MAX($F118,$G118,150)*BX118*1.06,IF(AND(BX118&lt;0,$E118="Enerji Fazlası"),MAX($F118,$G118,150)*BX118*1.03,IF(AND(BX118&lt;0,$E118="Dengede"),MAX($F118:$G118,150)*1.03*BX118,MIN($F118:$G118)*0.97*BX118)))))))))</f>
        <v/>
      </c>
      <c r="BZ118" s="34">
        <f>BE118-BV118-CA118</f>
        <v/>
      </c>
      <c r="CA118" s="34">
        <f>BD118</f>
        <v/>
      </c>
      <c r="CB118" s="33">
        <f>BE118-BV118</f>
        <v/>
      </c>
      <c r="CC118" s="34">
        <f>IF(AY118=0,0,CB118/AY118)</f>
        <v/>
      </c>
      <c r="CD118" s="34">
        <f>MAX((AY118+MAX((-J118+L118-N118+Q118-T118+X118),0)),(MAX((J118-L118+N118-Q118+T118-X118),0)))</f>
        <v/>
      </c>
      <c r="CE118" s="82">
        <f>IFERROR(ABS(BX118/CD118),0)</f>
        <v/>
      </c>
      <c r="CF118" s="34">
        <f>IF(CE118&lt;=0.1,0,BX118/CE118*(CE118-0.1))</f>
        <v/>
      </c>
      <c r="CG118" s="34">
        <f>IF((CF118)&lt;0,MAX(F118:G118)*(CF118)*1.03,MIN(F118:G118)*(CF118)*0.97)</f>
        <v/>
      </c>
      <c r="CH118" s="34">
        <f>IF(CE118&gt;0.1,1,0)</f>
        <v/>
      </c>
      <c r="CI118" s="34">
        <f>(F118*BX118)-BY118</f>
        <v/>
      </c>
      <c r="CJ118" s="34">
        <f>IF(AY118=0,0,CI118/AY118)</f>
        <v/>
      </c>
    </row>
    <row r="119">
      <c r="A119" s="29" t="n">
        <v>46208.83333333334</v>
      </c>
      <c r="B119" s="29" t="inlineStr">
        <is>
          <t>20:00</t>
        </is>
      </c>
      <c r="C119" s="35">
        <f>INT(A119)</f>
        <v/>
      </c>
      <c r="D119" s="36">
        <f>MONTH(A119)</f>
        <v/>
      </c>
      <c r="E119" s="147" t="inlineStr">
        <is>
          <t>Enerji Açığı</t>
        </is>
      </c>
      <c r="F119" s="30" t="n">
        <v>3023.6</v>
      </c>
      <c r="G119" s="30" t="n">
        <v>3500</v>
      </c>
      <c r="H119" s="30" t="n">
        <v>64.84</v>
      </c>
      <c r="I119" s="30" t="n">
        <v>3040.29</v>
      </c>
      <c r="J119" s="119" t="n">
        <v>0</v>
      </c>
      <c r="K119" s="34">
        <f>F119*J119</f>
        <v/>
      </c>
      <c r="L119" s="119" t="n">
        <v>0</v>
      </c>
      <c r="M119" s="34">
        <f>L119*F119</f>
        <v/>
      </c>
      <c r="N119" s="119" t="n">
        <v>23</v>
      </c>
      <c r="O119" s="34">
        <f>F119</f>
        <v/>
      </c>
      <c r="P119" s="34">
        <f>N119*O119</f>
        <v/>
      </c>
      <c r="Q119" s="117" t="n">
        <v>0</v>
      </c>
      <c r="R119" s="34">
        <f>F119</f>
        <v/>
      </c>
      <c r="S119" s="34">
        <f>R119*Q119</f>
        <v/>
      </c>
      <c r="T119" s="34" t="n"/>
      <c r="U119" s="34">
        <f>IFERROR(W119/T119,0)</f>
        <v/>
      </c>
      <c r="V119" s="34">
        <f>IF(U119=0,0,U119-F119)</f>
        <v/>
      </c>
      <c r="W119" s="34" t="n"/>
      <c r="X119" s="34" t="n"/>
      <c r="Y119" s="34">
        <f>IFERROR(AA119/X119,0)</f>
        <v/>
      </c>
      <c r="Z119" s="34">
        <f>IF(Y119=0,0,F119-Y119)</f>
        <v/>
      </c>
      <c r="AA119" s="34" t="n"/>
      <c r="AB119" s="34" t="n">
        <v>0</v>
      </c>
      <c r="AC119" s="34" t="n">
        <v>0</v>
      </c>
      <c r="AD119" s="34">
        <f>IF(AB119&gt;AC119*1.05,AB119-AC119*1.05,IF(AB119&lt;AC119*0.95,AC119*0.95-AB119,0))</f>
        <v/>
      </c>
      <c r="AE119" s="34">
        <f>MAX(F119,G119,750)*0.05*AD119</f>
        <v/>
      </c>
      <c r="AF119" s="34" t="n">
        <v>0</v>
      </c>
      <c r="AG119" s="34">
        <f>IF(AB119&gt;AF119*1.05,AB119-AF119*1.05,IF(AB119&lt;AF119*0.95,AF119*0.95-AB119,0))</f>
        <v/>
      </c>
      <c r="AH119" s="34">
        <f>MAX(I119,J119,750)*0.05*AG119</f>
        <v/>
      </c>
      <c r="AI119" t="n">
        <v>11.6</v>
      </c>
      <c r="AJ119" t="n">
        <v>10</v>
      </c>
      <c r="AK119" s="34">
        <f>IF(AI119&gt;AJ119*1.05,AI119-AJ119*1.05,IF(AI119&lt;AJ119*0.95,AJ119*0.95-AI119,0))</f>
        <v/>
      </c>
      <c r="AL119" s="34">
        <f>MAX(F119,G119,750)*0.05*AK119</f>
        <v/>
      </c>
      <c r="AM119" s="39" t="n">
        <v>10</v>
      </c>
      <c r="AN119" s="34">
        <f>IF(AI119&gt;AM119*1.05,AI119-AM119*1.05,IF(AI119&lt;AM119*0.95,AM119*0.95-AI119,0))</f>
        <v/>
      </c>
      <c r="AO119" s="34">
        <f>MAX(F119,G119,750)*0.05*AN119</f>
        <v/>
      </c>
      <c r="AP119" s="34" t="n">
        <v>11.51</v>
      </c>
      <c r="AQ119" s="34" t="n">
        <v>13</v>
      </c>
      <c r="AR119" s="34">
        <f>IF(AP119&gt;AQ119*1.05,AP119-AQ119*1.05,IF(AP119&lt;AQ119*0.95,AQ119*0.95-AP119,0))</f>
        <v/>
      </c>
      <c r="AS119" s="34">
        <f>MAX(F119:G119,750)*0.05*AR119</f>
        <v/>
      </c>
      <c r="AT119" t="n">
        <v>13</v>
      </c>
      <c r="AU119" s="34">
        <f>IF(AP119&gt;AT119*1.05,AP119-AT119*1.05,IF(AP119&lt;AT119*0.95,AT119*0.95-AP119,0))</f>
        <v/>
      </c>
      <c r="AV119" s="34">
        <f>MAX(F119:G119,750)*0.05*AU119</f>
        <v/>
      </c>
      <c r="AW119" s="34">
        <f>AC119+AJ119+AQ119</f>
        <v/>
      </c>
      <c r="AX119" s="34">
        <f>AF119+AM119+AT119</f>
        <v/>
      </c>
      <c r="AY119" s="34">
        <f>AB119+AI119+AP119</f>
        <v/>
      </c>
      <c r="AZ119" s="34" t="n">
        <v>0</v>
      </c>
      <c r="BA119" s="34">
        <f>AD119+AK119+AR119</f>
        <v/>
      </c>
      <c r="BB119" s="34">
        <f>MAX(F119:G119,750)*0.05*BA119</f>
        <v/>
      </c>
      <c r="BC119" s="34">
        <f>AG119+AN119+AU119</f>
        <v/>
      </c>
      <c r="BD119" s="34">
        <f>MAX(F119:G119,750)*0.05*BC119</f>
        <v/>
      </c>
      <c r="BE119" s="34">
        <f>F119*AY119</f>
        <v/>
      </c>
      <c r="BF119" s="34">
        <f>K119-M119</f>
        <v/>
      </c>
      <c r="BG119" s="34">
        <f>P119-S119</f>
        <v/>
      </c>
      <c r="BH119" s="34">
        <f>W119-AA119</f>
        <v/>
      </c>
      <c r="BI119" s="34">
        <f>BF119+BG119+BL119-BN119</f>
        <v/>
      </c>
      <c r="BJ119" s="34">
        <f>ABS(BK119)</f>
        <v/>
      </c>
      <c r="BK119" s="34">
        <f>AY119-(J119-L119+N119-Q119)</f>
        <v/>
      </c>
      <c r="BL119" s="34">
        <f>IF(AND(BK119&gt;0,MIN($F119:$G119)&lt;150,$E119="Enerji Açığı"),-100*BK119*1.03,IF(AND(BK119&gt;0,MIN($F119:$G119)&lt;150,$E119="Enerji Fazlası"),-100*BK119*1.06,IF(AND(BK119&gt;0,MIN($F119:$G119)&gt;=150,$E119="Enerji Açığı"),BK119*MIN($F119:$G119)*0.97,IF(AND(BK119&gt;0,MIN($F119:$G119)&gt;=150,$E119="Enerji Fazlası"),BK119*MIN($F119:$G119)*0.94,IF(AND(BK119&lt;0,MAX($F119:$G119)=4500,$E119="Enerji Açığı"),4500*1.05*1.06*BK119,IF(AND(BK119&lt;0,MAX($F119:$G119)=4500,$E119="Enerji Fazlası"),4500*1.05*1.03*BK119,IF(AND(BK119&lt;0,$E119="Enerji Açığı"),MAX($F119,$G119,150)*BK119*1.06,IF(AND(BK119&lt;0,$E119="Enerji Fazlası"),MAX($F119,$G119,150)*BK119*1.03,IF(AND(BK119&lt;0,$E119="Dengede"),MAX($F119:$G119,150)*1.03*BK119,MIN($F119:$G119)*0.97*BK119)))))))))</f>
        <v/>
      </c>
      <c r="BM119" s="34">
        <f>BE119-BI119-BN119</f>
        <v/>
      </c>
      <c r="BN119" s="34">
        <f>BB119</f>
        <v/>
      </c>
      <c r="BO119" s="34">
        <f>BE119-BI119</f>
        <v/>
      </c>
      <c r="BP119" s="34">
        <f>IF(AY119=0,0,BO119/AY119)</f>
        <v/>
      </c>
      <c r="BQ119" s="34">
        <f>MAX((AY119+MAX((-J119+L119-N119+Q119),0)),(MAX((J119-L119+N119-Q119),0)))</f>
        <v/>
      </c>
      <c r="BR119" s="82">
        <f>IFERROR(ABS(BK119/BQ119),0)</f>
        <v/>
      </c>
      <c r="BS119" s="34">
        <f>IF(BR119&lt;=0.1,0,BK119/BR119*(BR119-0.1))</f>
        <v/>
      </c>
      <c r="BT119" s="34">
        <f>IF((BS119)&lt;0,MAX(F119:G119)*(BS119)*1.03,MIN(F119:G119)*(BS119)*0.97)</f>
        <v/>
      </c>
      <c r="BU119" s="34">
        <f>IF(BR119&gt;0.1,1,0)</f>
        <v/>
      </c>
      <c r="BV119" s="34">
        <f>BF119+BG119+BH119+BY119-CA119</f>
        <v/>
      </c>
      <c r="BW119" s="34">
        <f>ABS(BX119)</f>
        <v/>
      </c>
      <c r="BX119" s="34">
        <f>AY119-(J119-L119+N119-Q119+T119-X119)</f>
        <v/>
      </c>
      <c r="BY119" s="34">
        <f>IF(AND(BX119&gt;0,MIN($F119:$G119)&lt;150,$E119="Enerji Açığı"),-100*BX119*1.03,IF(AND(BX119&gt;0,MIN($F119:$G119)&lt;150,$E119="Enerji Fazlası"),-100*BX119*1.06,IF(AND(BX119&gt;0,MIN($F119:$G119)&gt;=150,$E119="Enerji Açığı"),BX119*MIN($F119:$G119)*0.97,IF(AND(BX119&gt;0,MIN($F119:$G119)&gt;=150,$E119="Enerji Fazlası"),BX119*MIN($F119:$G119)*0.94,IF(AND(BX119&lt;0,MAX($F119:$G119)=4500,$E119="Enerji Açığı"),4500*1.05*1.06*BX119,IF(AND(BX119&lt;0,MAX($F119:$G119)=4500,$E119="Enerji Fazlası"),4500*1.05*1.03*BX119,IF(AND(BX119&lt;0,$E119="Enerji Açığı"),MAX($F119,$G119,150)*BX119*1.06,IF(AND(BX119&lt;0,$E119="Enerji Fazlası"),MAX($F119,$G119,150)*BX119*1.03,IF(AND(BX119&lt;0,$E119="Dengede"),MAX($F119:$G119,150)*1.03*BX119,MIN($F119:$G119)*0.97*BX119)))))))))</f>
        <v/>
      </c>
      <c r="BZ119" s="34">
        <f>BE119-BV119-CA119</f>
        <v/>
      </c>
      <c r="CA119" s="34">
        <f>BD119</f>
        <v/>
      </c>
      <c r="CB119" s="33">
        <f>BE119-BV119</f>
        <v/>
      </c>
      <c r="CC119" s="34">
        <f>IF(AY119=0,0,CB119/AY119)</f>
        <v/>
      </c>
      <c r="CD119" s="34">
        <f>MAX((AY119+MAX((-J119+L119-N119+Q119-T119+X119),0)),(MAX((J119-L119+N119-Q119+T119-X119),0)))</f>
        <v/>
      </c>
      <c r="CE119" s="82">
        <f>IFERROR(ABS(BX119/CD119),0)</f>
        <v/>
      </c>
      <c r="CF119" s="34">
        <f>IF(CE119&lt;=0.1,0,BX119/CE119*(CE119-0.1))</f>
        <v/>
      </c>
      <c r="CG119" s="34">
        <f>IF((CF119)&lt;0,MAX(F119:G119)*(CF119)*1.03,MIN(F119:G119)*(CF119)*0.97)</f>
        <v/>
      </c>
      <c r="CH119" s="34">
        <f>IF(CE119&gt;0.1,1,0)</f>
        <v/>
      </c>
      <c r="CI119" s="34">
        <f>(F119*BX119)-BY119</f>
        <v/>
      </c>
      <c r="CJ119" s="34">
        <f>IF(AY119=0,0,CI119/AY119)</f>
        <v/>
      </c>
    </row>
    <row r="120">
      <c r="A120" s="29" t="n">
        <v>46208.875</v>
      </c>
      <c r="B120" s="29" t="inlineStr">
        <is>
          <t>21:00</t>
        </is>
      </c>
      <c r="C120" s="35">
        <f>INT(A120)</f>
        <v/>
      </c>
      <c r="D120" s="36">
        <f>MONTH(A120)</f>
        <v/>
      </c>
      <c r="E120" s="147" t="inlineStr">
        <is>
          <t>Enerji Açığı</t>
        </is>
      </c>
      <c r="F120" s="30" t="n">
        <v>3500.01</v>
      </c>
      <c r="G120" s="30" t="n">
        <v>4049</v>
      </c>
      <c r="H120" s="30" t="n">
        <v>75.05</v>
      </c>
      <c r="I120" s="30" t="n">
        <v>3597.78</v>
      </c>
      <c r="J120" s="119" t="n">
        <v>0</v>
      </c>
      <c r="K120" s="34">
        <f>F120*J120</f>
        <v/>
      </c>
      <c r="L120" s="119" t="n">
        <v>0</v>
      </c>
      <c r="M120" s="34">
        <f>L120*F120</f>
        <v/>
      </c>
      <c r="N120" s="119" t="n">
        <v>21</v>
      </c>
      <c r="O120" s="34">
        <f>F120</f>
        <v/>
      </c>
      <c r="P120" s="34">
        <f>N120*O120</f>
        <v/>
      </c>
      <c r="Q120" s="117" t="n">
        <v>0</v>
      </c>
      <c r="R120" s="34">
        <f>F120</f>
        <v/>
      </c>
      <c r="S120" s="34">
        <f>R120*Q120</f>
        <v/>
      </c>
      <c r="T120" s="34" t="n"/>
      <c r="U120" s="34">
        <f>IFERROR(W120/T120,0)</f>
        <v/>
      </c>
      <c r="V120" s="34">
        <f>IF(U120=0,0,U120-F120)</f>
        <v/>
      </c>
      <c r="W120" s="34" t="n"/>
      <c r="X120" s="34" t="n"/>
      <c r="Y120" s="34">
        <f>IFERROR(AA120/X120,0)</f>
        <v/>
      </c>
      <c r="Z120" s="34">
        <f>IF(Y120=0,0,F120-Y120)</f>
        <v/>
      </c>
      <c r="AA120" s="34" t="n"/>
      <c r="AB120" s="34" t="n">
        <v>0</v>
      </c>
      <c r="AC120" s="34" t="n">
        <v>0</v>
      </c>
      <c r="AD120" s="34">
        <f>IF(AB120&gt;AC120*1.05,AB120-AC120*1.05,IF(AB120&lt;AC120*0.95,AC120*0.95-AB120,0))</f>
        <v/>
      </c>
      <c r="AE120" s="34">
        <f>MAX(F120,G120,750)*0.05*AD120</f>
        <v/>
      </c>
      <c r="AF120" s="34" t="n">
        <v>0</v>
      </c>
      <c r="AG120" s="34">
        <f>IF(AB120&gt;AF120*1.05,AB120-AF120*1.05,IF(AB120&lt;AF120*0.95,AF120*0.95-AB120,0))</f>
        <v/>
      </c>
      <c r="AH120" s="34">
        <f>MAX(I120,J120,750)*0.05*AG120</f>
        <v/>
      </c>
      <c r="AI120" t="n">
        <v>10.16</v>
      </c>
      <c r="AJ120" t="n">
        <v>10</v>
      </c>
      <c r="AK120" s="34">
        <f>IF(AI120&gt;AJ120*1.05,AI120-AJ120*1.05,IF(AI120&lt;AJ120*0.95,AJ120*0.95-AI120,0))</f>
        <v/>
      </c>
      <c r="AL120" s="34">
        <f>MAX(F120,G120,750)*0.05*AK120</f>
        <v/>
      </c>
      <c r="AM120" s="39" t="n">
        <v>10</v>
      </c>
      <c r="AN120" s="34">
        <f>IF(AI120&gt;AM120*1.05,AI120-AM120*1.05,IF(AI120&lt;AM120*0.95,AM120*0.95-AI120,0))</f>
        <v/>
      </c>
      <c r="AO120" s="34">
        <f>MAX(F120,G120,750)*0.05*AN120</f>
        <v/>
      </c>
      <c r="AP120" s="34" t="n">
        <v>11.16</v>
      </c>
      <c r="AQ120" s="34" t="n">
        <v>11</v>
      </c>
      <c r="AR120" s="34">
        <f>IF(AP120&gt;AQ120*1.05,AP120-AQ120*1.05,IF(AP120&lt;AQ120*0.95,AQ120*0.95-AP120,0))</f>
        <v/>
      </c>
      <c r="AS120" s="34">
        <f>MAX(F120:G120,750)*0.05*AR120</f>
        <v/>
      </c>
      <c r="AT120" t="n">
        <v>11</v>
      </c>
      <c r="AU120" s="34">
        <f>IF(AP120&gt;AT120*1.05,AP120-AT120*1.05,IF(AP120&lt;AT120*0.95,AT120*0.95-AP120,0))</f>
        <v/>
      </c>
      <c r="AV120" s="34">
        <f>MAX(F120:G120,750)*0.05*AU120</f>
        <v/>
      </c>
      <c r="AW120" s="34">
        <f>AC120+AJ120+AQ120</f>
        <v/>
      </c>
      <c r="AX120" s="34">
        <f>AF120+AM120+AT120</f>
        <v/>
      </c>
      <c r="AY120" s="34">
        <f>AB120+AI120+AP120</f>
        <v/>
      </c>
      <c r="AZ120" s="34" t="n">
        <v>0</v>
      </c>
      <c r="BA120" s="34">
        <f>AD120+AK120+AR120</f>
        <v/>
      </c>
      <c r="BB120" s="34">
        <f>MAX(F120:G120,750)*0.05*BA120</f>
        <v/>
      </c>
      <c r="BC120" s="34">
        <f>AG120+AN120+AU120</f>
        <v/>
      </c>
      <c r="BD120" s="34">
        <f>MAX(F120:G120,750)*0.05*BC120</f>
        <v/>
      </c>
      <c r="BE120" s="34">
        <f>F120*AY120</f>
        <v/>
      </c>
      <c r="BF120" s="34">
        <f>K120-M120</f>
        <v/>
      </c>
      <c r="BG120" s="34">
        <f>P120-S120</f>
        <v/>
      </c>
      <c r="BH120" s="34">
        <f>W120-AA120</f>
        <v/>
      </c>
      <c r="BI120" s="34">
        <f>BF120+BG120+BL120-BN120</f>
        <v/>
      </c>
      <c r="BJ120" s="34">
        <f>ABS(BK120)</f>
        <v/>
      </c>
      <c r="BK120" s="34">
        <f>AY120-(J120-L120+N120-Q120)</f>
        <v/>
      </c>
      <c r="BL120" s="34">
        <f>IF(AND(BK120&gt;0,MIN($F120:$G120)&lt;150,$E120="Enerji Açığı"),-100*BK120*1.03,IF(AND(BK120&gt;0,MIN($F120:$G120)&lt;150,$E120="Enerji Fazlası"),-100*BK120*1.06,IF(AND(BK120&gt;0,MIN($F120:$G120)&gt;=150,$E120="Enerji Açığı"),BK120*MIN($F120:$G120)*0.97,IF(AND(BK120&gt;0,MIN($F120:$G120)&gt;=150,$E120="Enerji Fazlası"),BK120*MIN($F120:$G120)*0.94,IF(AND(BK120&lt;0,MAX($F120:$G120)=4500,$E120="Enerji Açığı"),4500*1.05*1.06*BK120,IF(AND(BK120&lt;0,MAX($F120:$G120)=4500,$E120="Enerji Fazlası"),4500*1.05*1.03*BK120,IF(AND(BK120&lt;0,$E120="Enerji Açığı"),MAX($F120,$G120,150)*BK120*1.06,IF(AND(BK120&lt;0,$E120="Enerji Fazlası"),MAX($F120,$G120,150)*BK120*1.03,IF(AND(BK120&lt;0,$E120="Dengede"),MAX($F120:$G120,150)*1.03*BK120,MIN($F120:$G120)*0.97*BK120)))))))))</f>
        <v/>
      </c>
      <c r="BM120" s="34">
        <f>BE120-BI120-BN120</f>
        <v/>
      </c>
      <c r="BN120" s="34">
        <f>BB120</f>
        <v/>
      </c>
      <c r="BO120" s="34">
        <f>BE120-BI120</f>
        <v/>
      </c>
      <c r="BP120" s="34">
        <f>IF(AY120=0,0,BO120/AY120)</f>
        <v/>
      </c>
      <c r="BQ120" s="34">
        <f>MAX((AY120+MAX((-J120+L120-N120+Q120),0)),(MAX((J120-L120+N120-Q120),0)))</f>
        <v/>
      </c>
      <c r="BR120" s="82">
        <f>IFERROR(ABS(BK120/BQ120),0)</f>
        <v/>
      </c>
      <c r="BS120" s="34">
        <f>IF(BR120&lt;=0.1,0,BK120/BR120*(BR120-0.1))</f>
        <v/>
      </c>
      <c r="BT120" s="34">
        <f>IF((BS120)&lt;0,MAX(F120:G120)*(BS120)*1.03,MIN(F120:G120)*(BS120)*0.97)</f>
        <v/>
      </c>
      <c r="BU120" s="34">
        <f>IF(BR120&gt;0.1,1,0)</f>
        <v/>
      </c>
      <c r="BV120" s="34">
        <f>BF120+BG120+BH120+BY120-CA120</f>
        <v/>
      </c>
      <c r="BW120" s="34">
        <f>ABS(BX120)</f>
        <v/>
      </c>
      <c r="BX120" s="34">
        <f>AY120-(J120-L120+N120-Q120+T120-X120)</f>
        <v/>
      </c>
      <c r="BY120" s="34">
        <f>IF(AND(BX120&gt;0,MIN($F120:$G120)&lt;150,$E120="Enerji Açığı"),-100*BX120*1.03,IF(AND(BX120&gt;0,MIN($F120:$G120)&lt;150,$E120="Enerji Fazlası"),-100*BX120*1.06,IF(AND(BX120&gt;0,MIN($F120:$G120)&gt;=150,$E120="Enerji Açığı"),BX120*MIN($F120:$G120)*0.97,IF(AND(BX120&gt;0,MIN($F120:$G120)&gt;=150,$E120="Enerji Fazlası"),BX120*MIN($F120:$G120)*0.94,IF(AND(BX120&lt;0,MAX($F120:$G120)=4500,$E120="Enerji Açığı"),4500*1.05*1.06*BX120,IF(AND(BX120&lt;0,MAX($F120:$G120)=4500,$E120="Enerji Fazlası"),4500*1.05*1.03*BX120,IF(AND(BX120&lt;0,$E120="Enerji Açığı"),MAX($F120,$G120,150)*BX120*1.06,IF(AND(BX120&lt;0,$E120="Enerji Fazlası"),MAX($F120,$G120,150)*BX120*1.03,IF(AND(BX120&lt;0,$E120="Dengede"),MAX($F120:$G120,150)*1.03*BX120,MIN($F120:$G120)*0.97*BX120)))))))))</f>
        <v/>
      </c>
      <c r="BZ120" s="34">
        <f>BE120-BV120-CA120</f>
        <v/>
      </c>
      <c r="CA120" s="34">
        <f>BD120</f>
        <v/>
      </c>
      <c r="CB120" s="33">
        <f>BE120-BV120</f>
        <v/>
      </c>
      <c r="CC120" s="34">
        <f>IF(AY120=0,0,CB120/AY120)</f>
        <v/>
      </c>
      <c r="CD120" s="34">
        <f>MAX((AY120+MAX((-J120+L120-N120+Q120-T120+X120),0)),(MAX((J120-L120+N120-Q120+T120-X120),0)))</f>
        <v/>
      </c>
      <c r="CE120" s="82">
        <f>IFERROR(ABS(BX120/CD120),0)</f>
        <v/>
      </c>
      <c r="CF120" s="34">
        <f>IF(CE120&lt;=0.1,0,BX120/CE120*(CE120-0.1))</f>
        <v/>
      </c>
      <c r="CG120" s="34">
        <f>IF((CF120)&lt;0,MAX(F120:G120)*(CF120)*1.03,MIN(F120:G120)*(CF120)*0.97)</f>
        <v/>
      </c>
      <c r="CH120" s="34">
        <f>IF(CE120&gt;0.1,1,0)</f>
        <v/>
      </c>
      <c r="CI120" s="34">
        <f>(F120*BX120)-BY120</f>
        <v/>
      </c>
      <c r="CJ120" s="34">
        <f>IF(AY120=0,0,CI120/AY120)</f>
        <v/>
      </c>
    </row>
    <row r="121">
      <c r="A121" s="29" t="n">
        <v>46208.91666666666</v>
      </c>
      <c r="B121" s="29" t="inlineStr">
        <is>
          <t>22:00</t>
        </is>
      </c>
      <c r="C121" s="35">
        <f>INT(A121)</f>
        <v/>
      </c>
      <c r="D121" s="36">
        <f>MONTH(A121)</f>
        <v/>
      </c>
      <c r="E121" s="147" t="inlineStr">
        <is>
          <t>Enerji Açığı</t>
        </is>
      </c>
      <c r="F121" s="30" t="n">
        <v>3000</v>
      </c>
      <c r="G121" s="30" t="n">
        <v>3644</v>
      </c>
      <c r="H121" s="30" t="n">
        <v>64.33</v>
      </c>
      <c r="I121" s="30" t="n">
        <v>2903.53</v>
      </c>
      <c r="J121" s="119" t="n">
        <v>0</v>
      </c>
      <c r="K121" s="34">
        <f>F121*J121</f>
        <v/>
      </c>
      <c r="L121" s="119" t="n">
        <v>0</v>
      </c>
      <c r="M121" s="34">
        <f>L121*F121</f>
        <v/>
      </c>
      <c r="N121" s="119" t="n">
        <v>21</v>
      </c>
      <c r="O121" s="34">
        <f>F121</f>
        <v/>
      </c>
      <c r="P121" s="34">
        <f>N121*O121</f>
        <v/>
      </c>
      <c r="Q121" s="117" t="n">
        <v>0</v>
      </c>
      <c r="R121" s="34">
        <f>F121</f>
        <v/>
      </c>
      <c r="S121" s="34">
        <f>R121*Q121</f>
        <v/>
      </c>
      <c r="T121" s="34" t="n"/>
      <c r="U121" s="34">
        <f>IFERROR(W121/T121,0)</f>
        <v/>
      </c>
      <c r="V121" s="34">
        <f>IF(U121=0,0,U121-F121)</f>
        <v/>
      </c>
      <c r="W121" s="34" t="n"/>
      <c r="X121" s="34" t="n"/>
      <c r="Y121" s="34">
        <f>IFERROR(AA121/X121,0)</f>
        <v/>
      </c>
      <c r="Z121" s="34">
        <f>IF(Y121=0,0,F121-Y121)</f>
        <v/>
      </c>
      <c r="AA121" s="34" t="n"/>
      <c r="AB121" s="34" t="n">
        <v>0</v>
      </c>
      <c r="AC121" s="34" t="n">
        <v>0</v>
      </c>
      <c r="AD121" s="34">
        <f>IF(AB121&gt;AC121*1.05,AB121-AC121*1.05,IF(AB121&lt;AC121*0.95,AC121*0.95-AB121,0))</f>
        <v/>
      </c>
      <c r="AE121" s="34">
        <f>MAX(F121,G121,750)*0.05*AD121</f>
        <v/>
      </c>
      <c r="AF121" s="34" t="n">
        <v>0</v>
      </c>
      <c r="AG121" s="34">
        <f>IF(AB121&gt;AF121*1.05,AB121-AF121*1.05,IF(AB121&lt;AF121*0.95,AF121*0.95-AB121,0))</f>
        <v/>
      </c>
      <c r="AH121" s="34">
        <f>MAX(I121,J121,750)*0.05*AG121</f>
        <v/>
      </c>
      <c r="AI121" t="n">
        <v>10.09</v>
      </c>
      <c r="AJ121" t="n">
        <v>10</v>
      </c>
      <c r="AK121" s="34">
        <f>IF(AI121&gt;AJ121*1.05,AI121-AJ121*1.05,IF(AI121&lt;AJ121*0.95,AJ121*0.95-AI121,0))</f>
        <v/>
      </c>
      <c r="AL121" s="34">
        <f>MAX(F121,G121,750)*0.05*AK121</f>
        <v/>
      </c>
      <c r="AM121" s="39" t="n">
        <v>10</v>
      </c>
      <c r="AN121" s="34">
        <f>IF(AI121&gt;AM121*1.05,AI121-AM121*1.05,IF(AI121&lt;AM121*0.95,AM121*0.95-AI121,0))</f>
        <v/>
      </c>
      <c r="AO121" s="34">
        <f>MAX(F121,G121,750)*0.05*AN121</f>
        <v/>
      </c>
      <c r="AP121" s="34" t="n">
        <v>11.95</v>
      </c>
      <c r="AQ121" s="34" t="n">
        <v>11</v>
      </c>
      <c r="AR121" s="34">
        <f>IF(AP121&gt;AQ121*1.05,AP121-AQ121*1.05,IF(AP121&lt;AQ121*0.95,AQ121*0.95-AP121,0))</f>
        <v/>
      </c>
      <c r="AS121" s="34">
        <f>MAX(F121:G121,750)*0.05*AR121</f>
        <v/>
      </c>
      <c r="AT121" t="n">
        <v>12</v>
      </c>
      <c r="AU121" s="34">
        <f>IF(AP121&gt;AT121*1.05,AP121-AT121*1.05,IF(AP121&lt;AT121*0.95,AT121*0.95-AP121,0))</f>
        <v/>
      </c>
      <c r="AV121" s="34">
        <f>MAX(F121:G121,750)*0.05*AU121</f>
        <v/>
      </c>
      <c r="AW121" s="34">
        <f>AC121+AJ121+AQ121</f>
        <v/>
      </c>
      <c r="AX121" s="34">
        <f>AF121+AM121+AT121</f>
        <v/>
      </c>
      <c r="AY121" s="34">
        <f>AB121+AI121+AP121</f>
        <v/>
      </c>
      <c r="AZ121" s="34" t="n">
        <v>0</v>
      </c>
      <c r="BA121" s="34">
        <f>AD121+AK121+AR121</f>
        <v/>
      </c>
      <c r="BB121" s="34">
        <f>MAX(F121:G121,750)*0.05*BA121</f>
        <v/>
      </c>
      <c r="BC121" s="34">
        <f>AG121+AN121+AU121</f>
        <v/>
      </c>
      <c r="BD121" s="34">
        <f>MAX(F121:G121,750)*0.05*BC121</f>
        <v/>
      </c>
      <c r="BE121" s="34">
        <f>F121*AY121</f>
        <v/>
      </c>
      <c r="BF121" s="34">
        <f>K121-M121</f>
        <v/>
      </c>
      <c r="BG121" s="34">
        <f>P121-S121</f>
        <v/>
      </c>
      <c r="BH121" s="34">
        <f>W121-AA121</f>
        <v/>
      </c>
      <c r="BI121" s="34">
        <f>BF121+BG121+BL121-BN121</f>
        <v/>
      </c>
      <c r="BJ121" s="34">
        <f>ABS(BK121)</f>
        <v/>
      </c>
      <c r="BK121" s="34">
        <f>AY121-(J121-L121+N121-Q121)</f>
        <v/>
      </c>
      <c r="BL121" s="34">
        <f>IF(AND(BK121&gt;0,MIN($F121:$G121)&lt;150,$E121="Enerji Açığı"),-100*BK121*1.03,IF(AND(BK121&gt;0,MIN($F121:$G121)&lt;150,$E121="Enerji Fazlası"),-100*BK121*1.06,IF(AND(BK121&gt;0,MIN($F121:$G121)&gt;=150,$E121="Enerji Açığı"),BK121*MIN($F121:$G121)*0.97,IF(AND(BK121&gt;0,MIN($F121:$G121)&gt;=150,$E121="Enerji Fazlası"),BK121*MIN($F121:$G121)*0.94,IF(AND(BK121&lt;0,MAX($F121:$G121)=4500,$E121="Enerji Açığı"),4500*1.05*1.06*BK121,IF(AND(BK121&lt;0,MAX($F121:$G121)=4500,$E121="Enerji Fazlası"),4500*1.05*1.03*BK121,IF(AND(BK121&lt;0,$E121="Enerji Açığı"),MAX($F121,$G121,150)*BK121*1.06,IF(AND(BK121&lt;0,$E121="Enerji Fazlası"),MAX($F121,$G121,150)*BK121*1.03,IF(AND(BK121&lt;0,$E121="Dengede"),MAX($F121:$G121,150)*1.03*BK121,MIN($F121:$G121)*0.97*BK121)))))))))</f>
        <v/>
      </c>
      <c r="BM121" s="34">
        <f>BE121-BI121-BN121</f>
        <v/>
      </c>
      <c r="BN121" s="34">
        <f>BB121</f>
        <v/>
      </c>
      <c r="BO121" s="34">
        <f>BE121-BI121</f>
        <v/>
      </c>
      <c r="BP121" s="34">
        <f>IF(AY121=0,0,BO121/AY121)</f>
        <v/>
      </c>
      <c r="BQ121" s="34">
        <f>MAX((AY121+MAX((-J121+L121-N121+Q121),0)),(MAX((J121-L121+N121-Q121),0)))</f>
        <v/>
      </c>
      <c r="BR121" s="82">
        <f>IFERROR(ABS(BK121/BQ121),0)</f>
        <v/>
      </c>
      <c r="BS121" s="34">
        <f>IF(BR121&lt;=0.1,0,BK121/BR121*(BR121-0.1))</f>
        <v/>
      </c>
      <c r="BT121" s="34">
        <f>IF((BS121)&lt;0,MAX(F121:G121)*(BS121)*1.03,MIN(F121:G121)*(BS121)*0.97)</f>
        <v/>
      </c>
      <c r="BU121" s="34">
        <f>IF(BR121&gt;0.1,1,0)</f>
        <v/>
      </c>
      <c r="BV121" s="34">
        <f>BF121+BG121+BH121+BY121-CA121</f>
        <v/>
      </c>
      <c r="BW121" s="34">
        <f>ABS(BX121)</f>
        <v/>
      </c>
      <c r="BX121" s="34">
        <f>AY121-(J121-L121+N121-Q121+T121-X121)</f>
        <v/>
      </c>
      <c r="BY121" s="34">
        <f>IF(AND(BX121&gt;0,MIN($F121:$G121)&lt;150,$E121="Enerji Açığı"),-100*BX121*1.03,IF(AND(BX121&gt;0,MIN($F121:$G121)&lt;150,$E121="Enerji Fazlası"),-100*BX121*1.06,IF(AND(BX121&gt;0,MIN($F121:$G121)&gt;=150,$E121="Enerji Açığı"),BX121*MIN($F121:$G121)*0.97,IF(AND(BX121&gt;0,MIN($F121:$G121)&gt;=150,$E121="Enerji Fazlası"),BX121*MIN($F121:$G121)*0.94,IF(AND(BX121&lt;0,MAX($F121:$G121)=4500,$E121="Enerji Açığı"),4500*1.05*1.06*BX121,IF(AND(BX121&lt;0,MAX($F121:$G121)=4500,$E121="Enerji Fazlası"),4500*1.05*1.03*BX121,IF(AND(BX121&lt;0,$E121="Enerji Açığı"),MAX($F121,$G121,150)*BX121*1.06,IF(AND(BX121&lt;0,$E121="Enerji Fazlası"),MAX($F121,$G121,150)*BX121*1.03,IF(AND(BX121&lt;0,$E121="Dengede"),MAX($F121:$G121,150)*1.03*BX121,MIN($F121:$G121)*0.97*BX121)))))))))</f>
        <v/>
      </c>
      <c r="BZ121" s="34">
        <f>BE121-BV121-CA121</f>
        <v/>
      </c>
      <c r="CA121" s="34">
        <f>BD121</f>
        <v/>
      </c>
      <c r="CB121" s="33">
        <f>BE121-BV121</f>
        <v/>
      </c>
      <c r="CC121" s="34">
        <f>IF(AY121=0,0,CB121/AY121)</f>
        <v/>
      </c>
      <c r="CD121" s="34">
        <f>MAX((AY121+MAX((-J121+L121-N121+Q121-T121+X121),0)),(MAX((J121-L121+N121-Q121+T121-X121),0)))</f>
        <v/>
      </c>
      <c r="CE121" s="82">
        <f>IFERROR(ABS(BX121/CD121),0)</f>
        <v/>
      </c>
      <c r="CF121" s="34">
        <f>IF(CE121&lt;=0.1,0,BX121/CE121*(CE121-0.1))</f>
        <v/>
      </c>
      <c r="CG121" s="34">
        <f>IF((CF121)&lt;0,MAX(F121:G121)*(CF121)*1.03,MIN(F121:G121)*(CF121)*0.97)</f>
        <v/>
      </c>
      <c r="CH121" s="34">
        <f>IF(CE121&gt;0.1,1,0)</f>
        <v/>
      </c>
      <c r="CI121" s="34">
        <f>(F121*BX121)-BY121</f>
        <v/>
      </c>
      <c r="CJ121" s="34">
        <f>IF(AY121=0,0,CI121/AY121)</f>
        <v/>
      </c>
      <c r="CK121" t="inlineStr">
        <is>
          <t>l</t>
        </is>
      </c>
    </row>
    <row r="122">
      <c r="A122" s="29" t="n">
        <v>46208.95833333334</v>
      </c>
      <c r="B122" s="29" t="inlineStr">
        <is>
          <t>23:00</t>
        </is>
      </c>
      <c r="C122" s="35">
        <f>INT(A122)</f>
        <v/>
      </c>
      <c r="D122" s="36">
        <f>MONTH(A122)</f>
        <v/>
      </c>
      <c r="E122" s="147" t="inlineStr">
        <is>
          <t>Enerji Fazlası</t>
        </is>
      </c>
      <c r="F122" s="30" t="n">
        <v>2425.1</v>
      </c>
      <c r="G122" s="30" t="n">
        <v>698</v>
      </c>
      <c r="H122" s="30" t="n">
        <v>52</v>
      </c>
      <c r="I122" s="30" t="n">
        <v>2114.14</v>
      </c>
      <c r="J122" s="119" t="n">
        <v>0</v>
      </c>
      <c r="K122" s="34">
        <f>F122*J122</f>
        <v/>
      </c>
      <c r="L122" s="119" t="n">
        <v>0</v>
      </c>
      <c r="M122" s="34">
        <f>L122*F122</f>
        <v/>
      </c>
      <c r="N122" s="119" t="n">
        <v>20</v>
      </c>
      <c r="O122" s="34">
        <f>F122</f>
        <v/>
      </c>
      <c r="P122" s="34">
        <f>N122*O122</f>
        <v/>
      </c>
      <c r="Q122" s="117" t="n">
        <v>0</v>
      </c>
      <c r="R122" s="34">
        <f>F122</f>
        <v/>
      </c>
      <c r="S122" s="34">
        <f>R122*Q122</f>
        <v/>
      </c>
      <c r="T122" s="34" t="n"/>
      <c r="U122" s="34">
        <f>IFERROR(W122/T122,0)</f>
        <v/>
      </c>
      <c r="V122" s="34">
        <f>IF(U122=0,0,U122-F122)</f>
        <v/>
      </c>
      <c r="W122" s="34" t="n">
        <v>13887.3</v>
      </c>
      <c r="X122" s="34" t="n"/>
      <c r="Y122" s="34">
        <f>IFERROR(AA122/X122,0)</f>
        <v/>
      </c>
      <c r="Z122" s="34">
        <f>IF(Y122=0,0,F122-Y122)</f>
        <v/>
      </c>
      <c r="AA122" s="34" t="n"/>
      <c r="AB122" s="34" t="n">
        <v>0</v>
      </c>
      <c r="AC122" s="34" t="n">
        <v>0</v>
      </c>
      <c r="AD122" s="34">
        <f>IF(AB122&gt;AC122*1.05,AB122-AC122*1.05,IF(AB122&lt;AC122*0.95,AC122*0.95-AB122,0))</f>
        <v/>
      </c>
      <c r="AE122" s="34">
        <f>MAX(F122,G122,750)*0.05*AD122</f>
        <v/>
      </c>
      <c r="AF122" s="34" t="n">
        <v>0</v>
      </c>
      <c r="AG122" s="34">
        <f>IF(AB122&gt;AF122*1.05,AB122-AF122*1.05,IF(AB122&lt;AF122*0.95,AF122*0.95-AB122,0))</f>
        <v/>
      </c>
      <c r="AH122" s="34">
        <f>MAX(I122,J122,750)*0.05*AG122</f>
        <v/>
      </c>
      <c r="AI122" t="n">
        <v>9.109999999999999</v>
      </c>
      <c r="AJ122" t="n">
        <v>9</v>
      </c>
      <c r="AK122" s="34">
        <f>IF(AI122&gt;AJ122*1.05,AI122-AJ122*1.05,IF(AI122&lt;AJ122*0.95,AJ122*0.95-AI122,0))</f>
        <v/>
      </c>
      <c r="AL122" s="34">
        <f>MAX(F122,G122,750)*0.05*AK122</f>
        <v/>
      </c>
      <c r="AM122" s="39" t="n">
        <v>9</v>
      </c>
      <c r="AN122" s="34">
        <f>IF(AI122&gt;AM122*1.05,AI122-AM122*1.05,IF(AI122&lt;AM122*0.95,AM122*0.95-AI122,0))</f>
        <v/>
      </c>
      <c r="AO122" s="34">
        <f>MAX(F122,G122,750)*0.05*AN122</f>
        <v/>
      </c>
      <c r="AP122" s="34" t="n">
        <v>11.11</v>
      </c>
      <c r="AQ122" s="34" t="n">
        <v>11</v>
      </c>
      <c r="AR122" s="34">
        <f>IF(AP122&gt;AQ122*1.05,AP122-AQ122*1.05,IF(AP122&lt;AQ122*0.95,AQ122*0.95-AP122,0))</f>
        <v/>
      </c>
      <c r="AS122" s="34">
        <f>MAX(F122:G122,750)*0.05*AR122</f>
        <v/>
      </c>
      <c r="AT122" t="n">
        <v>11</v>
      </c>
      <c r="AU122" s="34">
        <f>IF(AP122&gt;AT122*1.05,AP122-AT122*1.05,IF(AP122&lt;AT122*0.95,AT122*0.95-AP122,0))</f>
        <v/>
      </c>
      <c r="AV122" s="34">
        <f>MAX(F122:G122,750)*0.05*AU122</f>
        <v/>
      </c>
      <c r="AW122" s="34">
        <f>AC122+AJ122+AQ122</f>
        <v/>
      </c>
      <c r="AX122" s="34">
        <f>AF122+AM122+AT122</f>
        <v/>
      </c>
      <c r="AY122" s="34">
        <f>AB122+AI122+AP122</f>
        <v/>
      </c>
      <c r="AZ122" s="34" t="n">
        <v>0</v>
      </c>
      <c r="BA122" s="34">
        <f>AD122+AK122+AR122</f>
        <v/>
      </c>
      <c r="BB122" s="34">
        <f>MAX(F122:G122,750)*0.05*BA122</f>
        <v/>
      </c>
      <c r="BC122" s="34">
        <f>AG122+AN122+AU122</f>
        <v/>
      </c>
      <c r="BD122" s="34">
        <f>MAX(F122:G122,750)*0.05*BC122</f>
        <v/>
      </c>
      <c r="BE122" s="34">
        <f>F122*AY122</f>
        <v/>
      </c>
      <c r="BF122" s="34">
        <f>K122-M122</f>
        <v/>
      </c>
      <c r="BG122" s="34">
        <f>P122-S122</f>
        <v/>
      </c>
      <c r="BH122" s="34">
        <f>W122-AA122</f>
        <v/>
      </c>
      <c r="BI122" s="34">
        <f>BF122+BG122+BL122-BN122</f>
        <v/>
      </c>
      <c r="BJ122" s="34">
        <f>ABS(BK122)</f>
        <v/>
      </c>
      <c r="BK122" s="34">
        <f>AY122-(J122-L122+N122-Q122)</f>
        <v/>
      </c>
      <c r="BL122" s="34">
        <f>IF(AND(BK122&gt;0,MIN($F122:$G122)&lt;150,$E122="Enerji Açığı"),-100*BK122*1.03,IF(AND(BK122&gt;0,MIN($F122:$G122)&lt;150,$E122="Enerji Fazlası"),-100*BK122*1.06,IF(AND(BK122&gt;0,MIN($F122:$G122)&gt;=150,$E122="Enerji Açığı"),BK122*MIN($F122:$G122)*0.97,IF(AND(BK122&gt;0,MIN($F122:$G122)&gt;=150,$E122="Enerji Fazlası"),BK122*MIN($F122:$G122)*0.94,IF(AND(BK122&lt;0,MAX($F122:$G122)=4500,$E122="Enerji Açığı"),4500*1.05*1.06*BK122,IF(AND(BK122&lt;0,MAX($F122:$G122)=4500,$E122="Enerji Fazlası"),4500*1.05*1.03*BK122,IF(AND(BK122&lt;0,$E122="Enerji Açığı"),MAX($F122,$G122,150)*BK122*1.06,IF(AND(BK122&lt;0,$E122="Enerji Fazlası"),MAX($F122,$G122,150)*BK122*1.03,IF(AND(BK122&lt;0,$E122="Dengede"),MAX($F122:$G122,150)*1.03*BK122,MIN($F122:$G122)*0.97*BK122)))))))))</f>
        <v/>
      </c>
      <c r="BM122" s="34">
        <f>BE122-BI122-BN122</f>
        <v/>
      </c>
      <c r="BN122" s="34">
        <f>BB122</f>
        <v/>
      </c>
      <c r="BO122" s="34">
        <f>BE122-BI122</f>
        <v/>
      </c>
      <c r="BP122" s="34">
        <f>IF(AY122=0,0,BO122/AY122)</f>
        <v/>
      </c>
      <c r="BQ122" s="34">
        <f>MAX((AY122+MAX((-J122+L122-N122+Q122),0)),(MAX((J122-L122+N122-Q122),0)))</f>
        <v/>
      </c>
      <c r="BR122" s="82">
        <f>IFERROR(ABS(BK122/BQ122),0)</f>
        <v/>
      </c>
      <c r="BS122" s="34">
        <f>IF(BR122&lt;=0.1,0,BK122/BR122*(BR122-0.1))</f>
        <v/>
      </c>
      <c r="BT122" s="34">
        <f>IF((BS122)&lt;0,MAX(F122:G122)*(BS122)*1.03,MIN(F122:G122)*(BS122)*0.97)</f>
        <v/>
      </c>
      <c r="BU122" s="34">
        <f>IF(BR122&gt;0.1,1,0)</f>
        <v/>
      </c>
      <c r="BV122" s="34">
        <f>BF122+BG122+BH122+BY122-CA122</f>
        <v/>
      </c>
      <c r="BW122" s="34">
        <f>ABS(BX122)</f>
        <v/>
      </c>
      <c r="BX122" s="34">
        <f>AY122-(J122-L122+N122-Q122+T122-X122)</f>
        <v/>
      </c>
      <c r="BY122" s="34">
        <f>IF(AND(BX122&gt;0,MIN($F122:$G122)&lt;150,$E122="Enerji Açığı"),-100*BX122*1.03,IF(AND(BX122&gt;0,MIN($F122:$G122)&lt;150,$E122="Enerji Fazlası"),-100*BX122*1.06,IF(AND(BX122&gt;0,MIN($F122:$G122)&gt;=150,$E122="Enerji Açığı"),BX122*MIN($F122:$G122)*0.97,IF(AND(BX122&gt;0,MIN($F122:$G122)&gt;=150,$E122="Enerji Fazlası"),BX122*MIN($F122:$G122)*0.94,IF(AND(BX122&lt;0,MAX($F122:$G122)=4500,$E122="Enerji Açığı"),4500*1.05*1.06*BX122,IF(AND(BX122&lt;0,MAX($F122:$G122)=4500,$E122="Enerji Fazlası"),4500*1.05*1.03*BX122,IF(AND(BX122&lt;0,$E122="Enerji Açığı"),MAX($F122,$G122,150)*BX122*1.06,IF(AND(BX122&lt;0,$E122="Enerji Fazlası"),MAX($F122,$G122,150)*BX122*1.03,IF(AND(BX122&lt;0,$E122="Dengede"),MAX($F122:$G122,150)*1.03*BX122,MIN($F122:$G122)*0.97*BX122)))))))))</f>
        <v/>
      </c>
      <c r="BZ122" s="34">
        <f>BE122-BV122-CA122</f>
        <v/>
      </c>
      <c r="CA122" s="34">
        <f>BD122</f>
        <v/>
      </c>
      <c r="CB122" s="33">
        <f>BE122-BV122</f>
        <v/>
      </c>
      <c r="CC122" s="34">
        <f>IF(AY122=0,0,CB122/AY122)</f>
        <v/>
      </c>
      <c r="CD122" s="34">
        <f>MAX((AY122+MAX((-J122+L122-N122+Q122-T122+X122),0)),(MAX((J122-L122+N122-Q122+T122-X122),0)))</f>
        <v/>
      </c>
      <c r="CE122" s="82">
        <f>IFERROR(ABS(BX122/CD122),0)</f>
        <v/>
      </c>
      <c r="CF122" s="34">
        <f>IF(CE122&lt;=0.1,0,BX122/CE122*(CE122-0.1))</f>
        <v/>
      </c>
      <c r="CG122" s="34">
        <f>IF((CF122)&lt;0,MAX(F122:G122)*(CF122)*1.03,MIN(F122:G122)*(CF122)*0.97)</f>
        <v/>
      </c>
      <c r="CH122" s="34">
        <f>IF(CE122&gt;0.1,1,0)</f>
        <v/>
      </c>
      <c r="CI122" s="34">
        <f>(F122*BX122)-BY122</f>
        <v/>
      </c>
      <c r="CJ122" s="34">
        <f>IF(AY122=0,0,CI122/AY122)</f>
        <v/>
      </c>
    </row>
    <row r="123">
      <c r="A123" s="29" t="n">
        <v>46209</v>
      </c>
      <c r="B123" s="29" t="inlineStr">
        <is>
          <t>00:00</t>
        </is>
      </c>
      <c r="C123" s="35">
        <f>INT(A123)</f>
        <v/>
      </c>
      <c r="D123" s="36">
        <f>MONTH(A123)</f>
        <v/>
      </c>
      <c r="E123" s="147" t="inlineStr">
        <is>
          <t>Enerji Fazlası</t>
        </is>
      </c>
      <c r="F123" s="30" t="n">
        <v>2560.29</v>
      </c>
      <c r="G123" s="30" t="n">
        <v>500</v>
      </c>
      <c r="H123" s="30" t="n">
        <v>54.9</v>
      </c>
      <c r="I123" s="30" t="n">
        <v>2727.15</v>
      </c>
      <c r="J123" s="119" t="n">
        <v>0</v>
      </c>
      <c r="K123" s="34">
        <f>F123*J123</f>
        <v/>
      </c>
      <c r="L123" s="119" t="n">
        <v>0</v>
      </c>
      <c r="M123" s="34">
        <f>L123*F123</f>
        <v/>
      </c>
      <c r="N123" s="119" t="n">
        <v>21</v>
      </c>
      <c r="O123" s="34">
        <f>F123</f>
        <v/>
      </c>
      <c r="P123" s="34">
        <f>N123*O123</f>
        <v/>
      </c>
      <c r="Q123" s="117" t="n">
        <v>0</v>
      </c>
      <c r="R123" s="34">
        <f>F123</f>
        <v/>
      </c>
      <c r="S123" s="34">
        <f>R123*Q123</f>
        <v/>
      </c>
      <c r="T123" s="34" t="n"/>
      <c r="U123" s="34">
        <f>IFERROR(W123/T123,0)</f>
        <v/>
      </c>
      <c r="V123" s="34">
        <f>IF(U123=0,0,U123-F123)</f>
        <v/>
      </c>
      <c r="W123" s="34" t="n"/>
      <c r="X123" s="34" t="n"/>
      <c r="Y123" s="34">
        <f>IFERROR(AA123/X123,0)</f>
        <v/>
      </c>
      <c r="Z123" s="34">
        <f>IF(Y123=0,0,F123-Y123)</f>
        <v/>
      </c>
      <c r="AA123" s="34" t="n"/>
      <c r="AB123" s="34" t="n">
        <v>0</v>
      </c>
      <c r="AC123" s="34" t="n">
        <v>0</v>
      </c>
      <c r="AD123" s="34">
        <f>IF(AB123&gt;AC123*1.05,AB123-AC123*1.05,IF(AB123&lt;AC123*0.95,AC123*0.95-AB123,0))</f>
        <v/>
      </c>
      <c r="AE123" s="34">
        <f>MAX(F123,G123,750)*0.05*AD123</f>
        <v/>
      </c>
      <c r="AF123" s="34" t="n">
        <v>0</v>
      </c>
      <c r="AG123" s="34">
        <f>IF(AB123&gt;AF123*1.05,AB123-AF123*1.05,IF(AB123&lt;AF123*0.95,AF123*0.95-AB123,0))</f>
        <v/>
      </c>
      <c r="AH123" s="34">
        <f>MAX(I123,J123,750)*0.05*AG123</f>
        <v/>
      </c>
      <c r="AI123" t="n">
        <v>9.109999999999999</v>
      </c>
      <c r="AJ123" t="n">
        <v>9</v>
      </c>
      <c r="AK123" s="34">
        <f>IF(AI123&gt;AJ123*1.05,AI123-AJ123*1.05,IF(AI123&lt;AJ123*0.95,AJ123*0.95-AI123,0))</f>
        <v/>
      </c>
      <c r="AL123" s="34">
        <f>MAX(F123,G123,750)*0.05*AK123</f>
        <v/>
      </c>
      <c r="AM123" s="39" t="n">
        <v>9</v>
      </c>
      <c r="AN123" s="34">
        <f>IF(AI123&gt;AM123*1.05,AI123-AM123*1.05,IF(AI123&lt;AM123*0.95,AM123*0.95-AI123,0))</f>
        <v/>
      </c>
      <c r="AO123" s="34">
        <f>MAX(F123,G123,750)*0.05*AN123</f>
        <v/>
      </c>
      <c r="AP123" s="34" t="n">
        <v>12.14</v>
      </c>
      <c r="AQ123" s="34" t="n">
        <v>12</v>
      </c>
      <c r="AR123" s="34">
        <f>IF(AP123&gt;AQ123*1.05,AP123-AQ123*1.05,IF(AP123&lt;AQ123*0.95,AQ123*0.95-AP123,0))</f>
        <v/>
      </c>
      <c r="AS123" s="34">
        <f>MAX(F123:G123,750)*0.05*AR123</f>
        <v/>
      </c>
      <c r="AT123" t="n">
        <v>12</v>
      </c>
      <c r="AU123" s="34">
        <f>IF(AP123&gt;AT123*1.05,AP123-AT123*1.05,IF(AP123&lt;AT123*0.95,AT123*0.95-AP123,0))</f>
        <v/>
      </c>
      <c r="AV123" s="34">
        <f>MAX(F123:G123,750)*0.05*AU123</f>
        <v/>
      </c>
      <c r="AW123" s="34">
        <f>AC123+AJ123+AQ123</f>
        <v/>
      </c>
      <c r="AX123" s="34">
        <f>AF123+AM123+AT123</f>
        <v/>
      </c>
      <c r="AY123" s="34">
        <f>AB123+AI123+AP123</f>
        <v/>
      </c>
      <c r="AZ123" s="34" t="n">
        <v>0</v>
      </c>
      <c r="BA123" s="34">
        <f>AD123+AK123+AR123</f>
        <v/>
      </c>
      <c r="BB123" s="34">
        <f>MAX(F123:G123,750)*0.05*BA123</f>
        <v/>
      </c>
      <c r="BC123" s="34">
        <f>AG123+AN123+AU123</f>
        <v/>
      </c>
      <c r="BD123" s="34">
        <f>MAX(F123:G123,750)*0.05*BC123</f>
        <v/>
      </c>
      <c r="BE123" s="34">
        <f>F123*AY123</f>
        <v/>
      </c>
      <c r="BF123" s="34">
        <f>K123-M123</f>
        <v/>
      </c>
      <c r="BG123" s="34">
        <f>P123-S123</f>
        <v/>
      </c>
      <c r="BH123" s="34">
        <f>W123-AA123</f>
        <v/>
      </c>
      <c r="BI123" s="34">
        <f>BF123+BG123+BL123-BN123</f>
        <v/>
      </c>
      <c r="BJ123" s="34">
        <f>ABS(BK123)</f>
        <v/>
      </c>
      <c r="BK123" s="34">
        <f>AY123-(J123-L123+N123-Q123)</f>
        <v/>
      </c>
      <c r="BL123" s="34">
        <f>IF(AND(BK123&gt;0,MIN($F123:$G123)&lt;150,$E123="Enerji Açığı"),-100*BK123*1.03,IF(AND(BK123&gt;0,MIN($F123:$G123)&lt;150,$E123="Enerji Fazlası"),-100*BK123*1.06,IF(AND(BK123&gt;0,MIN($F123:$G123)&gt;=150,$E123="Enerji Açığı"),BK123*MIN($F123:$G123)*0.97,IF(AND(BK123&gt;0,MIN($F123:$G123)&gt;=150,$E123="Enerji Fazlası"),BK123*MIN($F123:$G123)*0.94,IF(AND(BK123&lt;0,MAX($F123:$G123)=4500,$E123="Enerji Açığı"),4500*1.05*1.06*BK123,IF(AND(BK123&lt;0,MAX($F123:$G123)=4500,$E123="Enerji Fazlası"),4500*1.05*1.03*BK123,IF(AND(BK123&lt;0,$E123="Enerji Açığı"),MAX($F123,$G123,150)*BK123*1.06,IF(AND(BK123&lt;0,$E123="Enerji Fazlası"),MAX($F123,$G123,150)*BK123*1.03,IF(AND(BK123&lt;0,$E123="Dengede"),MAX($F123:$G123,150)*1.03*BK123,MIN($F123:$G123)*0.97*BK123)))))))))</f>
        <v/>
      </c>
      <c r="BM123" s="34">
        <f>BE123-BI123-BN123</f>
        <v/>
      </c>
      <c r="BN123" s="34">
        <f>BB123</f>
        <v/>
      </c>
      <c r="BO123" s="34">
        <f>BE123-BI123</f>
        <v/>
      </c>
      <c r="BP123" s="34">
        <f>IF(AY123=0,0,BO123/AY123)</f>
        <v/>
      </c>
      <c r="BQ123" s="34">
        <f>MAX((AY123+MAX((-J123+L123-N123+Q123),0)),(MAX((J123-L123+N123-Q123),0)))</f>
        <v/>
      </c>
      <c r="BR123" s="82">
        <f>IFERROR(ABS(BK123/BQ123),0)</f>
        <v/>
      </c>
      <c r="BS123" s="34">
        <f>IF(BR123&lt;=0.1,0,BK123/BR123*(BR123-0.1))</f>
        <v/>
      </c>
      <c r="BT123" s="34">
        <f>IF((BS123)&lt;0,MAX(F123:G123)*(BS123)*1.03,MIN(F123:G123)*(BS123)*0.97)</f>
        <v/>
      </c>
      <c r="BU123" s="34">
        <f>IF(BR123&gt;0.1,1,0)</f>
        <v/>
      </c>
      <c r="BV123" s="34">
        <f>BF123+BG123+BH123+BY123-CA123</f>
        <v/>
      </c>
      <c r="BW123" s="34">
        <f>ABS(BX123)</f>
        <v/>
      </c>
      <c r="BX123" s="34">
        <f>AY123-(J123-L123+N123-Q123+T123-X123)</f>
        <v/>
      </c>
      <c r="BY123" s="34">
        <f>IF(AND(BX123&gt;0,MIN($F123:$G123)&lt;150,$E123="Enerji Açığı"),-100*BX123*1.03,IF(AND(BX123&gt;0,MIN($F123:$G123)&lt;150,$E123="Enerji Fazlası"),-100*BX123*1.06,IF(AND(BX123&gt;0,MIN($F123:$G123)&gt;=150,$E123="Enerji Açığı"),BX123*MIN($F123:$G123)*0.97,IF(AND(BX123&gt;0,MIN($F123:$G123)&gt;=150,$E123="Enerji Fazlası"),BX123*MIN($F123:$G123)*0.94,IF(AND(BX123&lt;0,MAX($F123:$G123)=4500,$E123="Enerji Açığı"),4500*1.05*1.06*BX123,IF(AND(BX123&lt;0,MAX($F123:$G123)=4500,$E123="Enerji Fazlası"),4500*1.05*1.03*BX123,IF(AND(BX123&lt;0,$E123="Enerji Açığı"),MAX($F123,$G123,150)*BX123*1.06,IF(AND(BX123&lt;0,$E123="Enerji Fazlası"),MAX($F123,$G123,150)*BX123*1.03,IF(AND(BX123&lt;0,$E123="Dengede"),MAX($F123:$G123,150)*1.03*BX123,MIN($F123:$G123)*0.97*BX123)))))))))</f>
        <v/>
      </c>
      <c r="BZ123" s="34">
        <f>BE123-BV123-CA123</f>
        <v/>
      </c>
      <c r="CA123" s="34">
        <f>BD123</f>
        <v/>
      </c>
      <c r="CB123" s="33">
        <f>BE123-BV123</f>
        <v/>
      </c>
      <c r="CC123" s="34">
        <f>IF(AY123=0,0,CB123/AY123)</f>
        <v/>
      </c>
      <c r="CD123" s="34">
        <f>MAX((AY123+MAX((-J123+L123-N123+Q123-T123+X123),0)),(MAX((J123-L123+N123-Q123+T123-X123),0)))</f>
        <v/>
      </c>
      <c r="CE123" s="82">
        <f>IFERROR(ABS(BX123/CD123),0)</f>
        <v/>
      </c>
      <c r="CF123" s="34">
        <f>IF(CE123&lt;=0.1,0,BX123/CE123*(CE123-0.1))</f>
        <v/>
      </c>
      <c r="CG123" s="34">
        <f>IF((CF123)&lt;0,MAX(F123:G123)*(CF123)*1.03,MIN(F123:G123)*(CF123)*0.97)</f>
        <v/>
      </c>
      <c r="CH123" s="34">
        <f>IF(CE123&gt;0.1,1,0)</f>
        <v/>
      </c>
      <c r="CI123" s="34">
        <f>(F123*BX123)-BY123</f>
        <v/>
      </c>
      <c r="CJ123" s="34">
        <f>IF(AY123=0,0,CI123/AY123)</f>
        <v/>
      </c>
    </row>
    <row r="124">
      <c r="A124" s="29" t="n">
        <v>46209.04166666666</v>
      </c>
      <c r="B124" s="29" t="inlineStr">
        <is>
          <t>01:00</t>
        </is>
      </c>
      <c r="C124" s="35">
        <f>INT(A124)</f>
        <v/>
      </c>
      <c r="D124" s="36">
        <f>MONTH(A124)</f>
        <v/>
      </c>
      <c r="E124" s="147" t="inlineStr">
        <is>
          <t>Enerji Fazlası</t>
        </is>
      </c>
      <c r="F124" s="30" t="n">
        <v>2050</v>
      </c>
      <c r="G124" s="30" t="n">
        <v>500</v>
      </c>
      <c r="H124" s="30" t="n">
        <v>43.96</v>
      </c>
      <c r="I124" s="30" t="n">
        <v>1821.59</v>
      </c>
      <c r="J124" s="119" t="n">
        <v>0</v>
      </c>
      <c r="K124" s="34">
        <f>F124*J124</f>
        <v/>
      </c>
      <c r="L124" s="119" t="n">
        <v>0</v>
      </c>
      <c r="M124" s="34">
        <f>L124*F124</f>
        <v/>
      </c>
      <c r="N124" s="119" t="n">
        <v>21</v>
      </c>
      <c r="O124" s="34">
        <f>F124</f>
        <v/>
      </c>
      <c r="P124" s="34">
        <f>N124*O124</f>
        <v/>
      </c>
      <c r="Q124" s="117" t="n">
        <v>0</v>
      </c>
      <c r="R124" s="34">
        <f>F124</f>
        <v/>
      </c>
      <c r="S124" s="34">
        <f>R124*Q124</f>
        <v/>
      </c>
      <c r="T124" s="34" t="n"/>
      <c r="U124" s="34">
        <f>IFERROR(W124/T124,0)</f>
        <v/>
      </c>
      <c r="V124" s="34">
        <f>IF(U124=0,0,U124-F124)</f>
        <v/>
      </c>
      <c r="W124" s="34" t="n"/>
      <c r="X124" s="34" t="n"/>
      <c r="Y124" s="34">
        <f>IFERROR(AA124/X124,0)</f>
        <v/>
      </c>
      <c r="Z124" s="34">
        <f>IF(Y124=0,0,F124-Y124)</f>
        <v/>
      </c>
      <c r="AA124" s="34" t="n"/>
      <c r="AB124" s="34" t="n">
        <v>0</v>
      </c>
      <c r="AC124" s="34" t="n">
        <v>0</v>
      </c>
      <c r="AD124" s="34">
        <f>IF(AB124&gt;AC124*1.05,AB124-AC124*1.05,IF(AB124&lt;AC124*0.95,AC124*0.95-AB124,0))</f>
        <v/>
      </c>
      <c r="AE124" s="34">
        <f>MAX(F124,G124,750)*0.05*AD124</f>
        <v/>
      </c>
      <c r="AF124" s="34" t="n">
        <v>0</v>
      </c>
      <c r="AG124" s="34">
        <f>IF(AB124&gt;AF124*1.05,AB124-AF124*1.05,IF(AB124&lt;AF124*0.95,AF124*0.95-AB124,0))</f>
        <v/>
      </c>
      <c r="AH124" s="34">
        <f>MAX(I124,J124,750)*0.05*AG124</f>
        <v/>
      </c>
      <c r="AI124" t="n">
        <v>9.17</v>
      </c>
      <c r="AJ124" t="n">
        <v>9</v>
      </c>
      <c r="AK124" s="34">
        <f>IF(AI124&gt;AJ124*1.05,AI124-AJ124*1.05,IF(AI124&lt;AJ124*0.95,AJ124*0.95-AI124,0))</f>
        <v/>
      </c>
      <c r="AL124" s="34">
        <f>MAX(F124,G124,750)*0.05*AK124</f>
        <v/>
      </c>
      <c r="AM124" s="39" t="n">
        <v>9</v>
      </c>
      <c r="AN124" s="34">
        <f>IF(AI124&gt;AM124*1.05,AI124-AM124*1.05,IF(AI124&lt;AM124*0.95,AM124*0.95-AI124,0))</f>
        <v/>
      </c>
      <c r="AO124" s="34">
        <f>MAX(F124,G124,750)*0.05*AN124</f>
        <v/>
      </c>
      <c r="AP124" s="34" t="n">
        <v>12.19</v>
      </c>
      <c r="AQ124" s="34" t="n">
        <v>12</v>
      </c>
      <c r="AR124" s="34">
        <f>IF(AP124&gt;AQ124*1.05,AP124-AQ124*1.05,IF(AP124&lt;AQ124*0.95,AQ124*0.95-AP124,0))</f>
        <v/>
      </c>
      <c r="AS124" s="34">
        <f>MAX(F124:G124,750)*0.05*AR124</f>
        <v/>
      </c>
      <c r="AT124" t="n">
        <v>12</v>
      </c>
      <c r="AU124" s="34">
        <f>IF(AP124&gt;AT124*1.05,AP124-AT124*1.05,IF(AP124&lt;AT124*0.95,AT124*0.95-AP124,0))</f>
        <v/>
      </c>
      <c r="AV124" s="34">
        <f>MAX(F124:G124,750)*0.05*AU124</f>
        <v/>
      </c>
      <c r="AW124" s="34">
        <f>AC124+AJ124+AQ124</f>
        <v/>
      </c>
      <c r="AX124" s="34">
        <f>AF124+AM124+AT124</f>
        <v/>
      </c>
      <c r="AY124" s="34">
        <f>AB124+AI124+AP124</f>
        <v/>
      </c>
      <c r="AZ124" s="34" t="n">
        <v>0</v>
      </c>
      <c r="BA124" s="34">
        <f>AD124+AK124+AR124</f>
        <v/>
      </c>
      <c r="BB124" s="34">
        <f>MAX(F124:G124,750)*0.05*BA124</f>
        <v/>
      </c>
      <c r="BC124" s="34">
        <f>AG124+AN124+AU124</f>
        <v/>
      </c>
      <c r="BD124" s="34">
        <f>MAX(F124:G124,750)*0.05*BC124</f>
        <v/>
      </c>
      <c r="BE124" s="34">
        <f>F124*AY124</f>
        <v/>
      </c>
      <c r="BF124" s="34">
        <f>K124-M124</f>
        <v/>
      </c>
      <c r="BG124" s="34">
        <f>P124-S124</f>
        <v/>
      </c>
      <c r="BH124" s="34">
        <f>W124-AA124</f>
        <v/>
      </c>
      <c r="BI124" s="34">
        <f>BF124+BG124+BL124-BN124</f>
        <v/>
      </c>
      <c r="BJ124" s="34">
        <f>ABS(BK124)</f>
        <v/>
      </c>
      <c r="BK124" s="34">
        <f>AY124-(J124-L124+N124-Q124)</f>
        <v/>
      </c>
      <c r="BL124" s="34">
        <f>IF(AND(BK124&gt;0,MIN($F124:$G124)&lt;150,$E124="Enerji Açığı"),-100*BK124*1.03,IF(AND(BK124&gt;0,MIN($F124:$G124)&lt;150,$E124="Enerji Fazlası"),-100*BK124*1.06,IF(AND(BK124&gt;0,MIN($F124:$G124)&gt;=150,$E124="Enerji Açığı"),BK124*MIN($F124:$G124)*0.97,IF(AND(BK124&gt;0,MIN($F124:$G124)&gt;=150,$E124="Enerji Fazlası"),BK124*MIN($F124:$G124)*0.94,IF(AND(BK124&lt;0,MAX($F124:$G124)=4500,$E124="Enerji Açığı"),4500*1.05*1.06*BK124,IF(AND(BK124&lt;0,MAX($F124:$G124)=4500,$E124="Enerji Fazlası"),4500*1.05*1.03*BK124,IF(AND(BK124&lt;0,$E124="Enerji Açığı"),MAX($F124,$G124,150)*BK124*1.06,IF(AND(BK124&lt;0,$E124="Enerji Fazlası"),MAX($F124,$G124,150)*BK124*1.03,IF(AND(BK124&lt;0,$E124="Dengede"),MAX($F124:$G124,150)*1.03*BK124,MIN($F124:$G124)*0.97*BK124)))))))))</f>
        <v/>
      </c>
      <c r="BM124" s="34">
        <f>BE124-BI124-BN124</f>
        <v/>
      </c>
      <c r="BN124" s="34">
        <f>BB124</f>
        <v/>
      </c>
      <c r="BO124" s="34">
        <f>BE124-BI124</f>
        <v/>
      </c>
      <c r="BP124" s="34">
        <f>IF(AY124=0,0,BO124/AY124)</f>
        <v/>
      </c>
      <c r="BQ124" s="34">
        <f>MAX((AY124+MAX((-J124+L124-N124+Q124),0)),(MAX((J124-L124+N124-Q124),0)))</f>
        <v/>
      </c>
      <c r="BR124" s="82">
        <f>IFERROR(ABS(BK124/BQ124),0)</f>
        <v/>
      </c>
      <c r="BS124" s="34">
        <f>IF(BR124&lt;=0.1,0,BK124/BR124*(BR124-0.1))</f>
        <v/>
      </c>
      <c r="BT124" s="34">
        <f>IF((BS124)&lt;0,MAX(F124:G124)*(BS124)*1.03,MIN(F124:G124)*(BS124)*0.97)</f>
        <v/>
      </c>
      <c r="BU124" s="34">
        <f>IF(BR124&gt;0.1,1,0)</f>
        <v/>
      </c>
      <c r="BV124" s="34">
        <f>BF124+BG124+BH124+BY124-CA124</f>
        <v/>
      </c>
      <c r="BW124" s="34">
        <f>ABS(BX124)</f>
        <v/>
      </c>
      <c r="BX124" s="34">
        <f>AY124-(J124-L124+N124-Q124+T124-X124)</f>
        <v/>
      </c>
      <c r="BY124" s="34">
        <f>IF(AND(BX124&gt;0,MIN($F124:$G124)&lt;150,$E124="Enerji Açığı"),-100*BX124*1.03,IF(AND(BX124&gt;0,MIN($F124:$G124)&lt;150,$E124="Enerji Fazlası"),-100*BX124*1.06,IF(AND(BX124&gt;0,MIN($F124:$G124)&gt;=150,$E124="Enerji Açığı"),BX124*MIN($F124:$G124)*0.97,IF(AND(BX124&gt;0,MIN($F124:$G124)&gt;=150,$E124="Enerji Fazlası"),BX124*MIN($F124:$G124)*0.94,IF(AND(BX124&lt;0,MAX($F124:$G124)=4500,$E124="Enerji Açığı"),4500*1.05*1.06*BX124,IF(AND(BX124&lt;0,MAX($F124:$G124)=4500,$E124="Enerji Fazlası"),4500*1.05*1.03*BX124,IF(AND(BX124&lt;0,$E124="Enerji Açığı"),MAX($F124,$G124,150)*BX124*1.06,IF(AND(BX124&lt;0,$E124="Enerji Fazlası"),MAX($F124,$G124,150)*BX124*1.03,IF(AND(BX124&lt;0,$E124="Dengede"),MAX($F124:$G124,150)*1.03*BX124,MIN($F124:$G124)*0.97*BX124)))))))))</f>
        <v/>
      </c>
      <c r="BZ124" s="34">
        <f>BE124-BV124-CA124</f>
        <v/>
      </c>
      <c r="CA124" s="34">
        <f>BD124</f>
        <v/>
      </c>
      <c r="CB124" s="33">
        <f>BE124-BV124</f>
        <v/>
      </c>
      <c r="CC124" s="34">
        <f>IF(AY124=0,0,CB124/AY124)</f>
        <v/>
      </c>
      <c r="CD124" s="34">
        <f>MAX((AY124+MAX((-J124+L124-N124+Q124-T124+X124),0)),(MAX((J124-L124+N124-Q124+T124-X124),0)))</f>
        <v/>
      </c>
      <c r="CE124" s="82">
        <f>IFERROR(ABS(BX124/CD124),0)</f>
        <v/>
      </c>
      <c r="CF124" s="34">
        <f>IF(CE124&lt;=0.1,0,BX124/CE124*(CE124-0.1))</f>
        <v/>
      </c>
      <c r="CG124" s="34">
        <f>IF((CF124)&lt;0,MAX(F124:G124)*(CF124)*1.03,MIN(F124:G124)*(CF124)*0.97)</f>
        <v/>
      </c>
      <c r="CH124" s="34">
        <f>IF(CE124&gt;0.1,1,0)</f>
        <v/>
      </c>
      <c r="CI124" s="34">
        <f>(F124*BX124)-BY124</f>
        <v/>
      </c>
      <c r="CJ124" s="34">
        <f>IF(AY124=0,0,CI124/AY124)</f>
        <v/>
      </c>
    </row>
    <row r="125">
      <c r="A125" s="29" t="n">
        <v>46209.08333333334</v>
      </c>
      <c r="B125" s="29" t="inlineStr">
        <is>
          <t>02:00</t>
        </is>
      </c>
      <c r="C125" s="35">
        <f>INT(A125)</f>
        <v/>
      </c>
      <c r="D125" s="36">
        <f>MONTH(A125)</f>
        <v/>
      </c>
      <c r="E125" s="147" t="inlineStr">
        <is>
          <t>Enerji Fazlası</t>
        </is>
      </c>
      <c r="F125" s="30" t="n">
        <v>1899.99</v>
      </c>
      <c r="G125" s="30" t="n">
        <v>500</v>
      </c>
      <c r="H125" s="30" t="n">
        <v>40.74</v>
      </c>
      <c r="I125" s="30" t="n">
        <v>1555.38</v>
      </c>
      <c r="J125" s="119" t="n">
        <v>0</v>
      </c>
      <c r="K125" s="34">
        <f>F125*J125</f>
        <v/>
      </c>
      <c r="L125" s="119" t="n">
        <v>0</v>
      </c>
      <c r="M125" s="34">
        <f>L125*F125</f>
        <v/>
      </c>
      <c r="N125" s="119" t="n">
        <v>21</v>
      </c>
      <c r="O125" s="34">
        <f>F125</f>
        <v/>
      </c>
      <c r="P125" s="34">
        <f>N125*O125</f>
        <v/>
      </c>
      <c r="Q125" s="117" t="n">
        <v>0</v>
      </c>
      <c r="R125" s="34">
        <f>F125</f>
        <v/>
      </c>
      <c r="S125" s="34">
        <f>R125*Q125</f>
        <v/>
      </c>
      <c r="T125" s="34" t="n"/>
      <c r="U125" s="34">
        <f>IFERROR(W125/T125,0)</f>
        <v/>
      </c>
      <c r="V125" s="34">
        <f>IF(U125=0,0,U125-F125)</f>
        <v/>
      </c>
      <c r="W125" s="34" t="n"/>
      <c r="X125" s="34" t="n"/>
      <c r="Y125" s="34">
        <f>IFERROR(AA125/X125,0)</f>
        <v/>
      </c>
      <c r="Z125" s="34">
        <f>IF(Y125=0,0,F125-Y125)</f>
        <v/>
      </c>
      <c r="AA125" s="34" t="n"/>
      <c r="AB125" s="34" t="n">
        <v>0</v>
      </c>
      <c r="AC125" s="34" t="n">
        <v>0</v>
      </c>
      <c r="AD125" s="34">
        <f>IF(AB125&gt;AC125*1.05,AB125-AC125*1.05,IF(AB125&lt;AC125*0.95,AC125*0.95-AB125,0))</f>
        <v/>
      </c>
      <c r="AE125" s="34">
        <f>MAX(F125,G125,750)*0.05*AD125</f>
        <v/>
      </c>
      <c r="AF125" s="34" t="n">
        <v>0</v>
      </c>
      <c r="AG125" s="34">
        <f>IF(AB125&gt;AF125*1.05,AB125-AF125*1.05,IF(AB125&lt;AF125*0.95,AF125*0.95-AB125,0))</f>
        <v/>
      </c>
      <c r="AH125" s="34">
        <f>MAX(I125,J125,750)*0.05*AG125</f>
        <v/>
      </c>
      <c r="AI125" t="n">
        <v>9.140000000000001</v>
      </c>
      <c r="AJ125" t="n">
        <v>9</v>
      </c>
      <c r="AK125" s="34">
        <f>IF(AI125&gt;AJ125*1.05,AI125-AJ125*1.05,IF(AI125&lt;AJ125*0.95,AJ125*0.95-AI125,0))</f>
        <v/>
      </c>
      <c r="AL125" s="34">
        <f>MAX(F125,G125,750)*0.05*AK125</f>
        <v/>
      </c>
      <c r="AM125" s="39" t="n">
        <v>9</v>
      </c>
      <c r="AN125" s="34">
        <f>IF(AI125&gt;AM125*1.05,AI125-AM125*1.05,IF(AI125&lt;AM125*0.95,AM125*0.95-AI125,0))</f>
        <v/>
      </c>
      <c r="AO125" s="34">
        <f>MAX(F125,G125,750)*0.05*AN125</f>
        <v/>
      </c>
      <c r="AP125" s="34" t="n">
        <v>12.16</v>
      </c>
      <c r="AQ125" s="34" t="n">
        <v>12</v>
      </c>
      <c r="AR125" s="34">
        <f>IF(AP125&gt;AQ125*1.05,AP125-AQ125*1.05,IF(AP125&lt;AQ125*0.95,AQ125*0.95-AP125,0))</f>
        <v/>
      </c>
      <c r="AS125" s="34">
        <f>MAX(F125:G125,750)*0.05*AR125</f>
        <v/>
      </c>
      <c r="AT125" t="n">
        <v>12</v>
      </c>
      <c r="AU125" s="34">
        <f>IF(AP125&gt;AT125*1.05,AP125-AT125*1.05,IF(AP125&lt;AT125*0.95,AT125*0.95-AP125,0))</f>
        <v/>
      </c>
      <c r="AV125" s="34">
        <f>MAX(F125:G125,750)*0.05*AU125</f>
        <v/>
      </c>
      <c r="AW125" s="34">
        <f>AC125+AJ125+AQ125</f>
        <v/>
      </c>
      <c r="AX125" s="34">
        <f>AF125+AM125+AT125</f>
        <v/>
      </c>
      <c r="AY125" s="34">
        <f>AB125+AI125+AP125</f>
        <v/>
      </c>
      <c r="AZ125" s="34" t="n">
        <v>0</v>
      </c>
      <c r="BA125" s="34">
        <f>AD125+AK125+AR125</f>
        <v/>
      </c>
      <c r="BB125" s="34">
        <f>MAX(F125:G125,750)*0.05*BA125</f>
        <v/>
      </c>
      <c r="BC125" s="34">
        <f>AG125+AN125+AU125</f>
        <v/>
      </c>
      <c r="BD125" s="34">
        <f>MAX(F125:G125,750)*0.05*BC125</f>
        <v/>
      </c>
      <c r="BE125" s="34">
        <f>F125*AY125</f>
        <v/>
      </c>
      <c r="BF125" s="34">
        <f>K125-M125</f>
        <v/>
      </c>
      <c r="BG125" s="34">
        <f>P125-S125</f>
        <v/>
      </c>
      <c r="BH125" s="34">
        <f>W125-AA125</f>
        <v/>
      </c>
      <c r="BI125" s="34">
        <f>BF125+BG125+BL125-BN125</f>
        <v/>
      </c>
      <c r="BJ125" s="34">
        <f>ABS(BK125)</f>
        <v/>
      </c>
      <c r="BK125" s="34">
        <f>AY125-(J125-L125+N125-Q125)</f>
        <v/>
      </c>
      <c r="BL125" s="34">
        <f>IF(AND(BK125&gt;0,MIN($F125:$G125)&lt;150,$E125="Enerji Açığı"),-100*BK125*1.03,IF(AND(BK125&gt;0,MIN($F125:$G125)&lt;150,$E125="Enerji Fazlası"),-100*BK125*1.06,IF(AND(BK125&gt;0,MIN($F125:$G125)&gt;=150,$E125="Enerji Açığı"),BK125*MIN($F125:$G125)*0.97,IF(AND(BK125&gt;0,MIN($F125:$G125)&gt;=150,$E125="Enerji Fazlası"),BK125*MIN($F125:$G125)*0.94,IF(AND(BK125&lt;0,MAX($F125:$G125)=4500,$E125="Enerji Açığı"),4500*1.05*1.06*BK125,IF(AND(BK125&lt;0,MAX($F125:$G125)=4500,$E125="Enerji Fazlası"),4500*1.05*1.03*BK125,IF(AND(BK125&lt;0,$E125="Enerji Açığı"),MAX($F125,$G125,150)*BK125*1.06,IF(AND(BK125&lt;0,$E125="Enerji Fazlası"),MAX($F125,$G125,150)*BK125*1.03,IF(AND(BK125&lt;0,$E125="Dengede"),MAX($F125:$G125,150)*1.03*BK125,MIN($F125:$G125)*0.97*BK125)))))))))</f>
        <v/>
      </c>
      <c r="BM125" s="34">
        <f>BE125-BI125-BN125</f>
        <v/>
      </c>
      <c r="BN125" s="34">
        <f>BB125</f>
        <v/>
      </c>
      <c r="BO125" s="34">
        <f>BE125-BI125</f>
        <v/>
      </c>
      <c r="BP125" s="34">
        <f>IF(AY125=0,0,BO125/AY125)</f>
        <v/>
      </c>
      <c r="BQ125" s="34">
        <f>MAX((AY125+MAX((-J125+L125-N125+Q125),0)),(MAX((J125-L125+N125-Q125),0)))</f>
        <v/>
      </c>
      <c r="BR125" s="82">
        <f>IFERROR(ABS(BK125/BQ125),0)</f>
        <v/>
      </c>
      <c r="BS125" s="34">
        <f>IF(BR125&lt;=0.1,0,BK125/BR125*(BR125-0.1))</f>
        <v/>
      </c>
      <c r="BT125" s="34">
        <f>IF((BS125)&lt;0,MAX(F125:G125)*(BS125)*1.03,MIN(F125:G125)*(BS125)*0.97)</f>
        <v/>
      </c>
      <c r="BU125" s="34">
        <f>IF(BR125&gt;0.1,1,0)</f>
        <v/>
      </c>
      <c r="BV125" s="34">
        <f>BF125+BG125+BH125+BY125-CA125</f>
        <v/>
      </c>
      <c r="BW125" s="34">
        <f>ABS(BX125)</f>
        <v/>
      </c>
      <c r="BX125" s="34">
        <f>AY125-(J125-L125+N125-Q125+T125-X125)</f>
        <v/>
      </c>
      <c r="BY125" s="34">
        <f>IF(AND(BX125&gt;0,MIN($F125:$G125)&lt;150,$E125="Enerji Açığı"),-100*BX125*1.03,IF(AND(BX125&gt;0,MIN($F125:$G125)&lt;150,$E125="Enerji Fazlası"),-100*BX125*1.06,IF(AND(BX125&gt;0,MIN($F125:$G125)&gt;=150,$E125="Enerji Açığı"),BX125*MIN($F125:$G125)*0.97,IF(AND(BX125&gt;0,MIN($F125:$G125)&gt;=150,$E125="Enerji Fazlası"),BX125*MIN($F125:$G125)*0.94,IF(AND(BX125&lt;0,MAX($F125:$G125)=4500,$E125="Enerji Açığı"),4500*1.05*1.06*BX125,IF(AND(BX125&lt;0,MAX($F125:$G125)=4500,$E125="Enerji Fazlası"),4500*1.05*1.03*BX125,IF(AND(BX125&lt;0,$E125="Enerji Açığı"),MAX($F125,$G125,150)*BX125*1.06,IF(AND(BX125&lt;0,$E125="Enerji Fazlası"),MAX($F125,$G125,150)*BX125*1.03,IF(AND(BX125&lt;0,$E125="Dengede"),MAX($F125:$G125,150)*1.03*BX125,MIN($F125:$G125)*0.97*BX125)))))))))</f>
        <v/>
      </c>
      <c r="BZ125" s="34">
        <f>BE125-BV125-CA125</f>
        <v/>
      </c>
      <c r="CA125" s="34">
        <f>BD125</f>
        <v/>
      </c>
      <c r="CB125" s="33">
        <f>BE125-BV125</f>
        <v/>
      </c>
      <c r="CC125" s="34">
        <f>IF(AY125=0,0,CB125/AY125)</f>
        <v/>
      </c>
      <c r="CD125" s="34">
        <f>MAX((AY125+MAX((-J125+L125-N125+Q125-T125+X125),0)),(MAX((J125-L125+N125-Q125+T125-X125),0)))</f>
        <v/>
      </c>
      <c r="CE125" s="82">
        <f>IFERROR(ABS(BX125/CD125),0)</f>
        <v/>
      </c>
      <c r="CF125" s="34">
        <f>IF(CE125&lt;=0.1,0,BX125/CE125*(CE125-0.1))</f>
        <v/>
      </c>
      <c r="CG125" s="34">
        <f>IF((CF125)&lt;0,MAX(F125:G125)*(CF125)*1.03,MIN(F125:G125)*(CF125)*0.97)</f>
        <v/>
      </c>
      <c r="CH125" s="34">
        <f>IF(CE125&gt;0.1,1,0)</f>
        <v/>
      </c>
      <c r="CI125" s="34">
        <f>(F125*BX125)-BY125</f>
        <v/>
      </c>
      <c r="CJ125" s="34">
        <f>IF(AY125=0,0,CI125/AY125)</f>
        <v/>
      </c>
    </row>
    <row r="126">
      <c r="A126" s="29" t="n">
        <v>46209.125</v>
      </c>
      <c r="B126" s="29" t="inlineStr">
        <is>
          <t>03:00</t>
        </is>
      </c>
      <c r="C126" s="35">
        <f>INT(A126)</f>
        <v/>
      </c>
      <c r="D126" s="36">
        <f>MONTH(A126)</f>
        <v/>
      </c>
      <c r="E126" s="147" t="inlineStr">
        <is>
          <t>Enerji Fazlası</t>
        </is>
      </c>
      <c r="F126" s="30" t="n">
        <v>1750</v>
      </c>
      <c r="G126" s="30" t="n">
        <v>500</v>
      </c>
      <c r="H126" s="30" t="n">
        <v>37.53</v>
      </c>
      <c r="I126" s="30" t="n">
        <v>1608.9</v>
      </c>
      <c r="J126" s="119" t="n">
        <v>0</v>
      </c>
      <c r="K126" s="34">
        <f>F126*J126</f>
        <v/>
      </c>
      <c r="L126" s="119" t="n">
        <v>0</v>
      </c>
      <c r="M126" s="34">
        <f>L126*F126</f>
        <v/>
      </c>
      <c r="N126" s="119" t="n">
        <v>20</v>
      </c>
      <c r="O126" s="34">
        <f>F126</f>
        <v/>
      </c>
      <c r="P126" s="34">
        <f>N126*O126</f>
        <v/>
      </c>
      <c r="Q126" s="117" t="n">
        <v>0</v>
      </c>
      <c r="R126" s="34">
        <f>F126</f>
        <v/>
      </c>
      <c r="S126" s="34">
        <f>R126*Q126</f>
        <v/>
      </c>
      <c r="T126" s="34" t="n"/>
      <c r="U126" s="34">
        <f>IFERROR(W126/T126,0)</f>
        <v/>
      </c>
      <c r="V126" s="34">
        <f>IF(U126=0,0,U126-F126)</f>
        <v/>
      </c>
      <c r="W126" s="34" t="n"/>
      <c r="X126" s="34" t="n"/>
      <c r="Y126" s="34">
        <f>IFERROR(AA126/X126,0)</f>
        <v/>
      </c>
      <c r="Z126" s="34">
        <f>IF(Y126=0,0,F126-Y126)</f>
        <v/>
      </c>
      <c r="AA126" s="34" t="n"/>
      <c r="AB126" s="34" t="n">
        <v>0</v>
      </c>
      <c r="AC126" s="34" t="n">
        <v>0</v>
      </c>
      <c r="AD126" s="34">
        <f>IF(AB126&gt;AC126*1.05,AB126-AC126*1.05,IF(AB126&lt;AC126*0.95,AC126*0.95-AB126,0))</f>
        <v/>
      </c>
      <c r="AE126" s="34">
        <f>MAX(F126,G126,750)*0.05*AD126</f>
        <v/>
      </c>
      <c r="AF126" s="34" t="n">
        <v>0</v>
      </c>
      <c r="AG126" s="34">
        <f>IF(AB126&gt;AF126*1.05,AB126-AF126*1.05,IF(AB126&lt;AF126*0.95,AF126*0.95-AB126,0))</f>
        <v/>
      </c>
      <c r="AH126" s="34">
        <f>MAX(I126,J126,750)*0.05*AG126</f>
        <v/>
      </c>
      <c r="AI126" t="n">
        <v>8.09</v>
      </c>
      <c r="AJ126" t="n">
        <v>9</v>
      </c>
      <c r="AK126" s="34">
        <f>IF(AI126&gt;AJ126*1.05,AI126-AJ126*1.05,IF(AI126&lt;AJ126*0.95,AJ126*0.95-AI126,0))</f>
        <v/>
      </c>
      <c r="AL126" s="34">
        <f>MAX(F126,G126,750)*0.05*AK126</f>
        <v/>
      </c>
      <c r="AM126" s="39" t="n">
        <v>9</v>
      </c>
      <c r="AN126" s="34">
        <f>IF(AI126&gt;AM126*1.05,AI126-AM126*1.05,IF(AI126&lt;AM126*0.95,AM126*0.95-AI126,0))</f>
        <v/>
      </c>
      <c r="AO126" s="34">
        <f>MAX(F126,G126,750)*0.05*AN126</f>
        <v/>
      </c>
      <c r="AP126" s="34" t="n">
        <v>12.15</v>
      </c>
      <c r="AQ126" s="34" t="n">
        <v>11</v>
      </c>
      <c r="AR126" s="34">
        <f>IF(AP126&gt;AQ126*1.05,AP126-AQ126*1.05,IF(AP126&lt;AQ126*0.95,AQ126*0.95-AP126,0))</f>
        <v/>
      </c>
      <c r="AS126" s="34">
        <f>MAX(F126:G126,750)*0.05*AR126</f>
        <v/>
      </c>
      <c r="AT126" t="n">
        <v>11</v>
      </c>
      <c r="AU126" s="34">
        <f>IF(AP126&gt;AT126*1.05,AP126-AT126*1.05,IF(AP126&lt;AT126*0.95,AT126*0.95-AP126,0))</f>
        <v/>
      </c>
      <c r="AV126" s="34">
        <f>MAX(F126:G126,750)*0.05*AU126</f>
        <v/>
      </c>
      <c r="AW126" s="34">
        <f>AC126+AJ126+AQ126</f>
        <v/>
      </c>
      <c r="AX126" s="34">
        <f>AF126+AM126+AT126</f>
        <v/>
      </c>
      <c r="AY126" s="34">
        <f>AB126+AI126+AP126</f>
        <v/>
      </c>
      <c r="AZ126" s="34" t="n">
        <v>0</v>
      </c>
      <c r="BA126" s="34">
        <f>AD126+AK126+AR126</f>
        <v/>
      </c>
      <c r="BB126" s="34">
        <f>MAX(F126:G126,750)*0.05*BA126</f>
        <v/>
      </c>
      <c r="BC126" s="34">
        <f>AG126+AN126+AU126</f>
        <v/>
      </c>
      <c r="BD126" s="34">
        <f>MAX(F126:G126,750)*0.05*BC126</f>
        <v/>
      </c>
      <c r="BE126" s="34">
        <f>F126*AY126</f>
        <v/>
      </c>
      <c r="BF126" s="34">
        <f>K126-M126</f>
        <v/>
      </c>
      <c r="BG126" s="34">
        <f>P126-S126</f>
        <v/>
      </c>
      <c r="BH126" s="34">
        <f>W126-AA126</f>
        <v/>
      </c>
      <c r="BI126" s="34">
        <f>BF126+BG126+BL126-BN126</f>
        <v/>
      </c>
      <c r="BJ126" s="34">
        <f>ABS(BK126)</f>
        <v/>
      </c>
      <c r="BK126" s="34">
        <f>AY126-(J126-L126+N126-Q126)</f>
        <v/>
      </c>
      <c r="BL126" s="34">
        <f>IF(AND(BK126&gt;0,MIN($F126:$G126)&lt;150,$E126="Enerji Açığı"),-100*BK126*1.03,IF(AND(BK126&gt;0,MIN($F126:$G126)&lt;150,$E126="Enerji Fazlası"),-100*BK126*1.06,IF(AND(BK126&gt;0,MIN($F126:$G126)&gt;=150,$E126="Enerji Açığı"),BK126*MIN($F126:$G126)*0.97,IF(AND(BK126&gt;0,MIN($F126:$G126)&gt;=150,$E126="Enerji Fazlası"),BK126*MIN($F126:$G126)*0.94,IF(AND(BK126&lt;0,MAX($F126:$G126)=4500,$E126="Enerji Açığı"),4500*1.05*1.06*BK126,IF(AND(BK126&lt;0,MAX($F126:$G126)=4500,$E126="Enerji Fazlası"),4500*1.05*1.03*BK126,IF(AND(BK126&lt;0,$E126="Enerji Açığı"),MAX($F126,$G126,150)*BK126*1.06,IF(AND(BK126&lt;0,$E126="Enerji Fazlası"),MAX($F126,$G126,150)*BK126*1.03,IF(AND(BK126&lt;0,$E126="Dengede"),MAX($F126:$G126,150)*1.03*BK126,MIN($F126:$G126)*0.97*BK126)))))))))</f>
        <v/>
      </c>
      <c r="BM126" s="34">
        <f>BE126-BI126-BN126</f>
        <v/>
      </c>
      <c r="BN126" s="34">
        <f>BB126</f>
        <v/>
      </c>
      <c r="BO126" s="34">
        <f>BE126-BI126</f>
        <v/>
      </c>
      <c r="BP126" s="34">
        <f>IF(AY126=0,0,BO126/AY126)</f>
        <v/>
      </c>
      <c r="BQ126" s="34">
        <f>MAX((AY126+MAX((-J126+L126-N126+Q126),0)),(MAX((J126-L126+N126-Q126),0)))</f>
        <v/>
      </c>
      <c r="BR126" s="82">
        <f>IFERROR(ABS(BK126/BQ126),0)</f>
        <v/>
      </c>
      <c r="BS126" s="34">
        <f>IF(BR126&lt;=0.1,0,BK126/BR126*(BR126-0.1))</f>
        <v/>
      </c>
      <c r="BT126" s="34">
        <f>IF((BS126)&lt;0,MAX(F126:G126)*(BS126)*1.03,MIN(F126:G126)*(BS126)*0.97)</f>
        <v/>
      </c>
      <c r="BU126" s="34">
        <f>IF(BR126&gt;0.1,1,0)</f>
        <v/>
      </c>
      <c r="BV126" s="34">
        <f>BF126+BG126+BH126+BY126-CA126</f>
        <v/>
      </c>
      <c r="BW126" s="34">
        <f>ABS(BX126)</f>
        <v/>
      </c>
      <c r="BX126" s="34">
        <f>AY126-(J126-L126+N126-Q126+T126-X126)</f>
        <v/>
      </c>
      <c r="BY126" s="34">
        <f>IF(AND(BX126&gt;0,MIN($F126:$G126)&lt;150,$E126="Enerji Açığı"),-100*BX126*1.03,IF(AND(BX126&gt;0,MIN($F126:$G126)&lt;150,$E126="Enerji Fazlası"),-100*BX126*1.06,IF(AND(BX126&gt;0,MIN($F126:$G126)&gt;=150,$E126="Enerji Açığı"),BX126*MIN($F126:$G126)*0.97,IF(AND(BX126&gt;0,MIN($F126:$G126)&gt;=150,$E126="Enerji Fazlası"),BX126*MIN($F126:$G126)*0.94,IF(AND(BX126&lt;0,MAX($F126:$G126)=4500,$E126="Enerji Açığı"),4500*1.05*1.06*BX126,IF(AND(BX126&lt;0,MAX($F126:$G126)=4500,$E126="Enerji Fazlası"),4500*1.05*1.03*BX126,IF(AND(BX126&lt;0,$E126="Enerji Açığı"),MAX($F126,$G126,150)*BX126*1.06,IF(AND(BX126&lt;0,$E126="Enerji Fazlası"),MAX($F126,$G126,150)*BX126*1.03,IF(AND(BX126&lt;0,$E126="Dengede"),MAX($F126:$G126,150)*1.03*BX126,MIN($F126:$G126)*0.97*BX126)))))))))</f>
        <v/>
      </c>
      <c r="BZ126" s="34">
        <f>BE126-BV126-CA126</f>
        <v/>
      </c>
      <c r="CA126" s="34">
        <f>BD126</f>
        <v/>
      </c>
      <c r="CB126" s="33">
        <f>BE126-BV126</f>
        <v/>
      </c>
      <c r="CC126" s="34">
        <f>IF(AY126=0,0,CB126/AY126)</f>
        <v/>
      </c>
      <c r="CD126" s="34">
        <f>MAX((AY126+MAX((-J126+L126-N126+Q126-T126+X126),0)),(MAX((J126-L126+N126-Q126+T126-X126),0)))</f>
        <v/>
      </c>
      <c r="CE126" s="82">
        <f>IFERROR(ABS(BX126/CD126),0)</f>
        <v/>
      </c>
      <c r="CF126" s="34">
        <f>IF(CE126&lt;=0.1,0,BX126/CE126*(CE126-0.1))</f>
        <v/>
      </c>
      <c r="CG126" s="34">
        <f>IF((CF126)&lt;0,MAX(F126:G126)*(CF126)*1.03,MIN(F126:G126)*(CF126)*0.97)</f>
        <v/>
      </c>
      <c r="CH126" s="34">
        <f>IF(CE126&gt;0.1,1,0)</f>
        <v/>
      </c>
      <c r="CI126" s="34">
        <f>(F126*BX126)-BY126</f>
        <v/>
      </c>
      <c r="CJ126" s="34">
        <f>IF(AY126=0,0,CI126/AY126)</f>
        <v/>
      </c>
    </row>
    <row r="127">
      <c r="A127" s="29" t="n">
        <v>46209.16666666666</v>
      </c>
      <c r="B127" s="29" t="inlineStr">
        <is>
          <t>04:00</t>
        </is>
      </c>
      <c r="C127" s="35">
        <f>INT(A127)</f>
        <v/>
      </c>
      <c r="D127" s="36">
        <f>MONTH(A127)</f>
        <v/>
      </c>
      <c r="E127" s="147" t="inlineStr">
        <is>
          <t>Enerji Fazlası</t>
        </is>
      </c>
      <c r="F127" s="30" t="n">
        <v>2425.1</v>
      </c>
      <c r="G127" s="30" t="n">
        <v>500</v>
      </c>
      <c r="H127" s="30" t="n">
        <v>52</v>
      </c>
      <c r="I127" s="30" t="n">
        <v>2103.14</v>
      </c>
      <c r="J127" s="119" t="n">
        <v>0</v>
      </c>
      <c r="K127" s="34">
        <f>F127*J127</f>
        <v/>
      </c>
      <c r="L127" s="119" t="n">
        <v>0</v>
      </c>
      <c r="M127" s="34">
        <f>L127*F127</f>
        <v/>
      </c>
      <c r="N127" s="119" t="n">
        <v>20</v>
      </c>
      <c r="O127" s="34">
        <f>F127</f>
        <v/>
      </c>
      <c r="P127" s="34">
        <f>N127*O127</f>
        <v/>
      </c>
      <c r="Q127" s="117" t="n">
        <v>0</v>
      </c>
      <c r="R127" s="34">
        <f>F127</f>
        <v/>
      </c>
      <c r="S127" s="34">
        <f>R127*Q127</f>
        <v/>
      </c>
      <c r="T127" s="34" t="n"/>
      <c r="U127" s="34">
        <f>IFERROR(W127/T127,0)</f>
        <v/>
      </c>
      <c r="V127" s="34">
        <f>IF(U127=0,0,U127-F127)</f>
        <v/>
      </c>
      <c r="W127" s="34" t="n"/>
      <c r="X127" s="34" t="n"/>
      <c r="Y127" s="34">
        <f>IFERROR(AA127/X127,0)</f>
        <v/>
      </c>
      <c r="Z127" s="34">
        <f>IF(Y127=0,0,F127-Y127)</f>
        <v/>
      </c>
      <c r="AA127" s="34" t="n"/>
      <c r="AB127" s="34" t="n">
        <v>0</v>
      </c>
      <c r="AC127" s="34" t="n">
        <v>0</v>
      </c>
      <c r="AD127" s="34">
        <f>IF(AB127&gt;AC127*1.05,AB127-AC127*1.05,IF(AB127&lt;AC127*0.95,AC127*0.95-AB127,0))</f>
        <v/>
      </c>
      <c r="AE127" s="34">
        <f>MAX(F127,G127,750)*0.05*AD127</f>
        <v/>
      </c>
      <c r="AF127" s="34" t="n">
        <v>0</v>
      </c>
      <c r="AG127" s="34">
        <f>IF(AB127&gt;AF127*1.05,AB127-AF127*1.05,IF(AB127&lt;AF127*0.95,AF127*0.95-AB127,0))</f>
        <v/>
      </c>
      <c r="AH127" s="34">
        <f>MAX(I127,J127,750)*0.05*AG127</f>
        <v/>
      </c>
      <c r="AI127" t="n">
        <v>9.06</v>
      </c>
      <c r="AJ127" t="n">
        <v>9</v>
      </c>
      <c r="AK127" s="34">
        <f>IF(AI127&gt;AJ127*1.05,AI127-AJ127*1.05,IF(AI127&lt;AJ127*0.95,AJ127*0.95-AI127,0))</f>
        <v/>
      </c>
      <c r="AL127" s="34">
        <f>MAX(F127,G127,750)*0.05*AK127</f>
        <v/>
      </c>
      <c r="AM127" s="39" t="n">
        <v>9</v>
      </c>
      <c r="AN127" s="34">
        <f>IF(AI127&gt;AM127*1.05,AI127-AM127*1.05,IF(AI127&lt;AM127*0.95,AM127*0.95-AI127,0))</f>
        <v/>
      </c>
      <c r="AO127" s="34">
        <f>MAX(F127,G127,750)*0.05*AN127</f>
        <v/>
      </c>
      <c r="AP127" s="34" t="n">
        <v>11.18</v>
      </c>
      <c r="AQ127" s="34" t="n">
        <v>11</v>
      </c>
      <c r="AR127" s="34">
        <f>IF(AP127&gt;AQ127*1.05,AP127-AQ127*1.05,IF(AP127&lt;AQ127*0.95,AQ127*0.95-AP127,0))</f>
        <v/>
      </c>
      <c r="AS127" s="34">
        <f>MAX(F127:G127,750)*0.05*AR127</f>
        <v/>
      </c>
      <c r="AT127" t="n">
        <v>11</v>
      </c>
      <c r="AU127" s="34">
        <f>IF(AP127&gt;AT127*1.05,AP127-AT127*1.05,IF(AP127&lt;AT127*0.95,AT127*0.95-AP127,0))</f>
        <v/>
      </c>
      <c r="AV127" s="34">
        <f>MAX(F127:G127,750)*0.05*AU127</f>
        <v/>
      </c>
      <c r="AW127" s="34">
        <f>AC127+AJ127+AQ127</f>
        <v/>
      </c>
      <c r="AX127" s="34">
        <f>AF127+AM127+AT127</f>
        <v/>
      </c>
      <c r="AY127" s="34">
        <f>AB127+AI127+AP127</f>
        <v/>
      </c>
      <c r="AZ127" s="34" t="n">
        <v>0</v>
      </c>
      <c r="BA127" s="34">
        <f>AD127+AK127+AR127</f>
        <v/>
      </c>
      <c r="BB127" s="34">
        <f>MAX(F127:G127,750)*0.05*BA127</f>
        <v/>
      </c>
      <c r="BC127" s="34">
        <f>AG127+AN127+AU127</f>
        <v/>
      </c>
      <c r="BD127" s="34">
        <f>MAX(F127:G127,750)*0.05*BC127</f>
        <v/>
      </c>
      <c r="BE127" s="34">
        <f>F127*AY127</f>
        <v/>
      </c>
      <c r="BF127" s="34">
        <f>K127-M127</f>
        <v/>
      </c>
      <c r="BG127" s="34">
        <f>P127-S127</f>
        <v/>
      </c>
      <c r="BH127" s="34">
        <f>W127-AA127</f>
        <v/>
      </c>
      <c r="BI127" s="34">
        <f>BF127+BG127+BL127-BN127</f>
        <v/>
      </c>
      <c r="BJ127" s="34">
        <f>ABS(BK127)</f>
        <v/>
      </c>
      <c r="BK127" s="34">
        <f>AY127-(J127-L127+N127-Q127)</f>
        <v/>
      </c>
      <c r="BL127" s="34">
        <f>IF(AND(BK127&gt;0,MIN($F127:$G127)&lt;150,$E127="Enerji Açığı"),-100*BK127*1.03,IF(AND(BK127&gt;0,MIN($F127:$G127)&lt;150,$E127="Enerji Fazlası"),-100*BK127*1.06,IF(AND(BK127&gt;0,MIN($F127:$G127)&gt;=150,$E127="Enerji Açığı"),BK127*MIN($F127:$G127)*0.97,IF(AND(BK127&gt;0,MIN($F127:$G127)&gt;=150,$E127="Enerji Fazlası"),BK127*MIN($F127:$G127)*0.94,IF(AND(BK127&lt;0,MAX($F127:$G127)=4500,$E127="Enerji Açığı"),4500*1.05*1.06*BK127,IF(AND(BK127&lt;0,MAX($F127:$G127)=4500,$E127="Enerji Fazlası"),4500*1.05*1.03*BK127,IF(AND(BK127&lt;0,$E127="Enerji Açığı"),MAX($F127,$G127,150)*BK127*1.06,IF(AND(BK127&lt;0,$E127="Enerji Fazlası"),MAX($F127,$G127,150)*BK127*1.03,IF(AND(BK127&lt;0,$E127="Dengede"),MAX($F127:$G127,150)*1.03*BK127,MIN($F127:$G127)*0.97*BK127)))))))))</f>
        <v/>
      </c>
      <c r="BM127" s="34">
        <f>BE127-BI127-BN127</f>
        <v/>
      </c>
      <c r="BN127" s="34">
        <f>BB127</f>
        <v/>
      </c>
      <c r="BO127" s="34">
        <f>BE127-BI127</f>
        <v/>
      </c>
      <c r="BP127" s="34">
        <f>IF(AY127=0,0,BO127/AY127)</f>
        <v/>
      </c>
      <c r="BQ127" s="34">
        <f>MAX((AY127+MAX((-J127+L127-N127+Q127),0)),(MAX((J127-L127+N127-Q127),0)))</f>
        <v/>
      </c>
      <c r="BR127" s="82">
        <f>IFERROR(ABS(BK127/BQ127),0)</f>
        <v/>
      </c>
      <c r="BS127" s="34">
        <f>IF(BR127&lt;=0.1,0,BK127/BR127*(BR127-0.1))</f>
        <v/>
      </c>
      <c r="BT127" s="34">
        <f>IF((BS127)&lt;0,MAX(F127:G127)*(BS127)*1.03,MIN(F127:G127)*(BS127)*0.97)</f>
        <v/>
      </c>
      <c r="BU127" s="34">
        <f>IF(BR127&gt;0.1,1,0)</f>
        <v/>
      </c>
      <c r="BV127" s="34">
        <f>BF127+BG127+BH127+BY127-CA127</f>
        <v/>
      </c>
      <c r="BW127" s="34">
        <f>ABS(BX127)</f>
        <v/>
      </c>
      <c r="BX127" s="34">
        <f>AY127-(J127-L127+N127-Q127+T127-X127)</f>
        <v/>
      </c>
      <c r="BY127" s="34">
        <f>IF(AND(BX127&gt;0,MIN($F127:$G127)&lt;150,$E127="Enerji Açığı"),-100*BX127*1.03,IF(AND(BX127&gt;0,MIN($F127:$G127)&lt;150,$E127="Enerji Fazlası"),-100*BX127*1.06,IF(AND(BX127&gt;0,MIN($F127:$G127)&gt;=150,$E127="Enerji Açığı"),BX127*MIN($F127:$G127)*0.97,IF(AND(BX127&gt;0,MIN($F127:$G127)&gt;=150,$E127="Enerji Fazlası"),BX127*MIN($F127:$G127)*0.94,IF(AND(BX127&lt;0,MAX($F127:$G127)=4500,$E127="Enerji Açığı"),4500*1.05*1.06*BX127,IF(AND(BX127&lt;0,MAX($F127:$G127)=4500,$E127="Enerji Fazlası"),4500*1.05*1.03*BX127,IF(AND(BX127&lt;0,$E127="Enerji Açığı"),MAX($F127,$G127,150)*BX127*1.06,IF(AND(BX127&lt;0,$E127="Enerji Fazlası"),MAX($F127,$G127,150)*BX127*1.03,IF(AND(BX127&lt;0,$E127="Dengede"),MAX($F127:$G127,150)*1.03*BX127,MIN($F127:$G127)*0.97*BX127)))))))))</f>
        <v/>
      </c>
      <c r="BZ127" s="34">
        <f>BE127-BV127-CA127</f>
        <v/>
      </c>
      <c r="CA127" s="34">
        <f>BD127</f>
        <v/>
      </c>
      <c r="CB127" s="33">
        <f>BE127-BV127</f>
        <v/>
      </c>
      <c r="CC127" s="34">
        <f>IF(AY127=0,0,CB127/AY127)</f>
        <v/>
      </c>
      <c r="CD127" s="34">
        <f>MAX((AY127+MAX((-J127+L127-N127+Q127-T127+X127),0)),(MAX((J127-L127+N127-Q127+T127-X127),0)))</f>
        <v/>
      </c>
      <c r="CE127" s="82">
        <f>IFERROR(ABS(BX127/CD127),0)</f>
        <v/>
      </c>
      <c r="CF127" s="34">
        <f>IF(CE127&lt;=0.1,0,BX127/CE127*(CE127-0.1))</f>
        <v/>
      </c>
      <c r="CG127" s="34">
        <f>IF((CF127)&lt;0,MAX(F127:G127)*(CF127)*1.03,MIN(F127:G127)*(CF127)*0.97)</f>
        <v/>
      </c>
      <c r="CH127" s="34">
        <f>IF(CE127&gt;0.1,1,0)</f>
        <v/>
      </c>
      <c r="CI127" s="34">
        <f>(F127*BX127)-BY127</f>
        <v/>
      </c>
      <c r="CJ127" s="34">
        <f>IF(AY127=0,0,CI127/AY127)</f>
        <v/>
      </c>
    </row>
    <row r="128">
      <c r="A128" s="29" t="n">
        <v>46209.20833333334</v>
      </c>
      <c r="B128" s="29" t="inlineStr">
        <is>
          <t>05:00</t>
        </is>
      </c>
      <c r="C128" s="35">
        <f>INT(A128)</f>
        <v/>
      </c>
      <c r="D128" s="36">
        <f>MONTH(A128)</f>
        <v/>
      </c>
      <c r="E128" s="147" t="inlineStr">
        <is>
          <t>Enerji Fazlası</t>
        </is>
      </c>
      <c r="F128" s="30" t="n">
        <v>1500</v>
      </c>
      <c r="G128" s="30" t="n">
        <v>487</v>
      </c>
      <c r="H128" s="30" t="n">
        <v>32.17</v>
      </c>
      <c r="I128" s="30" t="n">
        <v>1268.64</v>
      </c>
      <c r="J128" s="119" t="n">
        <v>0</v>
      </c>
      <c r="K128" s="34">
        <f>F128*J128</f>
        <v/>
      </c>
      <c r="L128" s="119" t="n">
        <v>0</v>
      </c>
      <c r="M128" s="34">
        <f>L128*F128</f>
        <v/>
      </c>
      <c r="N128" s="119" t="n">
        <v>20</v>
      </c>
      <c r="O128" s="34">
        <f>F128</f>
        <v/>
      </c>
      <c r="P128" s="34">
        <f>N128*O128</f>
        <v/>
      </c>
      <c r="Q128" s="117" t="n">
        <v>0</v>
      </c>
      <c r="R128" s="34">
        <f>F128</f>
        <v/>
      </c>
      <c r="S128" s="34">
        <f>R128*Q128</f>
        <v/>
      </c>
      <c r="T128" s="34" t="n"/>
      <c r="U128" s="34">
        <f>IFERROR(W128/T128,0)</f>
        <v/>
      </c>
      <c r="V128" s="34">
        <f>IF(U128=0,0,U128-F128)</f>
        <v/>
      </c>
      <c r="W128" s="34" t="n"/>
      <c r="X128" s="34" t="n"/>
      <c r="Y128" s="34">
        <f>IFERROR(AA128/X128,0)</f>
        <v/>
      </c>
      <c r="Z128" s="34">
        <f>IF(Y128=0,0,F128-Y128)</f>
        <v/>
      </c>
      <c r="AA128" s="34" t="n"/>
      <c r="AB128" s="34" t="n">
        <v>0</v>
      </c>
      <c r="AC128" s="34" t="n">
        <v>0</v>
      </c>
      <c r="AD128" s="34">
        <f>IF(AB128&gt;AC128*1.05,AB128-AC128*1.05,IF(AB128&lt;AC128*0.95,AC128*0.95-AB128,0))</f>
        <v/>
      </c>
      <c r="AE128" s="34">
        <f>MAX(F128,G128,750)*0.05*AD128</f>
        <v/>
      </c>
      <c r="AF128" s="34" t="n">
        <v>0</v>
      </c>
      <c r="AG128" s="34">
        <f>IF(AB128&gt;AF128*1.05,AB128-AF128*1.05,IF(AB128&lt;AF128*0.95,AF128*0.95-AB128,0))</f>
        <v/>
      </c>
      <c r="AH128" s="34">
        <f>MAX(I128,J128,750)*0.05*AG128</f>
        <v/>
      </c>
      <c r="AI128" t="n">
        <v>9.039999999999999</v>
      </c>
      <c r="AJ128" t="n">
        <v>9</v>
      </c>
      <c r="AK128" s="34">
        <f>IF(AI128&gt;AJ128*1.05,AI128-AJ128*1.05,IF(AI128&lt;AJ128*0.95,AJ128*0.95-AI128,0))</f>
        <v/>
      </c>
      <c r="AL128" s="34">
        <f>MAX(F128,G128,750)*0.05*AK128</f>
        <v/>
      </c>
      <c r="AM128" s="39" t="n">
        <v>9</v>
      </c>
      <c r="AN128" s="34">
        <f>IF(AI128&gt;AM128*1.05,AI128-AM128*1.05,IF(AI128&lt;AM128*0.95,AM128*0.95-AI128,0))</f>
        <v/>
      </c>
      <c r="AO128" s="34">
        <f>MAX(F128,G128,750)*0.05*AN128</f>
        <v/>
      </c>
      <c r="AP128" s="34" t="n">
        <v>11.1</v>
      </c>
      <c r="AQ128" s="34" t="n">
        <v>11</v>
      </c>
      <c r="AR128" s="34">
        <f>IF(AP128&gt;AQ128*1.05,AP128-AQ128*1.05,IF(AP128&lt;AQ128*0.95,AQ128*0.95-AP128,0))</f>
        <v/>
      </c>
      <c r="AS128" s="34">
        <f>MAX(F128:G128,750)*0.05*AR128</f>
        <v/>
      </c>
      <c r="AT128" t="n">
        <v>11</v>
      </c>
      <c r="AU128" s="34">
        <f>IF(AP128&gt;AT128*1.05,AP128-AT128*1.05,IF(AP128&lt;AT128*0.95,AT128*0.95-AP128,0))</f>
        <v/>
      </c>
      <c r="AV128" s="34">
        <f>MAX(F128:G128,750)*0.05*AU128</f>
        <v/>
      </c>
      <c r="AW128" s="34">
        <f>AC128+AJ128+AQ128</f>
        <v/>
      </c>
      <c r="AX128" s="34">
        <f>AF128+AM128+AT128</f>
        <v/>
      </c>
      <c r="AY128" s="34">
        <f>AB128+AI128+AP128</f>
        <v/>
      </c>
      <c r="AZ128" s="34" t="n">
        <v>0</v>
      </c>
      <c r="BA128" s="34">
        <f>AD128+AK128+AR128</f>
        <v/>
      </c>
      <c r="BB128" s="34">
        <f>MAX(F128:G128,750)*0.05*BA128</f>
        <v/>
      </c>
      <c r="BC128" s="34">
        <f>AG128+AN128+AU128</f>
        <v/>
      </c>
      <c r="BD128" s="34">
        <f>MAX(F128:G128,750)*0.05*BC128</f>
        <v/>
      </c>
      <c r="BE128" s="34">
        <f>F128*AY128</f>
        <v/>
      </c>
      <c r="BF128" s="34">
        <f>K128-M128</f>
        <v/>
      </c>
      <c r="BG128" s="34">
        <f>P128-S128</f>
        <v/>
      </c>
      <c r="BH128" s="34">
        <f>W128-AA128</f>
        <v/>
      </c>
      <c r="BI128" s="34">
        <f>BF128+BG128+BL128-BN128</f>
        <v/>
      </c>
      <c r="BJ128" s="34">
        <f>ABS(BK128)</f>
        <v/>
      </c>
      <c r="BK128" s="34">
        <f>AY128-(J128-L128+N128-Q128)</f>
        <v/>
      </c>
      <c r="BL128" s="34">
        <f>IF(AND(BK128&gt;0,MIN($F128:$G128)&lt;150,$E128="Enerji Açığı"),-100*BK128*1.03,IF(AND(BK128&gt;0,MIN($F128:$G128)&lt;150,$E128="Enerji Fazlası"),-100*BK128*1.06,IF(AND(BK128&gt;0,MIN($F128:$G128)&gt;=150,$E128="Enerji Açığı"),BK128*MIN($F128:$G128)*0.97,IF(AND(BK128&gt;0,MIN($F128:$G128)&gt;=150,$E128="Enerji Fazlası"),BK128*MIN($F128:$G128)*0.94,IF(AND(BK128&lt;0,MAX($F128:$G128)=4500,$E128="Enerji Açığı"),4500*1.05*1.06*BK128,IF(AND(BK128&lt;0,MAX($F128:$G128)=4500,$E128="Enerji Fazlası"),4500*1.05*1.03*BK128,IF(AND(BK128&lt;0,$E128="Enerji Açığı"),MAX($F128,$G128,150)*BK128*1.06,IF(AND(BK128&lt;0,$E128="Enerji Fazlası"),MAX($F128,$G128,150)*BK128*1.03,IF(AND(BK128&lt;0,$E128="Dengede"),MAX($F128:$G128,150)*1.03*BK128,MIN($F128:$G128)*0.97*BK128)))))))))</f>
        <v/>
      </c>
      <c r="BM128" s="34">
        <f>BE128-BI128-BN128</f>
        <v/>
      </c>
      <c r="BN128" s="34">
        <f>BB128</f>
        <v/>
      </c>
      <c r="BO128" s="34">
        <f>BE128-BI128</f>
        <v/>
      </c>
      <c r="BP128" s="34">
        <f>IF(AY128=0,0,BO128/AY128)</f>
        <v/>
      </c>
      <c r="BQ128" s="34">
        <f>MAX((AY128+MAX((-J128+L128-N128+Q128),0)),(MAX((J128-L128+N128-Q128),0)))</f>
        <v/>
      </c>
      <c r="BR128" s="82">
        <f>IFERROR(ABS(BK128/BQ128),0)</f>
        <v/>
      </c>
      <c r="BS128" s="34">
        <f>IF(BR128&lt;=0.1,0,BK128/BR128*(BR128-0.1))</f>
        <v/>
      </c>
      <c r="BT128" s="34">
        <f>IF((BS128)&lt;0,MAX(F128:G128)*(BS128)*1.03,MIN(F128:G128)*(BS128)*0.97)</f>
        <v/>
      </c>
      <c r="BU128" s="34">
        <f>IF(BR128&gt;0.1,1,0)</f>
        <v/>
      </c>
      <c r="BV128" s="34">
        <f>BF128+BG128+BH128+BY128-CA128</f>
        <v/>
      </c>
      <c r="BW128" s="34">
        <f>ABS(BX128)</f>
        <v/>
      </c>
      <c r="BX128" s="34">
        <f>AY128-(J128-L128+N128-Q128+T128-X128)</f>
        <v/>
      </c>
      <c r="BY128" s="34">
        <f>IF(AND(BX128&gt;0,MIN($F128:$G128)&lt;150,$E128="Enerji Açığı"),-100*BX128*1.03,IF(AND(BX128&gt;0,MIN($F128:$G128)&lt;150,$E128="Enerji Fazlası"),-100*BX128*1.06,IF(AND(BX128&gt;0,MIN($F128:$G128)&gt;=150,$E128="Enerji Açığı"),BX128*MIN($F128:$G128)*0.97,IF(AND(BX128&gt;0,MIN($F128:$G128)&gt;=150,$E128="Enerji Fazlası"),BX128*MIN($F128:$G128)*0.94,IF(AND(BX128&lt;0,MAX($F128:$G128)=4500,$E128="Enerji Açığı"),4500*1.05*1.06*BX128,IF(AND(BX128&lt;0,MAX($F128:$G128)=4500,$E128="Enerji Fazlası"),4500*1.05*1.03*BX128,IF(AND(BX128&lt;0,$E128="Enerji Açığı"),MAX($F128,$G128,150)*BX128*1.06,IF(AND(BX128&lt;0,$E128="Enerji Fazlası"),MAX($F128,$G128,150)*BX128*1.03,IF(AND(BX128&lt;0,$E128="Dengede"),MAX($F128:$G128,150)*1.03*BX128,MIN($F128:$G128)*0.97*BX128)))))))))</f>
        <v/>
      </c>
      <c r="BZ128" s="34">
        <f>BE128-BV128-CA128</f>
        <v/>
      </c>
      <c r="CA128" s="34">
        <f>BD128</f>
        <v/>
      </c>
      <c r="CB128" s="33">
        <f>BE128-BV128</f>
        <v/>
      </c>
      <c r="CC128" s="34">
        <f>IF(AY128=0,0,CB128/AY128)</f>
        <v/>
      </c>
      <c r="CD128" s="34">
        <f>MAX((AY128+MAX((-J128+L128-N128+Q128-T128+X128),0)),(MAX((J128-L128+N128-Q128+T128-X128),0)))</f>
        <v/>
      </c>
      <c r="CE128" s="82">
        <f>IFERROR(ABS(BX128/CD128),0)</f>
        <v/>
      </c>
      <c r="CF128" s="34">
        <f>IF(CE128&lt;=0.1,0,BX128/CE128*(CE128-0.1))</f>
        <v/>
      </c>
      <c r="CG128" s="34">
        <f>IF((CF128)&lt;0,MAX(F128:G128)*(CF128)*1.03,MIN(F128:G128)*(CF128)*0.97)</f>
        <v/>
      </c>
      <c r="CH128" s="34">
        <f>IF(CE128&gt;0.1,1,0)</f>
        <v/>
      </c>
      <c r="CI128" s="34">
        <f>(F128*BX128)-BY128</f>
        <v/>
      </c>
      <c r="CJ128" s="34">
        <f>IF(AY128=0,0,CI128/AY128)</f>
        <v/>
      </c>
    </row>
    <row r="129">
      <c r="A129" s="29" t="n">
        <v>46209.25</v>
      </c>
      <c r="B129" s="29" t="inlineStr">
        <is>
          <t>06:00</t>
        </is>
      </c>
      <c r="C129" s="35">
        <f>INT(A129)</f>
        <v/>
      </c>
      <c r="D129" s="36">
        <f>MONTH(A129)</f>
        <v/>
      </c>
      <c r="E129" s="147" t="inlineStr">
        <is>
          <t>Enerji Fazlası</t>
        </is>
      </c>
      <c r="F129" s="30" t="n">
        <v>1500</v>
      </c>
      <c r="G129" s="30" t="n">
        <v>200</v>
      </c>
      <c r="H129" s="30" t="n">
        <v>32.17</v>
      </c>
      <c r="I129" s="30" t="n">
        <v>1319.74</v>
      </c>
      <c r="J129" s="119" t="n">
        <v>0</v>
      </c>
      <c r="K129" s="34">
        <f>F129*J129</f>
        <v/>
      </c>
      <c r="L129" s="119" t="n">
        <v>0</v>
      </c>
      <c r="M129" s="34">
        <f>L129*F129</f>
        <v/>
      </c>
      <c r="N129" s="119" t="n">
        <v>22.2</v>
      </c>
      <c r="O129" s="34">
        <f>F129</f>
        <v/>
      </c>
      <c r="P129" s="34">
        <f>N129*O129</f>
        <v/>
      </c>
      <c r="Q129" s="117" t="n">
        <v>0</v>
      </c>
      <c r="R129" s="34">
        <f>F129</f>
        <v/>
      </c>
      <c r="S129" s="34">
        <f>R129*Q129</f>
        <v/>
      </c>
      <c r="T129" s="34" t="n"/>
      <c r="U129" s="34">
        <f>IFERROR(W129/T129,0)</f>
        <v/>
      </c>
      <c r="V129" s="34">
        <f>IF(U129=0,0,U129-F129)</f>
        <v/>
      </c>
      <c r="W129" s="34" t="n"/>
      <c r="X129" s="34" t="n"/>
      <c r="Y129" s="34">
        <f>IFERROR(AA129/X129,0)</f>
        <v/>
      </c>
      <c r="Z129" s="34">
        <f>IF(Y129=0,0,F129-Y129)</f>
        <v/>
      </c>
      <c r="AA129" s="34" t="n"/>
      <c r="AB129" s="34" t="n">
        <v>0</v>
      </c>
      <c r="AC129" s="34" t="n">
        <v>0</v>
      </c>
      <c r="AD129" s="34">
        <f>IF(AB129&gt;AC129*1.05,AB129-AC129*1.05,IF(AB129&lt;AC129*0.95,AC129*0.95-AB129,0))</f>
        <v/>
      </c>
      <c r="AE129" s="34">
        <f>MAX(F129,G129,750)*0.05*AD129</f>
        <v/>
      </c>
      <c r="AF129" s="34" t="n">
        <v>0</v>
      </c>
      <c r="AG129" s="34">
        <f>IF(AB129&gt;AF129*1.05,AB129-AF129*1.05,IF(AB129&lt;AF129*0.95,AF129*0.95-AB129,0))</f>
        <v/>
      </c>
      <c r="AH129" s="34">
        <f>MAX(I129,J129,750)*0.05*AG129</f>
        <v/>
      </c>
      <c r="AI129" t="n">
        <v>10.31</v>
      </c>
      <c r="AJ129" t="n">
        <v>9</v>
      </c>
      <c r="AK129" s="34">
        <f>IF(AI129&gt;AJ129*1.05,AI129-AJ129*1.05,IF(AI129&lt;AJ129*0.95,AJ129*0.95-AI129,0))</f>
        <v/>
      </c>
      <c r="AL129" s="34">
        <f>MAX(F129,G129,750)*0.05*AK129</f>
        <v/>
      </c>
      <c r="AM129" s="39" t="n">
        <v>9</v>
      </c>
      <c r="AN129" s="34">
        <f>IF(AI129&gt;AM129*1.05,AI129-AM129*1.05,IF(AI129&lt;AM129*0.95,AM129*0.95-AI129,0))</f>
        <v/>
      </c>
      <c r="AO129" s="34">
        <f>MAX(F129,G129,750)*0.05*AN129</f>
        <v/>
      </c>
      <c r="AP129" s="34" t="n">
        <v>12.17</v>
      </c>
      <c r="AQ129" s="34" t="n">
        <v>13.2</v>
      </c>
      <c r="AR129" s="34">
        <f>IF(AP129&gt;AQ129*1.05,AP129-AQ129*1.05,IF(AP129&lt;AQ129*0.95,AQ129*0.95-AP129,0))</f>
        <v/>
      </c>
      <c r="AS129" s="34">
        <f>MAX(F129:G129,750)*0.05*AR129</f>
        <v/>
      </c>
      <c r="AT129" t="n">
        <v>13.2</v>
      </c>
      <c r="AU129" s="34">
        <f>IF(AP129&gt;AT129*1.05,AP129-AT129*1.05,IF(AP129&lt;AT129*0.95,AT129*0.95-AP129,0))</f>
        <v/>
      </c>
      <c r="AV129" s="34">
        <f>MAX(F129:G129,750)*0.05*AU129</f>
        <v/>
      </c>
      <c r="AW129" s="34">
        <f>AC129+AJ129+AQ129</f>
        <v/>
      </c>
      <c r="AX129" s="34">
        <f>AF129+AM129+AT129</f>
        <v/>
      </c>
      <c r="AY129" s="34">
        <f>AB129+AI129+AP129</f>
        <v/>
      </c>
      <c r="AZ129" s="34" t="n">
        <v>0</v>
      </c>
      <c r="BA129" s="34">
        <f>AD129+AK129+AR129</f>
        <v/>
      </c>
      <c r="BB129" s="34">
        <f>MAX(F129:G129,750)*0.05*BA129</f>
        <v/>
      </c>
      <c r="BC129" s="34">
        <f>AG129+AN129+AU129</f>
        <v/>
      </c>
      <c r="BD129" s="34">
        <f>MAX(F129:G129,750)*0.05*BC129</f>
        <v/>
      </c>
      <c r="BE129" s="34">
        <f>F129*AY129</f>
        <v/>
      </c>
      <c r="BF129" s="34">
        <f>K129-M129</f>
        <v/>
      </c>
      <c r="BG129" s="34">
        <f>P129-S129</f>
        <v/>
      </c>
      <c r="BH129" s="34">
        <f>W129-AA129</f>
        <v/>
      </c>
      <c r="BI129" s="34">
        <f>BF129+BG129+BL129-BN129</f>
        <v/>
      </c>
      <c r="BJ129" s="34">
        <f>ABS(BK129)</f>
        <v/>
      </c>
      <c r="BK129" s="34">
        <f>AY129-(J129-L129+N129-Q129)</f>
        <v/>
      </c>
      <c r="BL129" s="34">
        <f>IF(AND(BK129&gt;0,MIN($F129:$G129)&lt;150,$E129="Enerji Açığı"),-100*BK129*1.03,IF(AND(BK129&gt;0,MIN($F129:$G129)&lt;150,$E129="Enerji Fazlası"),-100*BK129*1.06,IF(AND(BK129&gt;0,MIN($F129:$G129)&gt;=150,$E129="Enerji Açığı"),BK129*MIN($F129:$G129)*0.97,IF(AND(BK129&gt;0,MIN($F129:$G129)&gt;=150,$E129="Enerji Fazlası"),BK129*MIN($F129:$G129)*0.94,IF(AND(BK129&lt;0,MAX($F129:$G129)=4500,$E129="Enerji Açığı"),4500*1.05*1.06*BK129,IF(AND(BK129&lt;0,MAX($F129:$G129)=4500,$E129="Enerji Fazlası"),4500*1.05*1.03*BK129,IF(AND(BK129&lt;0,$E129="Enerji Açığı"),MAX($F129,$G129,150)*BK129*1.06,IF(AND(BK129&lt;0,$E129="Enerji Fazlası"),MAX($F129,$G129,150)*BK129*1.03,IF(AND(BK129&lt;0,$E129="Dengede"),MAX($F129:$G129,150)*1.03*BK129,MIN($F129:$G129)*0.97*BK129)))))))))</f>
        <v/>
      </c>
      <c r="BM129" s="34">
        <f>BE129-BI129-BN129</f>
        <v/>
      </c>
      <c r="BN129" s="34">
        <f>BB129</f>
        <v/>
      </c>
      <c r="BO129" s="34">
        <f>BE129-BI129</f>
        <v/>
      </c>
      <c r="BP129" s="34">
        <f>IF(AY129=0,0,BO129/AY129)</f>
        <v/>
      </c>
      <c r="BQ129" s="34">
        <f>MAX((AY129+MAX((-J129+L129-N129+Q129),0)),(MAX((J129-L129+N129-Q129),0)))</f>
        <v/>
      </c>
      <c r="BR129" s="82">
        <f>IFERROR(ABS(BK129/BQ129),0)</f>
        <v/>
      </c>
      <c r="BS129" s="34">
        <f>IF(BR129&lt;=0.1,0,BK129/BR129*(BR129-0.1))</f>
        <v/>
      </c>
      <c r="BT129" s="34">
        <f>IF((BS129)&lt;0,MAX(F129:G129)*(BS129)*1.03,MIN(F129:G129)*(BS129)*0.97)</f>
        <v/>
      </c>
      <c r="BU129" s="34">
        <f>IF(BR129&gt;0.1,1,0)</f>
        <v/>
      </c>
      <c r="BV129" s="34">
        <f>BF129+BG129+BH129+BY129-CA129</f>
        <v/>
      </c>
      <c r="BW129" s="34">
        <f>ABS(BX129)</f>
        <v/>
      </c>
      <c r="BX129" s="34">
        <f>AY129-(J129-L129+N129-Q129+T129-X129)</f>
        <v/>
      </c>
      <c r="BY129" s="34">
        <f>IF(AND(BX129&gt;0,MIN($F129:$G129)&lt;150,$E129="Enerji Açığı"),-100*BX129*1.03,IF(AND(BX129&gt;0,MIN($F129:$G129)&lt;150,$E129="Enerji Fazlası"),-100*BX129*1.06,IF(AND(BX129&gt;0,MIN($F129:$G129)&gt;=150,$E129="Enerji Açığı"),BX129*MIN($F129:$G129)*0.97,IF(AND(BX129&gt;0,MIN($F129:$G129)&gt;=150,$E129="Enerji Fazlası"),BX129*MIN($F129:$G129)*0.94,IF(AND(BX129&lt;0,MAX($F129:$G129)=4500,$E129="Enerji Açığı"),4500*1.05*1.06*BX129,IF(AND(BX129&lt;0,MAX($F129:$G129)=4500,$E129="Enerji Fazlası"),4500*1.05*1.03*BX129,IF(AND(BX129&lt;0,$E129="Enerji Açığı"),MAX($F129,$G129,150)*BX129*1.06,IF(AND(BX129&lt;0,$E129="Enerji Fazlası"),MAX($F129,$G129,150)*BX129*1.03,IF(AND(BX129&lt;0,$E129="Dengede"),MAX($F129:$G129,150)*1.03*BX129,MIN($F129:$G129)*0.97*BX129)))))))))</f>
        <v/>
      </c>
      <c r="BZ129" s="34">
        <f>BE129-BV129-CA129</f>
        <v/>
      </c>
      <c r="CA129" s="34">
        <f>BD129</f>
        <v/>
      </c>
      <c r="CB129" s="33">
        <f>BE129-BV129</f>
        <v/>
      </c>
      <c r="CC129" s="34">
        <f>IF(AY129=0,0,CB129/AY129)</f>
        <v/>
      </c>
      <c r="CD129" s="34">
        <f>MAX((AY129+MAX((-J129+L129-N129+Q129-T129+X129),0)),(MAX((J129-L129+N129-Q129+T129-X129),0)))</f>
        <v/>
      </c>
      <c r="CE129" s="82">
        <f>IFERROR(ABS(BX129/CD129),0)</f>
        <v/>
      </c>
      <c r="CF129" s="34">
        <f>IF(CE129&lt;=0.1,0,BX129/CE129*(CE129-0.1))</f>
        <v/>
      </c>
      <c r="CG129" s="34">
        <f>IF((CF129)&lt;0,MAX(F129:G129)*(CF129)*1.03,MIN(F129:G129)*(CF129)*0.97)</f>
        <v/>
      </c>
      <c r="CH129" s="34">
        <f>IF(CE129&gt;0.1,1,0)</f>
        <v/>
      </c>
      <c r="CI129" s="34">
        <f>(F129*BX129)-BY129</f>
        <v/>
      </c>
      <c r="CJ129" s="34">
        <f>IF(AY129=0,0,CI129/AY129)</f>
        <v/>
      </c>
    </row>
    <row r="130">
      <c r="A130" s="29" t="n">
        <v>46209.29166666666</v>
      </c>
      <c r="B130" s="29" t="inlineStr">
        <is>
          <t>07:00</t>
        </is>
      </c>
      <c r="C130" s="35">
        <f>INT(A130)</f>
        <v/>
      </c>
      <c r="D130" s="36">
        <f>MONTH(A130)</f>
        <v/>
      </c>
      <c r="E130" s="147" t="inlineStr">
        <is>
          <t>Enerji Fazlası</t>
        </is>
      </c>
      <c r="F130" s="30" t="n">
        <v>800</v>
      </c>
      <c r="G130" s="30" t="n">
        <v>200</v>
      </c>
      <c r="H130" s="30" t="n">
        <v>17.15</v>
      </c>
      <c r="I130" s="30" t="n">
        <v>545.35</v>
      </c>
      <c r="J130" s="119" t="n">
        <v>0</v>
      </c>
      <c r="K130" s="34">
        <f>F130*J130</f>
        <v/>
      </c>
      <c r="L130" s="119" t="n">
        <v>0</v>
      </c>
      <c r="M130" s="34">
        <f>L130*F130</f>
        <v/>
      </c>
      <c r="N130" s="119" t="n">
        <v>22.5</v>
      </c>
      <c r="O130" s="34">
        <f>F130</f>
        <v/>
      </c>
      <c r="P130" s="34">
        <f>N130*O130</f>
        <v/>
      </c>
      <c r="Q130" s="117" t="n">
        <v>0</v>
      </c>
      <c r="R130" s="34">
        <f>F130</f>
        <v/>
      </c>
      <c r="S130" s="34">
        <f>R130*Q130</f>
        <v/>
      </c>
      <c r="T130" s="34" t="n"/>
      <c r="U130" s="34">
        <f>IFERROR(W130/T130,0)</f>
        <v/>
      </c>
      <c r="V130" s="34">
        <f>IF(U130=0,0,U130-F130)</f>
        <v/>
      </c>
      <c r="W130" s="34" t="n"/>
      <c r="X130" s="34" t="n"/>
      <c r="Y130" s="34">
        <f>IFERROR(AA130/X130,0)</f>
        <v/>
      </c>
      <c r="Z130" s="34">
        <f>IF(Y130=0,0,F130-Y130)</f>
        <v/>
      </c>
      <c r="AA130" s="34" t="n"/>
      <c r="AB130" s="34" t="n">
        <v>0</v>
      </c>
      <c r="AC130" s="34" t="n">
        <v>0</v>
      </c>
      <c r="AD130" s="34">
        <f>IF(AB130&gt;AC130*1.05,AB130-AC130*1.05,IF(AB130&lt;AC130*0.95,AC130*0.95-AB130,0))</f>
        <v/>
      </c>
      <c r="AE130" s="34">
        <f>MAX(F130,G130,750)*0.05*AD130</f>
        <v/>
      </c>
      <c r="AF130" s="34" t="n">
        <v>0</v>
      </c>
      <c r="AG130" s="34">
        <f>IF(AB130&gt;AF130*1.05,AB130-AF130*1.05,IF(AB130&lt;AF130*0.95,AF130*0.95-AB130,0))</f>
        <v/>
      </c>
      <c r="AH130" s="34">
        <f>MAX(I130,J130,750)*0.05*AG130</f>
        <v/>
      </c>
      <c r="AI130" t="n">
        <v>9.68</v>
      </c>
      <c r="AJ130" t="n">
        <v>9</v>
      </c>
      <c r="AK130" s="34">
        <f>IF(AI130&gt;AJ130*1.05,AI130-AJ130*1.05,IF(AI130&lt;AJ130*0.95,AJ130*0.95-AI130,0))</f>
        <v/>
      </c>
      <c r="AL130" s="34">
        <f>MAX(F130,G130,750)*0.05*AK130</f>
        <v/>
      </c>
      <c r="AM130" s="39" t="n">
        <v>9</v>
      </c>
      <c r="AN130" s="34">
        <f>IF(AI130&gt;AM130*1.05,AI130-AM130*1.05,IF(AI130&lt;AM130*0.95,AM130*0.95-AI130,0))</f>
        <v/>
      </c>
      <c r="AO130" s="34">
        <f>MAX(F130,G130,750)*0.05*AN130</f>
        <v/>
      </c>
      <c r="AP130" s="34" t="n">
        <v>13.22</v>
      </c>
      <c r="AQ130" s="34" t="n">
        <v>13.5</v>
      </c>
      <c r="AR130" s="34">
        <f>IF(AP130&gt;AQ130*1.05,AP130-AQ130*1.05,IF(AP130&lt;AQ130*0.95,AQ130*0.95-AP130,0))</f>
        <v/>
      </c>
      <c r="AS130" s="34">
        <f>MAX(F130:G130,750)*0.05*AR130</f>
        <v/>
      </c>
      <c r="AT130" t="n">
        <v>13.5</v>
      </c>
      <c r="AU130" s="34">
        <f>IF(AP130&gt;AT130*1.05,AP130-AT130*1.05,IF(AP130&lt;AT130*0.95,AT130*0.95-AP130,0))</f>
        <v/>
      </c>
      <c r="AV130" s="34">
        <f>MAX(F130:G130,750)*0.05*AU130</f>
        <v/>
      </c>
      <c r="AW130" s="34">
        <f>AC130+AJ130+AQ130</f>
        <v/>
      </c>
      <c r="AX130" s="34">
        <f>AF130+AM130+AT130</f>
        <v/>
      </c>
      <c r="AY130" s="34">
        <f>AB130+AI130+AP130</f>
        <v/>
      </c>
      <c r="AZ130" s="34" t="n">
        <v>0</v>
      </c>
      <c r="BA130" s="34">
        <f>AD130+AK130+AR130</f>
        <v/>
      </c>
      <c r="BB130" s="34">
        <f>MAX(F130:G130,750)*0.05*BA130</f>
        <v/>
      </c>
      <c r="BC130" s="34">
        <f>AG130+AN130+AU130</f>
        <v/>
      </c>
      <c r="BD130" s="34">
        <f>MAX(F130:G130,750)*0.05*BC130</f>
        <v/>
      </c>
      <c r="BE130" s="34">
        <f>F130*AY130</f>
        <v/>
      </c>
      <c r="BF130" s="34">
        <f>K130-M130</f>
        <v/>
      </c>
      <c r="BG130" s="34">
        <f>P130-S130</f>
        <v/>
      </c>
      <c r="BH130" s="34">
        <f>W130-AA130</f>
        <v/>
      </c>
      <c r="BI130" s="34">
        <f>BF130+BG130+BL130-BN130</f>
        <v/>
      </c>
      <c r="BJ130" s="34">
        <f>ABS(BK130)</f>
        <v/>
      </c>
      <c r="BK130" s="34">
        <f>AY130-(J130-L130+N130-Q130)</f>
        <v/>
      </c>
      <c r="BL130" s="34">
        <f>IF(AND(BK130&gt;0,MIN($F130:$G130)&lt;150,$E130="Enerji Açığı"),-100*BK130*1.03,IF(AND(BK130&gt;0,MIN($F130:$G130)&lt;150,$E130="Enerji Fazlası"),-100*BK130*1.06,IF(AND(BK130&gt;0,MIN($F130:$G130)&gt;=150,$E130="Enerji Açığı"),BK130*MIN($F130:$G130)*0.97,IF(AND(BK130&gt;0,MIN($F130:$G130)&gt;=150,$E130="Enerji Fazlası"),BK130*MIN($F130:$G130)*0.94,IF(AND(BK130&lt;0,MAX($F130:$G130)=4500,$E130="Enerji Açığı"),4500*1.05*1.06*BK130,IF(AND(BK130&lt;0,MAX($F130:$G130)=4500,$E130="Enerji Fazlası"),4500*1.05*1.03*BK130,IF(AND(BK130&lt;0,$E130="Enerji Açığı"),MAX($F130,$G130,150)*BK130*1.06,IF(AND(BK130&lt;0,$E130="Enerji Fazlası"),MAX($F130,$G130,150)*BK130*1.03,IF(AND(BK130&lt;0,$E130="Dengede"),MAX($F130:$G130,150)*1.03*BK130,MIN($F130:$G130)*0.97*BK130)))))))))</f>
        <v/>
      </c>
      <c r="BM130" s="34">
        <f>BE130-BI130-BN130</f>
        <v/>
      </c>
      <c r="BN130" s="34">
        <f>BB130</f>
        <v/>
      </c>
      <c r="BO130" s="34">
        <f>BE130-BI130</f>
        <v/>
      </c>
      <c r="BP130" s="34">
        <f>IF(AY130=0,0,BO130/AY130)</f>
        <v/>
      </c>
      <c r="BQ130" s="34">
        <f>MAX((AY130+MAX((-J130+L130-N130+Q130),0)),(MAX((J130-L130+N130-Q130),0)))</f>
        <v/>
      </c>
      <c r="BR130" s="82">
        <f>IFERROR(ABS(BK130/BQ130),0)</f>
        <v/>
      </c>
      <c r="BS130" s="34">
        <f>IF(BR130&lt;=0.1,0,BK130/BR130*(BR130-0.1))</f>
        <v/>
      </c>
      <c r="BT130" s="34">
        <f>IF((BS130)&lt;0,MAX(F130:G130)*(BS130)*1.03,MIN(F130:G130)*(BS130)*0.97)</f>
        <v/>
      </c>
      <c r="BU130" s="34">
        <f>IF(BR130&gt;0.1,1,0)</f>
        <v/>
      </c>
      <c r="BV130" s="34">
        <f>BF130+BG130+BH130+BY130-CA130</f>
        <v/>
      </c>
      <c r="BW130" s="34">
        <f>ABS(BX130)</f>
        <v/>
      </c>
      <c r="BX130" s="34">
        <f>AY130-(J130-L130+N130-Q130+T130-X130)</f>
        <v/>
      </c>
      <c r="BY130" s="34">
        <f>IF(AND(BX130&gt;0,MIN($F130:$G130)&lt;150,$E130="Enerji Açığı"),-100*BX130*1.03,IF(AND(BX130&gt;0,MIN($F130:$G130)&lt;150,$E130="Enerji Fazlası"),-100*BX130*1.06,IF(AND(BX130&gt;0,MIN($F130:$G130)&gt;=150,$E130="Enerji Açığı"),BX130*MIN($F130:$G130)*0.97,IF(AND(BX130&gt;0,MIN($F130:$G130)&gt;=150,$E130="Enerji Fazlası"),BX130*MIN($F130:$G130)*0.94,IF(AND(BX130&lt;0,MAX($F130:$G130)=4500,$E130="Enerji Açığı"),4500*1.05*1.06*BX130,IF(AND(BX130&lt;0,MAX($F130:$G130)=4500,$E130="Enerji Fazlası"),4500*1.05*1.03*BX130,IF(AND(BX130&lt;0,$E130="Enerji Açığı"),MAX($F130,$G130,150)*BX130*1.06,IF(AND(BX130&lt;0,$E130="Enerji Fazlası"),MAX($F130,$G130,150)*BX130*1.03,IF(AND(BX130&lt;0,$E130="Dengede"),MAX($F130:$G130,150)*1.03*BX130,MIN($F130:$G130)*0.97*BX130)))))))))</f>
        <v/>
      </c>
      <c r="BZ130" s="34">
        <f>BE130-BV130-CA130</f>
        <v/>
      </c>
      <c r="CA130" s="34">
        <f>BD130</f>
        <v/>
      </c>
      <c r="CB130" s="33">
        <f>BE130-BV130</f>
        <v/>
      </c>
      <c r="CC130" s="34">
        <f>IF(AY130=0,0,CB130/AY130)</f>
        <v/>
      </c>
      <c r="CD130" s="34">
        <f>MAX((AY130+MAX((-J130+L130-N130+Q130-T130+X130),0)),(MAX((J130-L130+N130-Q130+T130-X130),0)))</f>
        <v/>
      </c>
      <c r="CE130" s="82">
        <f>IFERROR(ABS(BX130/CD130),0)</f>
        <v/>
      </c>
      <c r="CF130" s="34">
        <f>IF(CE130&lt;=0.1,0,BX130/CE130*(CE130-0.1))</f>
        <v/>
      </c>
      <c r="CG130" s="34">
        <f>IF((CF130)&lt;0,MAX(F130:G130)*(CF130)*1.03,MIN(F130:G130)*(CF130)*0.97)</f>
        <v/>
      </c>
      <c r="CH130" s="34">
        <f>IF(CE130&gt;0.1,1,0)</f>
        <v/>
      </c>
      <c r="CI130" s="34">
        <f>(F130*BX130)-BY130</f>
        <v/>
      </c>
      <c r="CJ130" s="34">
        <f>IF(AY130=0,0,CI130/AY130)</f>
        <v/>
      </c>
    </row>
    <row r="131">
      <c r="A131" s="29" t="n">
        <v>46209.33333333334</v>
      </c>
      <c r="B131" s="29" t="inlineStr">
        <is>
          <t>08:00</t>
        </is>
      </c>
      <c r="C131" s="35">
        <f>INT(A131)</f>
        <v/>
      </c>
      <c r="D131" s="36">
        <f>MONTH(A131)</f>
        <v/>
      </c>
      <c r="E131" s="147" t="inlineStr">
        <is>
          <t>Enerji Fazlası</t>
        </is>
      </c>
      <c r="F131" s="30" t="n">
        <v>2999</v>
      </c>
      <c r="G131" s="30" t="n">
        <v>1499</v>
      </c>
      <c r="H131" s="30" t="n">
        <v>64.31</v>
      </c>
      <c r="I131" s="30" t="n">
        <v>2703.57</v>
      </c>
      <c r="J131" s="119" t="n">
        <v>0</v>
      </c>
      <c r="K131" s="34">
        <f>F131*J131</f>
        <v/>
      </c>
      <c r="L131" s="119" t="n">
        <v>0</v>
      </c>
      <c r="M131" s="34">
        <f>L131*F131</f>
        <v/>
      </c>
      <c r="N131" s="119" t="n">
        <v>24</v>
      </c>
      <c r="O131" s="34">
        <f>F131</f>
        <v/>
      </c>
      <c r="P131" s="34">
        <f>N131*O131</f>
        <v/>
      </c>
      <c r="Q131" s="117" t="n">
        <v>0</v>
      </c>
      <c r="R131" s="34">
        <f>F131</f>
        <v/>
      </c>
      <c r="S131" s="34">
        <f>R131*Q131</f>
        <v/>
      </c>
      <c r="T131" s="34" t="n"/>
      <c r="U131" s="34">
        <f>IFERROR(W131/T131,0)</f>
        <v/>
      </c>
      <c r="V131" s="34">
        <f>IF(U131=0,0,U131-F131)</f>
        <v/>
      </c>
      <c r="W131" s="34" t="n"/>
      <c r="X131" s="34" t="n"/>
      <c r="Y131" s="34">
        <f>IFERROR(AA131/X131,0)</f>
        <v/>
      </c>
      <c r="Z131" s="34">
        <f>IF(Y131=0,0,F131-Y131)</f>
        <v/>
      </c>
      <c r="AA131" s="34" t="n"/>
      <c r="AB131" s="34" t="n">
        <v>0</v>
      </c>
      <c r="AC131" s="34" t="n">
        <v>0</v>
      </c>
      <c r="AD131" s="34">
        <f>IF(AB131&gt;AC131*1.05,AB131-AC131*1.05,IF(AB131&lt;AC131*0.95,AC131*0.95-AB131,0))</f>
        <v/>
      </c>
      <c r="AE131" s="34">
        <f>MAX(F131,G131,750)*0.05*AD131</f>
        <v/>
      </c>
      <c r="AF131" s="34" t="n">
        <v>0</v>
      </c>
      <c r="AG131" s="34">
        <f>IF(AB131&gt;AF131*1.05,AB131-AF131*1.05,IF(AB131&lt;AF131*0.95,AF131*0.95-AB131,0))</f>
        <v/>
      </c>
      <c r="AH131" s="34">
        <f>MAX(I131,J131,750)*0.05*AG131</f>
        <v/>
      </c>
      <c r="AI131" t="n">
        <v>10.11</v>
      </c>
      <c r="AJ131" t="n">
        <v>9</v>
      </c>
      <c r="AK131" s="34">
        <f>IF(AI131&gt;AJ131*1.05,AI131-AJ131*1.05,IF(AI131&lt;AJ131*0.95,AJ131*0.95-AI131,0))</f>
        <v/>
      </c>
      <c r="AL131" s="34">
        <f>MAX(F131,G131,750)*0.05*AK131</f>
        <v/>
      </c>
      <c r="AM131" s="39" t="n">
        <v>9</v>
      </c>
      <c r="AN131" s="34">
        <f>IF(AI131&gt;AM131*1.05,AI131-AM131*1.05,IF(AI131&lt;AM131*0.95,AM131*0.95-AI131,0))</f>
        <v/>
      </c>
      <c r="AO131" s="34">
        <f>MAX(F131,G131,750)*0.05*AN131</f>
        <v/>
      </c>
      <c r="AP131" s="34" t="n">
        <v>14.02</v>
      </c>
      <c r="AQ131" s="34" t="n">
        <v>15</v>
      </c>
      <c r="AR131" s="34">
        <f>IF(AP131&gt;AQ131*1.05,AP131-AQ131*1.05,IF(AP131&lt;AQ131*0.95,AQ131*0.95-AP131,0))</f>
        <v/>
      </c>
      <c r="AS131" s="34">
        <f>MAX(F131:G131,750)*0.05*AR131</f>
        <v/>
      </c>
      <c r="AT131" t="n">
        <v>15</v>
      </c>
      <c r="AU131" s="34">
        <f>IF(AP131&gt;AT131*1.05,AP131-AT131*1.05,IF(AP131&lt;AT131*0.95,AT131*0.95-AP131,0))</f>
        <v/>
      </c>
      <c r="AV131" s="34">
        <f>MAX(F131:G131,750)*0.05*AU131</f>
        <v/>
      </c>
      <c r="AW131" s="34">
        <f>AC131+AJ131+AQ131</f>
        <v/>
      </c>
      <c r="AX131" s="34">
        <f>AF131+AM131+AT131</f>
        <v/>
      </c>
      <c r="AY131" s="34">
        <f>AB131+AI131+AP131</f>
        <v/>
      </c>
      <c r="AZ131" s="34" t="n">
        <v>0</v>
      </c>
      <c r="BA131" s="34">
        <f>AD131+AK131+AR131</f>
        <v/>
      </c>
      <c r="BB131" s="34">
        <f>MAX(F131:G131,750)*0.05*BA131</f>
        <v/>
      </c>
      <c r="BC131" s="34">
        <f>AG131+AN131+AU131</f>
        <v/>
      </c>
      <c r="BD131" s="34">
        <f>MAX(F131:G131,750)*0.05*BC131</f>
        <v/>
      </c>
      <c r="BE131" s="34">
        <f>F131*AY131</f>
        <v/>
      </c>
      <c r="BF131" s="34">
        <f>K131-M131</f>
        <v/>
      </c>
      <c r="BG131" s="34">
        <f>P131-S131</f>
        <v/>
      </c>
      <c r="BH131" s="34">
        <f>W131-AA131</f>
        <v/>
      </c>
      <c r="BI131" s="34">
        <f>BF131+BG131+BL131-BN131</f>
        <v/>
      </c>
      <c r="BJ131" s="34">
        <f>ABS(BK131)</f>
        <v/>
      </c>
      <c r="BK131" s="34">
        <f>AY131-(J131-L131+N131-Q131)</f>
        <v/>
      </c>
      <c r="BL131" s="34">
        <f>IF(AND(BK131&gt;0,MIN($F131:$G131)&lt;150,$E131="Enerji Açığı"),-100*BK131*1.03,IF(AND(BK131&gt;0,MIN($F131:$G131)&lt;150,$E131="Enerji Fazlası"),-100*BK131*1.06,IF(AND(BK131&gt;0,MIN($F131:$G131)&gt;=150,$E131="Enerji Açığı"),BK131*MIN($F131:$G131)*0.97,IF(AND(BK131&gt;0,MIN($F131:$G131)&gt;=150,$E131="Enerji Fazlası"),BK131*MIN($F131:$G131)*0.94,IF(AND(BK131&lt;0,MAX($F131:$G131)=4500,$E131="Enerji Açığı"),4500*1.05*1.06*BK131,IF(AND(BK131&lt;0,MAX($F131:$G131)=4500,$E131="Enerji Fazlası"),4500*1.05*1.03*BK131,IF(AND(BK131&lt;0,$E131="Enerji Açığı"),MAX($F131,$G131,150)*BK131*1.06,IF(AND(BK131&lt;0,$E131="Enerji Fazlası"),MAX($F131,$G131,150)*BK131*1.03,IF(AND(BK131&lt;0,$E131="Dengede"),MAX($F131:$G131,150)*1.03*BK131,MIN($F131:$G131)*0.97*BK131)))))))))</f>
        <v/>
      </c>
      <c r="BM131" s="34">
        <f>BE131-BI131-BN131</f>
        <v/>
      </c>
      <c r="BN131" s="34">
        <f>BB131</f>
        <v/>
      </c>
      <c r="BO131" s="34">
        <f>BE131-BI131</f>
        <v/>
      </c>
      <c r="BP131" s="34">
        <f>IF(AY131=0,0,BO131/AY131)</f>
        <v/>
      </c>
      <c r="BQ131" s="34">
        <f>MAX((AY131+MAX((-J131+L131-N131+Q131),0)),(MAX((J131-L131+N131-Q131),0)))</f>
        <v/>
      </c>
      <c r="BR131" s="82">
        <f>IFERROR(ABS(BK131/BQ131),0)</f>
        <v/>
      </c>
      <c r="BS131" s="34">
        <f>IF(BR131&lt;=0.1,0,BK131/BR131*(BR131-0.1))</f>
        <v/>
      </c>
      <c r="BT131" s="34">
        <f>IF((BS131)&lt;0,MAX(F131:G131)*(BS131)*1.03,MIN(F131:G131)*(BS131)*0.97)</f>
        <v/>
      </c>
      <c r="BU131" s="34">
        <f>IF(BR131&gt;0.1,1,0)</f>
        <v/>
      </c>
      <c r="BV131" s="34">
        <f>BF131+BG131+BH131+BY131-CA131</f>
        <v/>
      </c>
      <c r="BW131" s="34">
        <f>ABS(BX131)</f>
        <v/>
      </c>
      <c r="BX131" s="34">
        <f>AY131-(J131-L131+N131-Q131+T131-X131)</f>
        <v/>
      </c>
      <c r="BY131" s="34">
        <f>IF(AND(BX131&gt;0,MIN($F131:$G131)&lt;150,$E131="Enerji Açığı"),-100*BX131*1.03,IF(AND(BX131&gt;0,MIN($F131:$G131)&lt;150,$E131="Enerji Fazlası"),-100*BX131*1.06,IF(AND(BX131&gt;0,MIN($F131:$G131)&gt;=150,$E131="Enerji Açığı"),BX131*MIN($F131:$G131)*0.97,IF(AND(BX131&gt;0,MIN($F131:$G131)&gt;=150,$E131="Enerji Fazlası"),BX131*MIN($F131:$G131)*0.94,IF(AND(BX131&lt;0,MAX($F131:$G131)=4500,$E131="Enerji Açığı"),4500*1.05*1.06*BX131,IF(AND(BX131&lt;0,MAX($F131:$G131)=4500,$E131="Enerji Fazlası"),4500*1.05*1.03*BX131,IF(AND(BX131&lt;0,$E131="Enerji Açığı"),MAX($F131,$G131,150)*BX131*1.06,IF(AND(BX131&lt;0,$E131="Enerji Fazlası"),MAX($F131,$G131,150)*BX131*1.03,IF(AND(BX131&lt;0,$E131="Dengede"),MAX($F131:$G131,150)*1.03*BX131,MIN($F131:$G131)*0.97*BX131)))))))))</f>
        <v/>
      </c>
      <c r="BZ131" s="34">
        <f>BE131-BV131-CA131</f>
        <v/>
      </c>
      <c r="CA131" s="34">
        <f>BD131</f>
        <v/>
      </c>
      <c r="CB131" s="33">
        <f>BE131-BV131</f>
        <v/>
      </c>
      <c r="CC131" s="34">
        <f>IF(AY131=0,0,CB131/AY131)</f>
        <v/>
      </c>
      <c r="CD131" s="34">
        <f>MAX((AY131+MAX((-J131+L131-N131+Q131-T131+X131),0)),(MAX((J131-L131+N131-Q131+T131-X131),0)))</f>
        <v/>
      </c>
      <c r="CE131" s="82">
        <f>IFERROR(ABS(BX131/CD131),0)</f>
        <v/>
      </c>
      <c r="CF131" s="34">
        <f>IF(CE131&lt;=0.1,0,BX131/CE131*(CE131-0.1))</f>
        <v/>
      </c>
      <c r="CG131" s="34">
        <f>IF((CF131)&lt;0,MAX(F131:G131)*(CF131)*1.03,MIN(F131:G131)*(CF131)*0.97)</f>
        <v/>
      </c>
      <c r="CH131" s="34">
        <f>IF(CE131&gt;0.1,1,0)</f>
        <v/>
      </c>
      <c r="CI131" s="34">
        <f>(F131*BX131)-BY131</f>
        <v/>
      </c>
      <c r="CJ131" s="34">
        <f>IF(AY131=0,0,CI131/AY131)</f>
        <v/>
      </c>
    </row>
    <row r="132">
      <c r="A132" s="29" t="n">
        <v>46209.375</v>
      </c>
      <c r="B132" s="29" t="inlineStr">
        <is>
          <t>09:00</t>
        </is>
      </c>
      <c r="C132" s="35">
        <f>INT(A132)</f>
        <v/>
      </c>
      <c r="D132" s="36">
        <f>MONTH(A132)</f>
        <v/>
      </c>
      <c r="E132" s="147" t="inlineStr">
        <is>
          <t>Enerji Fazlası</t>
        </is>
      </c>
      <c r="F132" s="30" t="n">
        <v>2425.1</v>
      </c>
      <c r="G132" s="30" t="n">
        <v>500</v>
      </c>
      <c r="H132" s="30" t="n">
        <v>52</v>
      </c>
      <c r="I132" s="30" t="n">
        <v>2164.78</v>
      </c>
      <c r="J132" s="119" t="n">
        <v>0</v>
      </c>
      <c r="K132" s="34">
        <f>F132*J132</f>
        <v/>
      </c>
      <c r="L132" s="119" t="n">
        <v>0</v>
      </c>
      <c r="M132" s="34">
        <f>L132*F132</f>
        <v/>
      </c>
      <c r="N132" s="119" t="n">
        <v>25</v>
      </c>
      <c r="O132" s="34">
        <f>F132</f>
        <v/>
      </c>
      <c r="P132" s="34">
        <f>N132*O132</f>
        <v/>
      </c>
      <c r="Q132" s="117" t="n">
        <v>0</v>
      </c>
      <c r="R132" s="34">
        <f>F132</f>
        <v/>
      </c>
      <c r="S132" s="34">
        <f>R132*Q132</f>
        <v/>
      </c>
      <c r="T132" s="34" t="n"/>
      <c r="U132" s="34">
        <f>IFERROR(W132/T132,0)</f>
        <v/>
      </c>
      <c r="V132" s="34">
        <f>IF(U132=0,0,U132-F132)</f>
        <v/>
      </c>
      <c r="W132" s="34" t="n"/>
      <c r="X132" s="34" t="n"/>
      <c r="Y132" s="34">
        <f>IFERROR(AA132/X132,0)</f>
        <v/>
      </c>
      <c r="Z132" s="34">
        <f>IF(Y132=0,0,F132-Y132)</f>
        <v/>
      </c>
      <c r="AA132" s="34" t="n"/>
      <c r="AB132" s="34" t="n">
        <v>0</v>
      </c>
      <c r="AC132" s="34" t="n">
        <v>0</v>
      </c>
      <c r="AD132" s="34">
        <f>IF(AB132&gt;AC132*1.05,AB132-AC132*1.05,IF(AB132&lt;AC132*0.95,AC132*0.95-AB132,0))</f>
        <v/>
      </c>
      <c r="AE132" s="34">
        <f>MAX(F132,G132,750)*0.05*AD132</f>
        <v/>
      </c>
      <c r="AF132" s="34" t="n">
        <v>0</v>
      </c>
      <c r="AG132" s="34">
        <f>IF(AB132&gt;AF132*1.05,AB132-AF132*1.05,IF(AB132&lt;AF132*0.95,AF132*0.95-AB132,0))</f>
        <v/>
      </c>
      <c r="AH132" s="34">
        <f>MAX(I132,J132,750)*0.05*AG132</f>
        <v/>
      </c>
      <c r="AI132" t="n">
        <v>10.61</v>
      </c>
      <c r="AJ132" t="n">
        <v>10</v>
      </c>
      <c r="AK132" s="34">
        <f>IF(AI132&gt;AJ132*1.05,AI132-AJ132*1.05,IF(AI132&lt;AJ132*0.95,AJ132*0.95-AI132,0))</f>
        <v/>
      </c>
      <c r="AL132" s="34">
        <f>MAX(F132,G132,750)*0.05*AK132</f>
        <v/>
      </c>
      <c r="AM132" s="39" t="n">
        <v>10</v>
      </c>
      <c r="AN132" s="34">
        <f>IF(AI132&gt;AM132*1.05,AI132-AM132*1.05,IF(AI132&lt;AM132*0.95,AM132*0.95-AI132,0))</f>
        <v/>
      </c>
      <c r="AO132" s="34">
        <f>MAX(F132,G132,750)*0.05*AN132</f>
        <v/>
      </c>
      <c r="AP132" s="34" t="n">
        <v>14.52</v>
      </c>
      <c r="AQ132" s="34" t="n">
        <v>15</v>
      </c>
      <c r="AR132" s="34">
        <f>IF(AP132&gt;AQ132*1.05,AP132-AQ132*1.05,IF(AP132&lt;AQ132*0.95,AQ132*0.95-AP132,0))</f>
        <v/>
      </c>
      <c r="AS132" s="34">
        <f>MAX(F132:G132,750)*0.05*AR132</f>
        <v/>
      </c>
      <c r="AT132" t="n">
        <v>15</v>
      </c>
      <c r="AU132" s="34">
        <f>IF(AP132&gt;AT132*1.05,AP132-AT132*1.05,IF(AP132&lt;AT132*0.95,AT132*0.95-AP132,0))</f>
        <v/>
      </c>
      <c r="AV132" s="34">
        <f>MAX(F132:G132,750)*0.05*AU132</f>
        <v/>
      </c>
      <c r="AW132" s="34">
        <f>AC132+AJ132+AQ132</f>
        <v/>
      </c>
      <c r="AX132" s="34">
        <f>AF132+AM132+AT132</f>
        <v/>
      </c>
      <c r="AY132" s="34">
        <f>AB132+AI132+AP132</f>
        <v/>
      </c>
      <c r="AZ132" s="34" t="n">
        <v>0</v>
      </c>
      <c r="BA132" s="34">
        <f>AD132+AK132+AR132</f>
        <v/>
      </c>
      <c r="BB132" s="34">
        <f>MAX(F132:G132,750)*0.05*BA132</f>
        <v/>
      </c>
      <c r="BC132" s="34">
        <f>AG132+AN132+AU132</f>
        <v/>
      </c>
      <c r="BD132" s="34">
        <f>MAX(F132:G132,750)*0.05*BC132</f>
        <v/>
      </c>
      <c r="BE132" s="34">
        <f>F132*AY132</f>
        <v/>
      </c>
      <c r="BF132" s="34">
        <f>K132-M132</f>
        <v/>
      </c>
      <c r="BG132" s="34">
        <f>P132-S132</f>
        <v/>
      </c>
      <c r="BH132" s="34">
        <f>W132-AA132</f>
        <v/>
      </c>
      <c r="BI132" s="34">
        <f>BF132+BG132+BL132-BN132</f>
        <v/>
      </c>
      <c r="BJ132" s="34">
        <f>ABS(BK132)</f>
        <v/>
      </c>
      <c r="BK132" s="34">
        <f>AY132-(J132-L132+N132-Q132)</f>
        <v/>
      </c>
      <c r="BL132" s="34">
        <f>IF(AND(BK132&gt;0,MIN($F132:$G132)&lt;150,$E132="Enerji Açığı"),-100*BK132*1.03,IF(AND(BK132&gt;0,MIN($F132:$G132)&lt;150,$E132="Enerji Fazlası"),-100*BK132*1.06,IF(AND(BK132&gt;0,MIN($F132:$G132)&gt;=150,$E132="Enerji Açığı"),BK132*MIN($F132:$G132)*0.97,IF(AND(BK132&gt;0,MIN($F132:$G132)&gt;=150,$E132="Enerji Fazlası"),BK132*MIN($F132:$G132)*0.94,IF(AND(BK132&lt;0,MAX($F132:$G132)=4500,$E132="Enerji Açığı"),4500*1.05*1.06*BK132,IF(AND(BK132&lt;0,MAX($F132:$G132)=4500,$E132="Enerji Fazlası"),4500*1.05*1.03*BK132,IF(AND(BK132&lt;0,$E132="Enerji Açığı"),MAX($F132,$G132,150)*BK132*1.06,IF(AND(BK132&lt;0,$E132="Enerji Fazlası"),MAX($F132,$G132,150)*BK132*1.03,IF(AND(BK132&lt;0,$E132="Dengede"),MAX($F132:$G132,150)*1.03*BK132,MIN($F132:$G132)*0.97*BK132)))))))))</f>
        <v/>
      </c>
      <c r="BM132" s="34">
        <f>BE132-BI132-BN132</f>
        <v/>
      </c>
      <c r="BN132" s="34">
        <f>BB132</f>
        <v/>
      </c>
      <c r="BO132" s="34">
        <f>BE132-BI132</f>
        <v/>
      </c>
      <c r="BP132" s="34">
        <f>IF(AY132=0,0,BO132/AY132)</f>
        <v/>
      </c>
      <c r="BQ132" s="34">
        <f>MAX((AY132+MAX((-J132+L132-N132+Q132),0)),(MAX((J132-L132+N132-Q132),0)))</f>
        <v/>
      </c>
      <c r="BR132" s="82">
        <f>IFERROR(ABS(BK132/BQ132),0)</f>
        <v/>
      </c>
      <c r="BS132" s="34">
        <f>IF(BR132&lt;=0.1,0,BK132/BR132*(BR132-0.1))</f>
        <v/>
      </c>
      <c r="BT132" s="34">
        <f>IF((BS132)&lt;0,MAX(F132:G132)*(BS132)*1.03,MIN(F132:G132)*(BS132)*0.97)</f>
        <v/>
      </c>
      <c r="BU132" s="34">
        <f>IF(BR132&gt;0.1,1,0)</f>
        <v/>
      </c>
      <c r="BV132" s="34">
        <f>BF132+BG132+BH132+BY132-CA132</f>
        <v/>
      </c>
      <c r="BW132" s="34">
        <f>ABS(BX132)</f>
        <v/>
      </c>
      <c r="BX132" s="34">
        <f>AY132-(J132-L132+N132-Q132+T132-X132)</f>
        <v/>
      </c>
      <c r="BY132" s="34">
        <f>IF(AND(BX132&gt;0,MIN($F132:$G132)&lt;150,$E132="Enerji Açığı"),-100*BX132*1.03,IF(AND(BX132&gt;0,MIN($F132:$G132)&lt;150,$E132="Enerji Fazlası"),-100*BX132*1.06,IF(AND(BX132&gt;0,MIN($F132:$G132)&gt;=150,$E132="Enerji Açığı"),BX132*MIN($F132:$G132)*0.97,IF(AND(BX132&gt;0,MIN($F132:$G132)&gt;=150,$E132="Enerji Fazlası"),BX132*MIN($F132:$G132)*0.94,IF(AND(BX132&lt;0,MAX($F132:$G132)=4500,$E132="Enerji Açığı"),4500*1.05*1.06*BX132,IF(AND(BX132&lt;0,MAX($F132:$G132)=4500,$E132="Enerji Fazlası"),4500*1.05*1.03*BX132,IF(AND(BX132&lt;0,$E132="Enerji Açığı"),MAX($F132,$G132,150)*BX132*1.06,IF(AND(BX132&lt;0,$E132="Enerji Fazlası"),MAX($F132,$G132,150)*BX132*1.03,IF(AND(BX132&lt;0,$E132="Dengede"),MAX($F132:$G132,150)*1.03*BX132,MIN($F132:$G132)*0.97*BX132)))))))))</f>
        <v/>
      </c>
      <c r="BZ132" s="34">
        <f>BE132-BV132-CA132</f>
        <v/>
      </c>
      <c r="CA132" s="34">
        <f>BD132</f>
        <v/>
      </c>
      <c r="CB132" s="33">
        <f>BE132-BV132</f>
        <v/>
      </c>
      <c r="CC132" s="34">
        <f>IF(AY132=0,0,CB132/AY132)</f>
        <v/>
      </c>
      <c r="CD132" s="34">
        <f>MAX((AY132+MAX((-J132+L132-N132+Q132-T132+X132),0)),(MAX((J132-L132+N132-Q132+T132-X132),0)))</f>
        <v/>
      </c>
      <c r="CE132" s="82">
        <f>IFERROR(ABS(BX132/CD132),0)</f>
        <v/>
      </c>
      <c r="CF132" s="34">
        <f>IF(CE132&lt;=0.1,0,BX132/CE132*(CE132-0.1))</f>
        <v/>
      </c>
      <c r="CG132" s="34">
        <f>IF((CF132)&lt;0,MAX(F132:G132)*(CF132)*1.03,MIN(F132:G132)*(CF132)*0.97)</f>
        <v/>
      </c>
      <c r="CH132" s="34">
        <f>IF(CE132&gt;0.1,1,0)</f>
        <v/>
      </c>
      <c r="CI132" s="34">
        <f>(F132*BX132)-BY132</f>
        <v/>
      </c>
      <c r="CJ132" s="34">
        <f>IF(AY132=0,0,CI132/AY132)</f>
        <v/>
      </c>
    </row>
    <row r="133">
      <c r="A133" s="29" t="n">
        <v>46209.41666666666</v>
      </c>
      <c r="B133" s="29" t="inlineStr">
        <is>
          <t>10:00</t>
        </is>
      </c>
      <c r="C133" s="35">
        <f>INT(A133)</f>
        <v/>
      </c>
      <c r="D133" s="36">
        <f>MONTH(A133)</f>
        <v/>
      </c>
      <c r="E133" s="147" t="inlineStr">
        <is>
          <t>Enerji Fazlası</t>
        </is>
      </c>
      <c r="F133" s="30" t="n">
        <v>1499.99</v>
      </c>
      <c r="G133" s="30" t="n">
        <v>390</v>
      </c>
      <c r="H133" s="30" t="n">
        <v>32.17</v>
      </c>
      <c r="I133" s="30" t="n">
        <v>1880.99</v>
      </c>
      <c r="J133" s="119" t="n">
        <v>0</v>
      </c>
      <c r="K133" s="34">
        <f>F133*J133</f>
        <v/>
      </c>
      <c r="L133" s="119" t="n">
        <v>0</v>
      </c>
      <c r="M133" s="34">
        <f>L133*F133</f>
        <v/>
      </c>
      <c r="N133" s="119" t="n">
        <v>25.3</v>
      </c>
      <c r="O133" s="34">
        <f>F133</f>
        <v/>
      </c>
      <c r="P133" s="34">
        <f>N133*O133</f>
        <v/>
      </c>
      <c r="Q133" s="117" t="n">
        <v>0</v>
      </c>
      <c r="R133" s="34">
        <f>F133</f>
        <v/>
      </c>
      <c r="S133" s="34">
        <f>R133*Q133</f>
        <v/>
      </c>
      <c r="T133" s="34" t="n"/>
      <c r="U133" s="34">
        <f>IFERROR(W133/T133,0)</f>
        <v/>
      </c>
      <c r="V133" s="34">
        <f>IF(U133=0,0,U133-F133)</f>
        <v/>
      </c>
      <c r="W133" s="34" t="n"/>
      <c r="X133" s="34" t="n"/>
      <c r="Y133" s="34">
        <f>IFERROR(AA133/X133,0)</f>
        <v/>
      </c>
      <c r="Z133" s="34">
        <f>IF(Y133=0,0,F133-Y133)</f>
        <v/>
      </c>
      <c r="AA133" s="34" t="n"/>
      <c r="AB133" s="34" t="n">
        <v>0</v>
      </c>
      <c r="AC133" s="34" t="n">
        <v>0</v>
      </c>
      <c r="AD133" s="34">
        <f>IF(AB133&gt;AC133*1.05,AB133-AC133*1.05,IF(AB133&lt;AC133*0.95,AC133*0.95-AB133,0))</f>
        <v/>
      </c>
      <c r="AE133" s="34">
        <f>MAX(F133,G133,750)*0.05*AD133</f>
        <v/>
      </c>
      <c r="AF133" s="34" t="n">
        <v>0</v>
      </c>
      <c r="AG133" s="34">
        <f>IF(AB133&gt;AF133*1.05,AB133-AF133*1.05,IF(AB133&lt;AF133*0.95,AF133*0.95-AB133,0))</f>
        <v/>
      </c>
      <c r="AH133" s="34">
        <f>MAX(I133,J133,750)*0.05*AG133</f>
        <v/>
      </c>
      <c r="AI133" t="n">
        <v>10.21</v>
      </c>
      <c r="AJ133" t="n">
        <v>10</v>
      </c>
      <c r="AK133" s="34">
        <f>IF(AI133&gt;AJ133*1.05,AI133-AJ133*1.05,IF(AI133&lt;AJ133*0.95,AJ133*0.95-AI133,0))</f>
        <v/>
      </c>
      <c r="AL133" s="34">
        <f>MAX(F133,G133,750)*0.05*AK133</f>
        <v/>
      </c>
      <c r="AM133" s="39" t="n">
        <v>10</v>
      </c>
      <c r="AN133" s="34">
        <f>IF(AI133&gt;AM133*1.05,AI133-AM133*1.05,IF(AI133&lt;AM133*0.95,AM133*0.95-AI133,0))</f>
        <v/>
      </c>
      <c r="AO133" s="34">
        <f>MAX(F133,G133,750)*0.05*AN133</f>
        <v/>
      </c>
      <c r="AP133" s="34" t="n">
        <v>15.13</v>
      </c>
      <c r="AQ133" s="34" t="n">
        <v>15.3</v>
      </c>
      <c r="AR133" s="34">
        <f>IF(AP133&gt;AQ133*1.05,AP133-AQ133*1.05,IF(AP133&lt;AQ133*0.95,AQ133*0.95-AP133,0))</f>
        <v/>
      </c>
      <c r="AS133" s="34">
        <f>MAX(F133:G133,750)*0.05*AR133</f>
        <v/>
      </c>
      <c r="AT133" t="n">
        <v>15.3</v>
      </c>
      <c r="AU133" s="34">
        <f>IF(AP133&gt;AT133*1.05,AP133-AT133*1.05,IF(AP133&lt;AT133*0.95,AT133*0.95-AP133,0))</f>
        <v/>
      </c>
      <c r="AV133" s="34">
        <f>MAX(F133:G133,750)*0.05*AU133</f>
        <v/>
      </c>
      <c r="AW133" s="34">
        <f>AC133+AJ133+AQ133</f>
        <v/>
      </c>
      <c r="AX133" s="34">
        <f>AF133+AM133+AT133</f>
        <v/>
      </c>
      <c r="AY133" s="34">
        <f>AB133+AI133+AP133</f>
        <v/>
      </c>
      <c r="AZ133" s="34" t="n">
        <v>0</v>
      </c>
      <c r="BA133" s="34">
        <f>AD133+AK133+AR133</f>
        <v/>
      </c>
      <c r="BB133" s="34">
        <f>MAX(F133:G133,750)*0.05*BA133</f>
        <v/>
      </c>
      <c r="BC133" s="34">
        <f>AG133+AN133+AU133</f>
        <v/>
      </c>
      <c r="BD133" s="34">
        <f>MAX(F133:G133,750)*0.05*BC133</f>
        <v/>
      </c>
      <c r="BE133" s="34">
        <f>F133*AY133</f>
        <v/>
      </c>
      <c r="BF133" s="34">
        <f>K133-M133</f>
        <v/>
      </c>
      <c r="BG133" s="34">
        <f>P133-S133</f>
        <v/>
      </c>
      <c r="BH133" s="34">
        <f>W133-AA133</f>
        <v/>
      </c>
      <c r="BI133" s="34">
        <f>BF133+BG133+BL133-BN133</f>
        <v/>
      </c>
      <c r="BJ133" s="34">
        <f>ABS(BK133)</f>
        <v/>
      </c>
      <c r="BK133" s="34">
        <f>AY133-(J133-L133+N133-Q133)</f>
        <v/>
      </c>
      <c r="BL133" s="34">
        <f>IF(AND(BK133&gt;0,MIN($F133:$G133)&lt;150,$E133="Enerji Açığı"),-100*BK133*1.03,IF(AND(BK133&gt;0,MIN($F133:$G133)&lt;150,$E133="Enerji Fazlası"),-100*BK133*1.06,IF(AND(BK133&gt;0,MIN($F133:$G133)&gt;=150,$E133="Enerji Açığı"),BK133*MIN($F133:$G133)*0.97,IF(AND(BK133&gt;0,MIN($F133:$G133)&gt;=150,$E133="Enerji Fazlası"),BK133*MIN($F133:$G133)*0.94,IF(AND(BK133&lt;0,MAX($F133:$G133)=4500,$E133="Enerji Açığı"),4500*1.05*1.06*BK133,IF(AND(BK133&lt;0,MAX($F133:$G133)=4500,$E133="Enerji Fazlası"),4500*1.05*1.03*BK133,IF(AND(BK133&lt;0,$E133="Enerji Açığı"),MAX($F133,$G133,150)*BK133*1.06,IF(AND(BK133&lt;0,$E133="Enerji Fazlası"),MAX($F133,$G133,150)*BK133*1.03,IF(AND(BK133&lt;0,$E133="Dengede"),MAX($F133:$G133,150)*1.03*BK133,MIN($F133:$G133)*0.97*BK133)))))))))</f>
        <v/>
      </c>
      <c r="BM133" s="34">
        <f>BE133-BI133-BN133</f>
        <v/>
      </c>
      <c r="BN133" s="34">
        <f>BB133</f>
        <v/>
      </c>
      <c r="BO133" s="34">
        <f>BE133-BI133</f>
        <v/>
      </c>
      <c r="BP133" s="34">
        <f>IF(AY133=0,0,BO133/AY133)</f>
        <v/>
      </c>
      <c r="BQ133" s="34">
        <f>MAX((AY133+MAX((-J133+L133-N133+Q133),0)),(MAX((J133-L133+N133-Q133),0)))</f>
        <v/>
      </c>
      <c r="BR133" s="82">
        <f>IFERROR(ABS(BK133/BQ133),0)</f>
        <v/>
      </c>
      <c r="BS133" s="34">
        <f>IF(BR133&lt;=0.1,0,BK133/BR133*(BR133-0.1))</f>
        <v/>
      </c>
      <c r="BT133" s="34">
        <f>IF((BS133)&lt;0,MAX(F133:G133)*(BS133)*1.03,MIN(F133:G133)*(BS133)*0.97)</f>
        <v/>
      </c>
      <c r="BU133" s="34">
        <f>IF(BR133&gt;0.1,1,0)</f>
        <v/>
      </c>
      <c r="BV133" s="34">
        <f>BF133+BG133+BH133+BY133-CA133</f>
        <v/>
      </c>
      <c r="BW133" s="34">
        <f>ABS(BX133)</f>
        <v/>
      </c>
      <c r="BX133" s="34">
        <f>AY133-(J133-L133+N133-Q133+T133-X133)</f>
        <v/>
      </c>
      <c r="BY133" s="34">
        <f>IF(AND(BX133&gt;0,MIN($F133:$G133)&lt;150,$E133="Enerji Açığı"),-100*BX133*1.03,IF(AND(BX133&gt;0,MIN($F133:$G133)&lt;150,$E133="Enerji Fazlası"),-100*BX133*1.06,IF(AND(BX133&gt;0,MIN($F133:$G133)&gt;=150,$E133="Enerji Açığı"),BX133*MIN($F133:$G133)*0.97,IF(AND(BX133&gt;0,MIN($F133:$G133)&gt;=150,$E133="Enerji Fazlası"),BX133*MIN($F133:$G133)*0.94,IF(AND(BX133&lt;0,MAX($F133:$G133)=4500,$E133="Enerji Açığı"),4500*1.05*1.06*BX133,IF(AND(BX133&lt;0,MAX($F133:$G133)=4500,$E133="Enerji Fazlası"),4500*1.05*1.03*BX133,IF(AND(BX133&lt;0,$E133="Enerji Açığı"),MAX($F133,$G133,150)*BX133*1.06,IF(AND(BX133&lt;0,$E133="Enerji Fazlası"),MAX($F133,$G133,150)*BX133*1.03,IF(AND(BX133&lt;0,$E133="Dengede"),MAX($F133:$G133,150)*1.03*BX133,MIN($F133:$G133)*0.97*BX133)))))))))</f>
        <v/>
      </c>
      <c r="BZ133" s="34">
        <f>BE133-BV133-CA133</f>
        <v/>
      </c>
      <c r="CA133" s="34">
        <f>BD133</f>
        <v/>
      </c>
      <c r="CB133" s="33">
        <f>BE133-BV133</f>
        <v/>
      </c>
      <c r="CC133" s="34">
        <f>IF(AY133=0,0,CB133/AY133)</f>
        <v/>
      </c>
      <c r="CD133" s="34">
        <f>MAX((AY133+MAX((-J133+L133-N133+Q133-T133+X133),0)),(MAX((J133-L133+N133-Q133+T133-X133),0)))</f>
        <v/>
      </c>
      <c r="CE133" s="82">
        <f>IFERROR(ABS(BX133/CD133),0)</f>
        <v/>
      </c>
      <c r="CF133" s="34">
        <f>IF(CE133&lt;=0.1,0,BX133/CE133*(CE133-0.1))</f>
        <v/>
      </c>
      <c r="CG133" s="34">
        <f>IF((CF133)&lt;0,MAX(F133:G133)*(CF133)*1.03,MIN(F133:G133)*(CF133)*0.97)</f>
        <v/>
      </c>
      <c r="CH133" s="34">
        <f>IF(CE133&gt;0.1,1,0)</f>
        <v/>
      </c>
      <c r="CI133" s="34">
        <f>(F133*BX133)-BY133</f>
        <v/>
      </c>
      <c r="CJ133" s="34">
        <f>IF(AY133=0,0,CI133/AY133)</f>
        <v/>
      </c>
    </row>
    <row r="134">
      <c r="A134" s="29" t="n">
        <v>46209.45833333334</v>
      </c>
      <c r="B134" s="29" t="inlineStr">
        <is>
          <t>11:00</t>
        </is>
      </c>
      <c r="C134" s="35">
        <f>INT(A134)</f>
        <v/>
      </c>
      <c r="D134" s="36">
        <f>MONTH(A134)</f>
        <v/>
      </c>
      <c r="E134" s="147" t="inlineStr">
        <is>
          <t>Enerji Fazlası</t>
        </is>
      </c>
      <c r="F134" s="30" t="n">
        <v>1499.99</v>
      </c>
      <c r="G134" s="30" t="n">
        <v>400</v>
      </c>
      <c r="H134" s="30" t="n">
        <v>32.17</v>
      </c>
      <c r="I134" s="30" t="n">
        <v>1674.11</v>
      </c>
      <c r="J134" s="119" t="n">
        <v>0</v>
      </c>
      <c r="K134" s="34">
        <f>F134*J134</f>
        <v/>
      </c>
      <c r="L134" s="119" t="n">
        <v>0</v>
      </c>
      <c r="M134" s="34">
        <f>L134*F134</f>
        <v/>
      </c>
      <c r="N134" s="119" t="n">
        <v>25.3</v>
      </c>
      <c r="O134" s="34">
        <f>F134</f>
        <v/>
      </c>
      <c r="P134" s="34">
        <f>N134*O134</f>
        <v/>
      </c>
      <c r="Q134" s="117" t="n">
        <v>0</v>
      </c>
      <c r="R134" s="34">
        <f>F134</f>
        <v/>
      </c>
      <c r="S134" s="34">
        <f>R134*Q134</f>
        <v/>
      </c>
      <c r="T134" s="34" t="n"/>
      <c r="U134" s="34">
        <f>IFERROR(W134/T134,0)</f>
        <v/>
      </c>
      <c r="V134" s="34">
        <f>IF(U134=0,0,U134-F134)</f>
        <v/>
      </c>
      <c r="W134" s="34" t="n"/>
      <c r="X134" s="34" t="n"/>
      <c r="Y134" s="34">
        <f>IFERROR(AA134/X134,0)</f>
        <v/>
      </c>
      <c r="Z134" s="34">
        <f>IF(Y134=0,0,F134-Y134)</f>
        <v/>
      </c>
      <c r="AA134" s="34" t="n"/>
      <c r="AB134" s="34" t="n">
        <v>0</v>
      </c>
      <c r="AC134" s="34" t="n">
        <v>0</v>
      </c>
      <c r="AD134" s="34">
        <f>IF(AB134&gt;AC134*1.05,AB134-AC134*1.05,IF(AB134&lt;AC134*0.95,AC134*0.95-AB134,0))</f>
        <v/>
      </c>
      <c r="AE134" s="34">
        <f>MAX(F134,G134,750)*0.05*AD134</f>
        <v/>
      </c>
      <c r="AF134" s="34" t="n">
        <v>0</v>
      </c>
      <c r="AG134" s="34">
        <f>IF(AB134&gt;AF134*1.05,AB134-AF134*1.05,IF(AB134&lt;AF134*0.95,AF134*0.95-AB134,0))</f>
        <v/>
      </c>
      <c r="AH134" s="34">
        <f>MAX(I134,J134,750)*0.05*AG134</f>
        <v/>
      </c>
      <c r="AI134" t="n">
        <v>10.63</v>
      </c>
      <c r="AJ134" t="n">
        <v>10</v>
      </c>
      <c r="AK134" s="34">
        <f>IF(AI134&gt;AJ134*1.05,AI134-AJ134*1.05,IF(AI134&lt;AJ134*0.95,AJ134*0.95-AI134,0))</f>
        <v/>
      </c>
      <c r="AL134" s="34">
        <f>MAX(F134,G134,750)*0.05*AK134</f>
        <v/>
      </c>
      <c r="AM134" s="39" t="n">
        <v>10</v>
      </c>
      <c r="AN134" s="34">
        <f>IF(AI134&gt;AM134*1.05,AI134-AM134*1.05,IF(AI134&lt;AM134*0.95,AM134*0.95-AI134,0))</f>
        <v/>
      </c>
      <c r="AO134" s="34">
        <f>MAX(F134,G134,750)*0.05*AN134</f>
        <v/>
      </c>
      <c r="AP134" s="34" t="n">
        <v>14.29</v>
      </c>
      <c r="AQ134" s="34" t="n">
        <v>15.3</v>
      </c>
      <c r="AR134" s="34">
        <f>IF(AP134&gt;AQ134*1.05,AP134-AQ134*1.05,IF(AP134&lt;AQ134*0.95,AQ134*0.95-AP134,0))</f>
        <v/>
      </c>
      <c r="AS134" s="34">
        <f>MAX(F134:G134,750)*0.05*AR134</f>
        <v/>
      </c>
      <c r="AT134" t="n">
        <v>15.3</v>
      </c>
      <c r="AU134" s="34">
        <f>IF(AP134&gt;AT134*1.05,AP134-AT134*1.05,IF(AP134&lt;AT134*0.95,AT134*0.95-AP134,0))</f>
        <v/>
      </c>
      <c r="AV134" s="34">
        <f>MAX(F134:G134,750)*0.05*AU134</f>
        <v/>
      </c>
      <c r="AW134" s="34">
        <f>AC134+AJ134+AQ134</f>
        <v/>
      </c>
      <c r="AX134" s="34">
        <f>AF134+AM134+AT134</f>
        <v/>
      </c>
      <c r="AY134" s="34">
        <f>AB134+AI134+AP134</f>
        <v/>
      </c>
      <c r="AZ134" s="34" t="n">
        <v>0</v>
      </c>
      <c r="BA134" s="34">
        <f>AD134+AK134+AR134</f>
        <v/>
      </c>
      <c r="BB134" s="34">
        <f>MAX(F134:G134,750)*0.05*BA134</f>
        <v/>
      </c>
      <c r="BC134" s="34">
        <f>AG134+AN134+AU134</f>
        <v/>
      </c>
      <c r="BD134" s="34">
        <f>MAX(F134:G134,750)*0.05*BC134</f>
        <v/>
      </c>
      <c r="BE134" s="34">
        <f>F134*AY134</f>
        <v/>
      </c>
      <c r="BF134" s="34">
        <f>K134-M134</f>
        <v/>
      </c>
      <c r="BG134" s="34">
        <f>P134-S134</f>
        <v/>
      </c>
      <c r="BH134" s="34">
        <f>W134-AA134</f>
        <v/>
      </c>
      <c r="BI134" s="34">
        <f>BF134+BG134+BL134-BN134</f>
        <v/>
      </c>
      <c r="BJ134" s="34">
        <f>ABS(BK134)</f>
        <v/>
      </c>
      <c r="BK134" s="34">
        <f>AY134-(J134-L134+N134-Q134)</f>
        <v/>
      </c>
      <c r="BL134" s="34">
        <f>IF(AND(BK134&gt;0,MIN($F134:$G134)&lt;150,$E134="Enerji Açığı"),-100*BK134*1.03,IF(AND(BK134&gt;0,MIN($F134:$G134)&lt;150,$E134="Enerji Fazlası"),-100*BK134*1.06,IF(AND(BK134&gt;0,MIN($F134:$G134)&gt;=150,$E134="Enerji Açığı"),BK134*MIN($F134:$G134)*0.97,IF(AND(BK134&gt;0,MIN($F134:$G134)&gt;=150,$E134="Enerji Fazlası"),BK134*MIN($F134:$G134)*0.94,IF(AND(BK134&lt;0,MAX($F134:$G134)=4500,$E134="Enerji Açığı"),4500*1.05*1.06*BK134,IF(AND(BK134&lt;0,MAX($F134:$G134)=4500,$E134="Enerji Fazlası"),4500*1.05*1.03*BK134,IF(AND(BK134&lt;0,$E134="Enerji Açığı"),MAX($F134,$G134,150)*BK134*1.06,IF(AND(BK134&lt;0,$E134="Enerji Fazlası"),MAX($F134,$G134,150)*BK134*1.03,IF(AND(BK134&lt;0,$E134="Dengede"),MAX($F134:$G134,150)*1.03*BK134,MIN($F134:$G134)*0.97*BK134)))))))))</f>
        <v/>
      </c>
      <c r="BM134" s="34">
        <f>BE134-BI134-BN134</f>
        <v/>
      </c>
      <c r="BN134" s="34">
        <f>BB134</f>
        <v/>
      </c>
      <c r="BO134" s="34">
        <f>BE134-BI134</f>
        <v/>
      </c>
      <c r="BP134" s="34">
        <f>IF(AY134=0,0,BO134/AY134)</f>
        <v/>
      </c>
      <c r="BQ134" s="34">
        <f>MAX((AY134+MAX((-J134+L134-N134+Q134),0)),(MAX((J134-L134+N134-Q134),0)))</f>
        <v/>
      </c>
      <c r="BR134" s="82">
        <f>IFERROR(ABS(BK134/BQ134),0)</f>
        <v/>
      </c>
      <c r="BS134" s="34">
        <f>IF(BR134&lt;=0.1,0,BK134/BR134*(BR134-0.1))</f>
        <v/>
      </c>
      <c r="BT134" s="34">
        <f>IF((BS134)&lt;0,MAX(F134:G134)*(BS134)*1.03,MIN(F134:G134)*(BS134)*0.97)</f>
        <v/>
      </c>
      <c r="BU134" s="34">
        <f>IF(BR134&gt;0.1,1,0)</f>
        <v/>
      </c>
      <c r="BV134" s="34">
        <f>BF134+BG134+BH134+BY134-CA134</f>
        <v/>
      </c>
      <c r="BW134" s="34">
        <f>ABS(BX134)</f>
        <v/>
      </c>
      <c r="BX134" s="34">
        <f>AY134-(J134-L134+N134-Q134+T134-X134)</f>
        <v/>
      </c>
      <c r="BY134" s="34">
        <f>IF(AND(BX134&gt;0,MIN($F134:$G134)&lt;150,$E134="Enerji Açığı"),-100*BX134*1.03,IF(AND(BX134&gt;0,MIN($F134:$G134)&lt;150,$E134="Enerji Fazlası"),-100*BX134*1.06,IF(AND(BX134&gt;0,MIN($F134:$G134)&gt;=150,$E134="Enerji Açığı"),BX134*MIN($F134:$G134)*0.97,IF(AND(BX134&gt;0,MIN($F134:$G134)&gt;=150,$E134="Enerji Fazlası"),BX134*MIN($F134:$G134)*0.94,IF(AND(BX134&lt;0,MAX($F134:$G134)=4500,$E134="Enerji Açığı"),4500*1.05*1.06*BX134,IF(AND(BX134&lt;0,MAX($F134:$G134)=4500,$E134="Enerji Fazlası"),4500*1.05*1.03*BX134,IF(AND(BX134&lt;0,$E134="Enerji Açığı"),MAX($F134,$G134,150)*BX134*1.06,IF(AND(BX134&lt;0,$E134="Enerji Fazlası"),MAX($F134,$G134,150)*BX134*1.03,IF(AND(BX134&lt;0,$E134="Dengede"),MAX($F134:$G134,150)*1.03*BX134,MIN($F134:$G134)*0.97*BX134)))))))))</f>
        <v/>
      </c>
      <c r="BZ134" s="34">
        <f>BE134-BV134-CA134</f>
        <v/>
      </c>
      <c r="CA134" s="34">
        <f>BD134</f>
        <v/>
      </c>
      <c r="CB134" s="33">
        <f>BE134-BV134</f>
        <v/>
      </c>
      <c r="CC134" s="34">
        <f>IF(AY134=0,0,CB134/AY134)</f>
        <v/>
      </c>
      <c r="CD134" s="34">
        <f>MAX((AY134+MAX((-J134+L134-N134+Q134-T134+X134),0)),(MAX((J134-L134+N134-Q134+T134-X134),0)))</f>
        <v/>
      </c>
      <c r="CE134" s="82">
        <f>IFERROR(ABS(BX134/CD134),0)</f>
        <v/>
      </c>
      <c r="CF134" s="34">
        <f>IF(CE134&lt;=0.1,0,BX134/CE134*(CE134-0.1))</f>
        <v/>
      </c>
      <c r="CG134" s="34">
        <f>IF((CF134)&lt;0,MAX(F134:G134)*(CF134)*1.03,MIN(F134:G134)*(CF134)*0.97)</f>
        <v/>
      </c>
      <c r="CH134" s="34">
        <f>IF(CE134&gt;0.1,1,0)</f>
        <v/>
      </c>
      <c r="CI134" s="34">
        <f>(F134*BX134)-BY134</f>
        <v/>
      </c>
      <c r="CJ134" s="34">
        <f>IF(AY134=0,0,CI134/AY134)</f>
        <v/>
      </c>
    </row>
    <row r="135">
      <c r="A135" s="29" t="n">
        <v>46209.5</v>
      </c>
      <c r="B135" s="29" t="inlineStr">
        <is>
          <t>12:00</t>
        </is>
      </c>
      <c r="C135" s="35">
        <f>INT(A135)</f>
        <v/>
      </c>
      <c r="D135" s="36">
        <f>MONTH(A135)</f>
        <v/>
      </c>
      <c r="E135" s="147" t="inlineStr">
        <is>
          <t>Enerji Fazlası</t>
        </is>
      </c>
      <c r="F135" s="30" t="n">
        <v>600.01</v>
      </c>
      <c r="G135" s="30" t="n">
        <v>180</v>
      </c>
      <c r="H135" s="30" t="n">
        <v>12.87</v>
      </c>
      <c r="I135" s="30" t="n">
        <v>756.17</v>
      </c>
      <c r="J135" s="119" t="n">
        <v>0</v>
      </c>
      <c r="K135" s="34">
        <f>F135*J135</f>
        <v/>
      </c>
      <c r="L135" s="119" t="n">
        <v>0</v>
      </c>
      <c r="M135" s="34">
        <f>L135*F135</f>
        <v/>
      </c>
      <c r="N135" s="119" t="n">
        <v>24.5</v>
      </c>
      <c r="O135" s="34">
        <f>F135</f>
        <v/>
      </c>
      <c r="P135" s="34">
        <f>N135*O135</f>
        <v/>
      </c>
      <c r="Q135" s="117" t="n">
        <v>0</v>
      </c>
      <c r="R135" s="34">
        <f>F135</f>
        <v/>
      </c>
      <c r="S135" s="34">
        <f>R135*Q135</f>
        <v/>
      </c>
      <c r="T135" s="34" t="n"/>
      <c r="U135" s="34">
        <f>IFERROR(W135/T135,0)</f>
        <v/>
      </c>
      <c r="V135" s="34">
        <f>IF(U135=0,0,U135-F135)</f>
        <v/>
      </c>
      <c r="W135" s="34" t="n"/>
      <c r="X135" s="34" t="n"/>
      <c r="Y135" s="34">
        <f>IFERROR(AA135/X135,0)</f>
        <v/>
      </c>
      <c r="Z135" s="34">
        <f>IF(Y135=0,0,F135-Y135)</f>
        <v/>
      </c>
      <c r="AA135" s="34" t="n"/>
      <c r="AB135" s="34" t="n">
        <v>0</v>
      </c>
      <c r="AC135" s="34" t="n">
        <v>0</v>
      </c>
      <c r="AD135" s="34">
        <f>IF(AB135&gt;AC135*1.05,AB135-AC135*1.05,IF(AB135&lt;AC135*0.95,AC135*0.95-AB135,0))</f>
        <v/>
      </c>
      <c r="AE135" s="34">
        <f>MAX(F135,G135,750)*0.05*AD135</f>
        <v/>
      </c>
      <c r="AF135" s="34" t="n">
        <v>0</v>
      </c>
      <c r="AG135" s="34">
        <f>IF(AB135&gt;AF135*1.05,AB135-AF135*1.05,IF(AB135&lt;AF135*0.95,AF135*0.95-AB135,0))</f>
        <v/>
      </c>
      <c r="AH135" s="34">
        <f>MAX(I135,J135,750)*0.05*AG135</f>
        <v/>
      </c>
      <c r="AI135" t="n">
        <v>6.86</v>
      </c>
      <c r="AJ135" t="n">
        <v>9</v>
      </c>
      <c r="AK135" s="34">
        <f>IF(AI135&gt;AJ135*1.05,AI135-AJ135*1.05,IF(AI135&lt;AJ135*0.95,AJ135*0.95-AI135,0))</f>
        <v/>
      </c>
      <c r="AL135" s="34">
        <f>MAX(F135,G135,750)*0.05*AK135</f>
        <v/>
      </c>
      <c r="AM135" s="39" t="n">
        <v>6.5</v>
      </c>
      <c r="AN135" s="34">
        <f>IF(AI135&gt;AM135*1.05,AI135-AM135*1.05,IF(AI135&lt;AM135*0.95,AM135*0.95-AI135,0))</f>
        <v/>
      </c>
      <c r="AO135" s="34">
        <f>MAX(F135,G135,750)*0.05*AN135</f>
        <v/>
      </c>
      <c r="AP135" s="34" t="n">
        <v>10.08</v>
      </c>
      <c r="AQ135" s="34" t="n">
        <v>15.5</v>
      </c>
      <c r="AR135" s="34">
        <f>IF(AP135&gt;AQ135*1.05,AP135-AQ135*1.05,IF(AP135&lt;AQ135*0.95,AQ135*0.95-AP135,0))</f>
        <v/>
      </c>
      <c r="AS135" s="34">
        <f>MAX(F135:G135,750)*0.05*AR135</f>
        <v/>
      </c>
      <c r="AT135" t="n">
        <v>10</v>
      </c>
      <c r="AU135" s="34">
        <f>IF(AP135&gt;AT135*1.05,AP135-AT135*1.05,IF(AP135&lt;AT135*0.95,AT135*0.95-AP135,0))</f>
        <v/>
      </c>
      <c r="AV135" s="34">
        <f>MAX(F135:G135,750)*0.05*AU135</f>
        <v/>
      </c>
      <c r="AW135" s="34">
        <f>AC135+AJ135+AQ135</f>
        <v/>
      </c>
      <c r="AX135" s="34">
        <f>AF135+AM135+AT135</f>
        <v/>
      </c>
      <c r="AY135" s="34">
        <f>AB135+AI135+AP135</f>
        <v/>
      </c>
      <c r="AZ135" s="34" t="n">
        <v>0</v>
      </c>
      <c r="BA135" s="34">
        <f>AD135+AK135+AR135</f>
        <v/>
      </c>
      <c r="BB135" s="34">
        <f>MAX(F135:G135,750)*0.05*BA135</f>
        <v/>
      </c>
      <c r="BC135" s="34">
        <f>AG135+AN135+AU135</f>
        <v/>
      </c>
      <c r="BD135" s="34">
        <f>MAX(F135:G135,750)*0.05*BC135</f>
        <v/>
      </c>
      <c r="BE135" s="34">
        <f>F135*AY135</f>
        <v/>
      </c>
      <c r="BF135" s="34">
        <f>K135-M135</f>
        <v/>
      </c>
      <c r="BG135" s="34">
        <f>P135-S135</f>
        <v/>
      </c>
      <c r="BH135" s="34">
        <f>W135-AA135</f>
        <v/>
      </c>
      <c r="BI135" s="34">
        <f>BF135+BG135+BL135-BN135</f>
        <v/>
      </c>
      <c r="BJ135" s="34">
        <f>ABS(BK135)</f>
        <v/>
      </c>
      <c r="BK135" s="34">
        <f>AY135-(J135-L135+N135-Q135)</f>
        <v/>
      </c>
      <c r="BL135" s="34">
        <f>IF(AND(BK135&gt;0,MIN($F135:$G135)&lt;150,$E135="Enerji Açığı"),-100*BK135*1.03,IF(AND(BK135&gt;0,MIN($F135:$G135)&lt;150,$E135="Enerji Fazlası"),-100*BK135*1.06,IF(AND(BK135&gt;0,MIN($F135:$G135)&gt;=150,$E135="Enerji Açığı"),BK135*MIN($F135:$G135)*0.97,IF(AND(BK135&gt;0,MIN($F135:$G135)&gt;=150,$E135="Enerji Fazlası"),BK135*MIN($F135:$G135)*0.94,IF(AND(BK135&lt;0,MAX($F135:$G135)=4500,$E135="Enerji Açığı"),4500*1.05*1.06*BK135,IF(AND(BK135&lt;0,MAX($F135:$G135)=4500,$E135="Enerji Fazlası"),4500*1.05*1.03*BK135,IF(AND(BK135&lt;0,$E135="Enerji Açığı"),MAX($F135,$G135,150)*BK135*1.06,IF(AND(BK135&lt;0,$E135="Enerji Fazlası"),MAX($F135,$G135,150)*BK135*1.03,IF(AND(BK135&lt;0,$E135="Dengede"),MAX($F135:$G135,150)*1.03*BK135,MIN($F135:$G135)*0.97*BK135)))))))))</f>
        <v/>
      </c>
      <c r="BM135" s="34">
        <f>BE135-BI135-BN135</f>
        <v/>
      </c>
      <c r="BN135" s="34">
        <f>BB135</f>
        <v/>
      </c>
      <c r="BO135" s="34">
        <f>BE135-BI135</f>
        <v/>
      </c>
      <c r="BP135" s="34">
        <f>IF(AY135=0,0,BO135/AY135)</f>
        <v/>
      </c>
      <c r="BQ135" s="34">
        <f>MAX((AY135+MAX((-J135+L135-N135+Q135),0)),(MAX((J135-L135+N135-Q135),0)))</f>
        <v/>
      </c>
      <c r="BR135" s="82">
        <f>IFERROR(ABS(BK135/BQ135),0)</f>
        <v/>
      </c>
      <c r="BS135" s="34">
        <f>IF(BR135&lt;=0.1,0,BK135/BR135*(BR135-0.1))</f>
        <v/>
      </c>
      <c r="BT135" s="34">
        <f>IF((BS135)&lt;0,MAX(F135:G135)*(BS135)*1.03,MIN(F135:G135)*(BS135)*0.97)</f>
        <v/>
      </c>
      <c r="BU135" s="34">
        <f>IF(BR135&gt;0.1,1,0)</f>
        <v/>
      </c>
      <c r="BV135" s="34">
        <f>BF135+BG135+BH135+BY135-CA135</f>
        <v/>
      </c>
      <c r="BW135" s="34">
        <f>ABS(BX135)</f>
        <v/>
      </c>
      <c r="BX135" s="34">
        <f>AY135-(J135-L135+N135-Q135+T135-X135)</f>
        <v/>
      </c>
      <c r="BY135" s="34">
        <f>IF(AND(BX135&gt;0,MIN($F135:$G135)&lt;150,$E135="Enerji Açığı"),-100*BX135*1.03,IF(AND(BX135&gt;0,MIN($F135:$G135)&lt;150,$E135="Enerji Fazlası"),-100*BX135*1.06,IF(AND(BX135&gt;0,MIN($F135:$G135)&gt;=150,$E135="Enerji Açığı"),BX135*MIN($F135:$G135)*0.97,IF(AND(BX135&gt;0,MIN($F135:$G135)&gt;=150,$E135="Enerji Fazlası"),BX135*MIN($F135:$G135)*0.94,IF(AND(BX135&lt;0,MAX($F135:$G135)=4500,$E135="Enerji Açığı"),4500*1.05*1.06*BX135,IF(AND(BX135&lt;0,MAX($F135:$G135)=4500,$E135="Enerji Fazlası"),4500*1.05*1.03*BX135,IF(AND(BX135&lt;0,$E135="Enerji Açığı"),MAX($F135,$G135,150)*BX135*1.06,IF(AND(BX135&lt;0,$E135="Enerji Fazlası"),MAX($F135,$G135,150)*BX135*1.03,IF(AND(BX135&lt;0,$E135="Dengede"),MAX($F135:$G135,150)*1.03*BX135,MIN($F135:$G135)*0.97*BX135)))))))))</f>
        <v/>
      </c>
      <c r="BZ135" s="34">
        <f>BE135-BV135-CA135</f>
        <v/>
      </c>
      <c r="CA135" s="34">
        <f>BD135</f>
        <v/>
      </c>
      <c r="CB135" s="33">
        <f>BE135-BV135</f>
        <v/>
      </c>
      <c r="CC135" s="34">
        <f>IF(AY135=0,0,CB135/AY135)</f>
        <v/>
      </c>
      <c r="CD135" s="34">
        <f>MAX((AY135+MAX((-J135+L135-N135+Q135-T135+X135),0)),(MAX((J135-L135+N135-Q135+T135-X135),0)))</f>
        <v/>
      </c>
      <c r="CE135" s="82">
        <f>IFERROR(ABS(BX135/CD135),0)</f>
        <v/>
      </c>
      <c r="CF135" s="34">
        <f>IF(CE135&lt;=0.1,0,BX135/CE135*(CE135-0.1))</f>
        <v/>
      </c>
      <c r="CG135" s="34">
        <f>IF((CF135)&lt;0,MAX(F135:G135)*(CF135)*1.03,MIN(F135:G135)*(CF135)*0.97)</f>
        <v/>
      </c>
      <c r="CH135" s="34">
        <f>IF(CE135&gt;0.1,1,0)</f>
        <v/>
      </c>
      <c r="CI135" s="34">
        <f>(F135*BX135)-BY135</f>
        <v/>
      </c>
      <c r="CJ135" s="34">
        <f>IF(AY135=0,0,CI135/AY135)</f>
        <v/>
      </c>
    </row>
    <row r="136">
      <c r="A136" s="29" t="n">
        <v>46209.54166666666</v>
      </c>
      <c r="B136" s="29" t="inlineStr">
        <is>
          <t>13:00</t>
        </is>
      </c>
      <c r="C136" s="35">
        <f>INT(A136)</f>
        <v/>
      </c>
      <c r="D136" s="36">
        <f>MONTH(A136)</f>
        <v/>
      </c>
      <c r="E136" s="147" t="inlineStr">
        <is>
          <t>Enerji Fazlası</t>
        </is>
      </c>
      <c r="F136" s="30" t="n">
        <v>1400.01</v>
      </c>
      <c r="G136" s="30" t="n">
        <v>500</v>
      </c>
      <c r="H136" s="30" t="n">
        <v>30.02</v>
      </c>
      <c r="I136" s="30" t="n">
        <v>1341.2</v>
      </c>
      <c r="J136" s="119" t="n">
        <v>0</v>
      </c>
      <c r="K136" s="34">
        <f>F136*J136</f>
        <v/>
      </c>
      <c r="L136" s="119" t="n">
        <v>0</v>
      </c>
      <c r="M136" s="34">
        <f>L136*F136</f>
        <v/>
      </c>
      <c r="N136" s="119" t="n">
        <v>25.5</v>
      </c>
      <c r="O136" s="34">
        <f>F136</f>
        <v/>
      </c>
      <c r="P136" s="34">
        <f>N136*O136</f>
        <v/>
      </c>
      <c r="Q136" s="117" t="n">
        <v>0</v>
      </c>
      <c r="R136" s="34">
        <f>F136</f>
        <v/>
      </c>
      <c r="S136" s="34">
        <f>R136*Q136</f>
        <v/>
      </c>
      <c r="T136" s="34" t="n"/>
      <c r="U136" s="34">
        <f>IFERROR(W136/T136,0)</f>
        <v/>
      </c>
      <c r="V136" s="34">
        <f>IF(U136=0,0,U136-F136)</f>
        <v/>
      </c>
      <c r="W136" s="34" t="n"/>
      <c r="X136" s="34" t="n"/>
      <c r="Y136" s="34">
        <f>IFERROR(AA136/X136,0)</f>
        <v/>
      </c>
      <c r="Z136" s="34">
        <f>IF(Y136=0,0,F136-Y136)</f>
        <v/>
      </c>
      <c r="AA136" s="34" t="n"/>
      <c r="AB136" s="34" t="n">
        <v>0</v>
      </c>
      <c r="AC136" s="34" t="n">
        <v>0</v>
      </c>
      <c r="AD136" s="34">
        <f>IF(AB136&gt;AC136*1.05,AB136-AC136*1.05,IF(AB136&lt;AC136*0.95,AC136*0.95-AB136,0))</f>
        <v/>
      </c>
      <c r="AE136" s="34">
        <f>MAX(F136,G136,750)*0.05*AD136</f>
        <v/>
      </c>
      <c r="AF136" s="34" t="n">
        <v>0</v>
      </c>
      <c r="AG136" s="34">
        <f>IF(AB136&gt;AF136*1.05,AB136-AF136*1.05,IF(AB136&lt;AF136*0.95,AF136*0.95-AB136,0))</f>
        <v/>
      </c>
      <c r="AH136" s="34">
        <f>MAX(I136,J136,750)*0.05*AG136</f>
        <v/>
      </c>
      <c r="AI136" t="n">
        <v>8.48</v>
      </c>
      <c r="AJ136" t="n">
        <v>10</v>
      </c>
      <c r="AK136" s="34">
        <f>IF(AI136&gt;AJ136*1.05,AI136-AJ136*1.05,IF(AI136&lt;AJ136*0.95,AJ136*0.95-AI136,0))</f>
        <v/>
      </c>
      <c r="AL136" s="34">
        <f>MAX(F136,G136,750)*0.05*AK136</f>
        <v/>
      </c>
      <c r="AM136" s="39" t="n">
        <v>8.5</v>
      </c>
      <c r="AN136" s="34">
        <f>IF(AI136&gt;AM136*1.05,AI136-AM136*1.05,IF(AI136&lt;AM136*0.95,AM136*0.95-AI136,0))</f>
        <v/>
      </c>
      <c r="AO136" s="34">
        <f>MAX(F136,G136,750)*0.05*AN136</f>
        <v/>
      </c>
      <c r="AP136" s="34" t="n">
        <v>13.27</v>
      </c>
      <c r="AQ136" s="34" t="n">
        <v>15.5</v>
      </c>
      <c r="AR136" s="34">
        <f>IF(AP136&gt;AQ136*1.05,AP136-AQ136*1.05,IF(AP136&lt;AQ136*0.95,AQ136*0.95-AP136,0))</f>
        <v/>
      </c>
      <c r="AS136" s="34">
        <f>MAX(F136:G136,750)*0.05*AR136</f>
        <v/>
      </c>
      <c r="AT136" t="n">
        <v>13.5</v>
      </c>
      <c r="AU136" s="34">
        <f>IF(AP136&gt;AT136*1.05,AP136-AT136*1.05,IF(AP136&lt;AT136*0.95,AT136*0.95-AP136,0))</f>
        <v/>
      </c>
      <c r="AV136" s="34">
        <f>MAX(F136:G136,750)*0.05*AU136</f>
        <v/>
      </c>
      <c r="AW136" s="34">
        <f>AC136+AJ136+AQ136</f>
        <v/>
      </c>
      <c r="AX136" s="34">
        <f>AF136+AM136+AT136</f>
        <v/>
      </c>
      <c r="AY136" s="34">
        <f>AB136+AI136+AP136</f>
        <v/>
      </c>
      <c r="AZ136" s="34" t="n">
        <v>0</v>
      </c>
      <c r="BA136" s="34">
        <f>AD136+AK136+AR136</f>
        <v/>
      </c>
      <c r="BB136" s="34">
        <f>MAX(F136:G136,750)*0.05*BA136</f>
        <v/>
      </c>
      <c r="BC136" s="34">
        <f>AG136+AN136+AU136</f>
        <v/>
      </c>
      <c r="BD136" s="34">
        <f>MAX(F136:G136,750)*0.05*BC136</f>
        <v/>
      </c>
      <c r="BE136" s="34">
        <f>F136*AY136</f>
        <v/>
      </c>
      <c r="BF136" s="34">
        <f>K136-M136</f>
        <v/>
      </c>
      <c r="BG136" s="34">
        <f>P136-S136</f>
        <v/>
      </c>
      <c r="BH136" s="34">
        <f>W136-AA136</f>
        <v/>
      </c>
      <c r="BI136" s="34">
        <f>BF136+BG136+BL136-BN136</f>
        <v/>
      </c>
      <c r="BJ136" s="34">
        <f>ABS(BK136)</f>
        <v/>
      </c>
      <c r="BK136" s="34">
        <f>AY136-(J136-L136+N136-Q136)</f>
        <v/>
      </c>
      <c r="BL136" s="34">
        <f>IF(AND(BK136&gt;0,MIN($F136:$G136)&lt;150,$E136="Enerji Açığı"),-100*BK136*1.03,IF(AND(BK136&gt;0,MIN($F136:$G136)&lt;150,$E136="Enerji Fazlası"),-100*BK136*1.06,IF(AND(BK136&gt;0,MIN($F136:$G136)&gt;=150,$E136="Enerji Açığı"),BK136*MIN($F136:$G136)*0.97,IF(AND(BK136&gt;0,MIN($F136:$G136)&gt;=150,$E136="Enerji Fazlası"),BK136*MIN($F136:$G136)*0.94,IF(AND(BK136&lt;0,MAX($F136:$G136)=4500,$E136="Enerji Açığı"),4500*1.05*1.06*BK136,IF(AND(BK136&lt;0,MAX($F136:$G136)=4500,$E136="Enerji Fazlası"),4500*1.05*1.03*BK136,IF(AND(BK136&lt;0,$E136="Enerji Açığı"),MAX($F136,$G136,150)*BK136*1.06,IF(AND(BK136&lt;0,$E136="Enerji Fazlası"),MAX($F136,$G136,150)*BK136*1.03,IF(AND(BK136&lt;0,$E136="Dengede"),MAX($F136:$G136,150)*1.03*BK136,MIN($F136:$G136)*0.97*BK136)))))))))</f>
        <v/>
      </c>
      <c r="BM136" s="34">
        <f>BE136-BI136-BN136</f>
        <v/>
      </c>
      <c r="BN136" s="34">
        <f>BB136</f>
        <v/>
      </c>
      <c r="BO136" s="34">
        <f>BE136-BI136</f>
        <v/>
      </c>
      <c r="BP136" s="34">
        <f>IF(AY136=0,0,BO136/AY136)</f>
        <v/>
      </c>
      <c r="BQ136" s="34">
        <f>MAX((AY136+MAX((-J136+L136-N136+Q136),0)),(MAX((J136-L136+N136-Q136),0)))</f>
        <v/>
      </c>
      <c r="BR136" s="82">
        <f>IFERROR(ABS(BK136/BQ136),0)</f>
        <v/>
      </c>
      <c r="BS136" s="34">
        <f>IF(BR136&lt;=0.1,0,BK136/BR136*(BR136-0.1))</f>
        <v/>
      </c>
      <c r="BT136" s="34">
        <f>IF((BS136)&lt;0,MAX(F136:G136)*(BS136)*1.03,MIN(F136:G136)*(BS136)*0.97)</f>
        <v/>
      </c>
      <c r="BU136" s="34">
        <f>IF(BR136&gt;0.1,1,0)</f>
        <v/>
      </c>
      <c r="BV136" s="34">
        <f>BF136+BG136+BH136+BY136-CA136</f>
        <v/>
      </c>
      <c r="BW136" s="34">
        <f>ABS(BX136)</f>
        <v/>
      </c>
      <c r="BX136" s="34">
        <f>AY136-(J136-L136+N136-Q136+T136-X136)</f>
        <v/>
      </c>
      <c r="BY136" s="34">
        <f>IF(AND(BX136&gt;0,MIN($F136:$G136)&lt;150,$E136="Enerji Açığı"),-100*BX136*1.03,IF(AND(BX136&gt;0,MIN($F136:$G136)&lt;150,$E136="Enerji Fazlası"),-100*BX136*1.06,IF(AND(BX136&gt;0,MIN($F136:$G136)&gt;=150,$E136="Enerji Açığı"),BX136*MIN($F136:$G136)*0.97,IF(AND(BX136&gt;0,MIN($F136:$G136)&gt;=150,$E136="Enerji Fazlası"),BX136*MIN($F136:$G136)*0.94,IF(AND(BX136&lt;0,MAX($F136:$G136)=4500,$E136="Enerji Açığı"),4500*1.05*1.06*BX136,IF(AND(BX136&lt;0,MAX($F136:$G136)=4500,$E136="Enerji Fazlası"),4500*1.05*1.03*BX136,IF(AND(BX136&lt;0,$E136="Enerji Açığı"),MAX($F136,$G136,150)*BX136*1.06,IF(AND(BX136&lt;0,$E136="Enerji Fazlası"),MAX($F136,$G136,150)*BX136*1.03,IF(AND(BX136&lt;0,$E136="Dengede"),MAX($F136:$G136,150)*1.03*BX136,MIN($F136:$G136)*0.97*BX136)))))))))</f>
        <v/>
      </c>
      <c r="BZ136" s="34">
        <f>BE136-BV136-CA136</f>
        <v/>
      </c>
      <c r="CA136" s="34">
        <f>BD136</f>
        <v/>
      </c>
      <c r="CB136" s="33">
        <f>BE136-BV136</f>
        <v/>
      </c>
      <c r="CC136" s="34">
        <f>IF(AY136=0,0,CB136/AY136)</f>
        <v/>
      </c>
      <c r="CD136" s="34">
        <f>MAX((AY136+MAX((-J136+L136-N136+Q136-T136+X136),0)),(MAX((J136-L136+N136-Q136+T136-X136),0)))</f>
        <v/>
      </c>
      <c r="CE136" s="82">
        <f>IFERROR(ABS(BX136/CD136),0)</f>
        <v/>
      </c>
      <c r="CF136" s="34">
        <f>IF(CE136&lt;=0.1,0,BX136/CE136*(CE136-0.1))</f>
        <v/>
      </c>
      <c r="CG136" s="34">
        <f>IF((CF136)&lt;0,MAX(F136:G136)*(CF136)*1.03,MIN(F136:G136)*(CF136)*0.97)</f>
        <v/>
      </c>
      <c r="CH136" s="34">
        <f>IF(CE136&gt;0.1,1,0)</f>
        <v/>
      </c>
      <c r="CI136" s="34">
        <f>(F136*BX136)-BY136</f>
        <v/>
      </c>
      <c r="CJ136" s="34">
        <f>IF(AY136=0,0,CI136/AY136)</f>
        <v/>
      </c>
    </row>
    <row r="137">
      <c r="A137" s="29" t="n">
        <v>46209.58333333334</v>
      </c>
      <c r="B137" s="29" t="inlineStr">
        <is>
          <t>14:00</t>
        </is>
      </c>
      <c r="C137" s="35">
        <f>INT(A137)</f>
        <v/>
      </c>
      <c r="D137" s="36">
        <f>MONTH(A137)</f>
        <v/>
      </c>
      <c r="E137" s="147" t="inlineStr">
        <is>
          <t>Enerji Fazlası</t>
        </is>
      </c>
      <c r="F137" s="30" t="n">
        <v>2518.75</v>
      </c>
      <c r="G137" s="30" t="n">
        <v>500</v>
      </c>
      <c r="H137" s="30" t="n">
        <v>54.01</v>
      </c>
      <c r="I137" s="30" t="n">
        <v>2234.85</v>
      </c>
      <c r="J137" s="119" t="n">
        <v>0</v>
      </c>
      <c r="K137" s="34">
        <f>F137*J137</f>
        <v/>
      </c>
      <c r="L137" s="119" t="n">
        <v>0</v>
      </c>
      <c r="M137" s="34">
        <f>L137*F137</f>
        <v/>
      </c>
      <c r="N137" s="119" t="n">
        <v>25.5</v>
      </c>
      <c r="O137" s="34">
        <f>F137</f>
        <v/>
      </c>
      <c r="P137" s="34">
        <f>N137*O137</f>
        <v/>
      </c>
      <c r="Q137" s="117" t="n">
        <v>0</v>
      </c>
      <c r="R137" s="34">
        <f>F137</f>
        <v/>
      </c>
      <c r="S137" s="34">
        <f>R137*Q137</f>
        <v/>
      </c>
      <c r="T137" s="34" t="n"/>
      <c r="U137" s="34">
        <f>IFERROR(W137/T137,0)</f>
        <v/>
      </c>
      <c r="V137" s="34">
        <f>IF(U137=0,0,U137-F137)</f>
        <v/>
      </c>
      <c r="W137" s="34" t="n"/>
      <c r="X137" s="34" t="n"/>
      <c r="Y137" s="34">
        <f>IFERROR(AA137/X137,0)</f>
        <v/>
      </c>
      <c r="Z137" s="34">
        <f>IF(Y137=0,0,F137-Y137)</f>
        <v/>
      </c>
      <c r="AA137" s="34" t="n"/>
      <c r="AB137" s="34" t="n">
        <v>0</v>
      </c>
      <c r="AC137" s="34" t="n">
        <v>0</v>
      </c>
      <c r="AD137" s="34">
        <f>IF(AB137&gt;AC137*1.05,AB137-AC137*1.05,IF(AB137&lt;AC137*0.95,AC137*0.95-AB137,0))</f>
        <v/>
      </c>
      <c r="AE137" s="34">
        <f>MAX(F137,G137,750)*0.05*AD137</f>
        <v/>
      </c>
      <c r="AF137" s="34" t="n">
        <v>0</v>
      </c>
      <c r="AG137" s="34">
        <f>IF(AB137&gt;AF137*1.05,AB137-AF137*1.05,IF(AB137&lt;AF137*0.95,AF137*0.95-AB137,0))</f>
        <v/>
      </c>
      <c r="AH137" s="34">
        <f>MAX(I137,J137,750)*0.05*AG137</f>
        <v/>
      </c>
      <c r="AI137" t="n">
        <v>8.140000000000001</v>
      </c>
      <c r="AJ137" t="n">
        <v>10</v>
      </c>
      <c r="AK137" s="34">
        <f>IF(AI137&gt;AJ137*1.05,AI137-AJ137*1.05,IF(AI137&lt;AJ137*0.95,AJ137*0.95-AI137,0))</f>
        <v/>
      </c>
      <c r="AL137" s="34">
        <f>MAX(F137,G137,750)*0.05*AK137</f>
        <v/>
      </c>
      <c r="AM137" s="39" t="n">
        <v>8</v>
      </c>
      <c r="AN137" s="34">
        <f>IF(AI137&gt;AM137*1.05,AI137-AM137*1.05,IF(AI137&lt;AM137*0.95,AM137*0.95-AI137,0))</f>
        <v/>
      </c>
      <c r="AO137" s="34">
        <f>MAX(F137,G137,750)*0.05*AN137</f>
        <v/>
      </c>
      <c r="AP137" s="34" t="n">
        <v>13.23</v>
      </c>
      <c r="AQ137" s="34" t="n">
        <v>15.5</v>
      </c>
      <c r="AR137" s="34">
        <f>IF(AP137&gt;AQ137*1.05,AP137-AQ137*1.05,IF(AP137&lt;AQ137*0.95,AQ137*0.95-AP137,0))</f>
        <v/>
      </c>
      <c r="AS137" s="34">
        <f>MAX(F137:G137,750)*0.05*AR137</f>
        <v/>
      </c>
      <c r="AT137" t="n">
        <v>13.5</v>
      </c>
      <c r="AU137" s="34">
        <f>IF(AP137&gt;AT137*1.05,AP137-AT137*1.05,IF(AP137&lt;AT137*0.95,AT137*0.95-AP137,0))</f>
        <v/>
      </c>
      <c r="AV137" s="34">
        <f>MAX(F137:G137,750)*0.05*AU137</f>
        <v/>
      </c>
      <c r="AW137" s="34">
        <f>AC137+AJ137+AQ137</f>
        <v/>
      </c>
      <c r="AX137" s="34">
        <f>AF137+AM137+AT137</f>
        <v/>
      </c>
      <c r="AY137" s="34">
        <f>AB137+AI137+AP137</f>
        <v/>
      </c>
      <c r="AZ137" s="34" t="n">
        <v>0</v>
      </c>
      <c r="BA137" s="34">
        <f>AD137+AK137+AR137</f>
        <v/>
      </c>
      <c r="BB137" s="34">
        <f>MAX(F137:G137,750)*0.05*BA137</f>
        <v/>
      </c>
      <c r="BC137" s="34">
        <f>AG137+AN137+AU137</f>
        <v/>
      </c>
      <c r="BD137" s="34">
        <f>MAX(F137:G137,750)*0.05*BC137</f>
        <v/>
      </c>
      <c r="BE137" s="34">
        <f>F137*AY137</f>
        <v/>
      </c>
      <c r="BF137" s="34">
        <f>K137-M137</f>
        <v/>
      </c>
      <c r="BG137" s="34">
        <f>P137-S137</f>
        <v/>
      </c>
      <c r="BH137" s="34">
        <f>W137-AA137</f>
        <v/>
      </c>
      <c r="BI137" s="34">
        <f>BF137+BG137+BL137-BN137</f>
        <v/>
      </c>
      <c r="BJ137" s="34">
        <f>ABS(BK137)</f>
        <v/>
      </c>
      <c r="BK137" s="34">
        <f>AY137-(J137-L137+N137-Q137)</f>
        <v/>
      </c>
      <c r="BL137" s="34">
        <f>IF(AND(BK137&gt;0,MIN($F137:$G137)&lt;150,$E137="Enerji Açığı"),-100*BK137*1.03,IF(AND(BK137&gt;0,MIN($F137:$G137)&lt;150,$E137="Enerji Fazlası"),-100*BK137*1.06,IF(AND(BK137&gt;0,MIN($F137:$G137)&gt;=150,$E137="Enerji Açığı"),BK137*MIN($F137:$G137)*0.97,IF(AND(BK137&gt;0,MIN($F137:$G137)&gt;=150,$E137="Enerji Fazlası"),BK137*MIN($F137:$G137)*0.94,IF(AND(BK137&lt;0,MAX($F137:$G137)=4500,$E137="Enerji Açığı"),4500*1.05*1.06*BK137,IF(AND(BK137&lt;0,MAX($F137:$G137)=4500,$E137="Enerji Fazlası"),4500*1.05*1.03*BK137,IF(AND(BK137&lt;0,$E137="Enerji Açığı"),MAX($F137,$G137,150)*BK137*1.06,IF(AND(BK137&lt;0,$E137="Enerji Fazlası"),MAX($F137,$G137,150)*BK137*1.03,IF(AND(BK137&lt;0,$E137="Dengede"),MAX($F137:$G137,150)*1.03*BK137,MIN($F137:$G137)*0.97*BK137)))))))))</f>
        <v/>
      </c>
      <c r="BM137" s="34">
        <f>BE137-BI137-BN137</f>
        <v/>
      </c>
      <c r="BN137" s="34">
        <f>BB137</f>
        <v/>
      </c>
      <c r="BO137" s="34">
        <f>BE137-BI137</f>
        <v/>
      </c>
      <c r="BP137" s="34">
        <f>IF(AY137=0,0,BO137/AY137)</f>
        <v/>
      </c>
      <c r="BQ137" s="34">
        <f>MAX((AY137+MAX((-J137+L137-N137+Q137),0)),(MAX((J137-L137+N137-Q137),0)))</f>
        <v/>
      </c>
      <c r="BR137" s="82">
        <f>IFERROR(ABS(BK137/BQ137),0)</f>
        <v/>
      </c>
      <c r="BS137" s="34">
        <f>IF(BR137&lt;=0.1,0,BK137/BR137*(BR137-0.1))</f>
        <v/>
      </c>
      <c r="BT137" s="34">
        <f>IF((BS137)&lt;0,MAX(F137:G137)*(BS137)*1.03,MIN(F137:G137)*(BS137)*0.97)</f>
        <v/>
      </c>
      <c r="BU137" s="34">
        <f>IF(BR137&gt;0.1,1,0)</f>
        <v/>
      </c>
      <c r="BV137" s="34">
        <f>BF137+BG137+BH137+BY137-CA137</f>
        <v/>
      </c>
      <c r="BW137" s="34">
        <f>ABS(BX137)</f>
        <v/>
      </c>
      <c r="BX137" s="34">
        <f>AY137-(J137-L137+N137-Q137+T137-X137)</f>
        <v/>
      </c>
      <c r="BY137" s="34">
        <f>IF(AND(BX137&gt;0,MIN($F137:$G137)&lt;150,$E137="Enerji Açığı"),-100*BX137*1.03,IF(AND(BX137&gt;0,MIN($F137:$G137)&lt;150,$E137="Enerji Fazlası"),-100*BX137*1.06,IF(AND(BX137&gt;0,MIN($F137:$G137)&gt;=150,$E137="Enerji Açığı"),BX137*MIN($F137:$G137)*0.97,IF(AND(BX137&gt;0,MIN($F137:$G137)&gt;=150,$E137="Enerji Fazlası"),BX137*MIN($F137:$G137)*0.94,IF(AND(BX137&lt;0,MAX($F137:$G137)=4500,$E137="Enerji Açığı"),4500*1.05*1.06*BX137,IF(AND(BX137&lt;0,MAX($F137:$G137)=4500,$E137="Enerji Fazlası"),4500*1.05*1.03*BX137,IF(AND(BX137&lt;0,$E137="Enerji Açığı"),MAX($F137,$G137,150)*BX137*1.06,IF(AND(BX137&lt;0,$E137="Enerji Fazlası"),MAX($F137,$G137,150)*BX137*1.03,IF(AND(BX137&lt;0,$E137="Dengede"),MAX($F137:$G137,150)*1.03*BX137,MIN($F137:$G137)*0.97*BX137)))))))))</f>
        <v/>
      </c>
      <c r="BZ137" s="34">
        <f>BE137-BV137-CA137</f>
        <v/>
      </c>
      <c r="CA137" s="34">
        <f>BD137</f>
        <v/>
      </c>
      <c r="CB137" s="33">
        <f>BE137-BV137</f>
        <v/>
      </c>
      <c r="CC137" s="34">
        <f>IF(AY137=0,0,CB137/AY137)</f>
        <v/>
      </c>
      <c r="CD137" s="34">
        <f>MAX((AY137+MAX((-J137+L137-N137+Q137-T137+X137),0)),(MAX((J137-L137+N137-Q137+T137-X137),0)))</f>
        <v/>
      </c>
      <c r="CE137" s="82">
        <f>IFERROR(ABS(BX137/CD137),0)</f>
        <v/>
      </c>
      <c r="CF137" s="34">
        <f>IF(CE137&lt;=0.1,0,BX137/CE137*(CE137-0.1))</f>
        <v/>
      </c>
      <c r="CG137" s="34">
        <f>IF((CF137)&lt;0,MAX(F137:G137)*(CF137)*1.03,MIN(F137:G137)*(CF137)*0.97)</f>
        <v/>
      </c>
      <c r="CH137" s="34">
        <f>IF(CE137&gt;0.1,1,0)</f>
        <v/>
      </c>
      <c r="CI137" s="34">
        <f>(F137*BX137)-BY137</f>
        <v/>
      </c>
      <c r="CJ137" s="34">
        <f>IF(AY137=0,0,CI137/AY137)</f>
        <v/>
      </c>
    </row>
    <row r="138">
      <c r="A138" s="29" t="n">
        <v>46209.625</v>
      </c>
      <c r="B138" s="29" t="inlineStr">
        <is>
          <t>15:00</t>
        </is>
      </c>
      <c r="C138" s="35">
        <f>INT(A138)</f>
        <v/>
      </c>
      <c r="D138" s="36">
        <f>MONTH(A138)</f>
        <v/>
      </c>
      <c r="E138" s="147" t="inlineStr">
        <is>
          <t>Enerji Açığı</t>
        </is>
      </c>
      <c r="F138" s="30" t="n">
        <v>2397.18</v>
      </c>
      <c r="G138" s="30" t="n">
        <v>3600</v>
      </c>
      <c r="H138" s="30" t="n">
        <v>51.4</v>
      </c>
      <c r="I138" s="30" t="n">
        <v>2118.35</v>
      </c>
      <c r="J138" s="119" t="n">
        <v>0</v>
      </c>
      <c r="K138" s="34">
        <f>F138*J138</f>
        <v/>
      </c>
      <c r="L138" s="119" t="n">
        <v>0</v>
      </c>
      <c r="M138" s="34">
        <f>L138*F138</f>
        <v/>
      </c>
      <c r="N138" s="119" t="n">
        <v>25.3</v>
      </c>
      <c r="O138" s="34">
        <f>F138</f>
        <v/>
      </c>
      <c r="P138" s="34">
        <f>N138*O138</f>
        <v/>
      </c>
      <c r="Q138" s="117" t="n">
        <v>0</v>
      </c>
      <c r="R138" s="34">
        <f>F138</f>
        <v/>
      </c>
      <c r="S138" s="34">
        <f>R138*Q138</f>
        <v/>
      </c>
      <c r="T138" s="34" t="n"/>
      <c r="U138" s="34">
        <f>IFERROR(W138/T138,0)</f>
        <v/>
      </c>
      <c r="V138" s="34">
        <f>IF(U138=0,0,U138-F138)</f>
        <v/>
      </c>
      <c r="W138" s="34" t="n"/>
      <c r="X138" s="34" t="n"/>
      <c r="Y138" s="34">
        <f>IFERROR(AA138/X138,0)</f>
        <v/>
      </c>
      <c r="Z138" s="34">
        <f>IF(Y138=0,0,F138-Y138)</f>
        <v/>
      </c>
      <c r="AA138" s="34" t="n"/>
      <c r="AB138" s="34" t="n">
        <v>0</v>
      </c>
      <c r="AC138" s="34" t="n">
        <v>0</v>
      </c>
      <c r="AD138" s="34">
        <f>IF(AB138&gt;AC138*1.05,AB138-AC138*1.05,IF(AB138&lt;AC138*0.95,AC138*0.95-AB138,0))</f>
        <v/>
      </c>
      <c r="AE138" s="34">
        <f>MAX(F138,G138,750)*0.05*AD138</f>
        <v/>
      </c>
      <c r="AF138" s="34" t="n">
        <v>0</v>
      </c>
      <c r="AG138" s="34">
        <f>IF(AB138&gt;AF138*1.05,AB138-AF138*1.05,IF(AB138&lt;AF138*0.95,AF138*0.95-AB138,0))</f>
        <v/>
      </c>
      <c r="AH138" s="34">
        <f>MAX(I138,J138,750)*0.05*AG138</f>
        <v/>
      </c>
      <c r="AI138" t="n">
        <v>7.37</v>
      </c>
      <c r="AJ138" t="n">
        <v>10</v>
      </c>
      <c r="AK138" s="34">
        <f>IF(AI138&gt;AJ138*1.05,AI138-AJ138*1.05,IF(AI138&lt;AJ138*0.95,AJ138*0.95-AI138,0))</f>
        <v/>
      </c>
      <c r="AL138" s="34">
        <f>MAX(F138,G138,750)*0.05*AK138</f>
        <v/>
      </c>
      <c r="AM138" s="39" t="n">
        <v>7</v>
      </c>
      <c r="AN138" s="34">
        <f>IF(AI138&gt;AM138*1.05,AI138-AM138*1.05,IF(AI138&lt;AM138*0.95,AM138*0.95-AI138,0))</f>
        <v/>
      </c>
      <c r="AO138" s="34">
        <f>MAX(F138,G138,750)*0.05*AN138</f>
        <v/>
      </c>
      <c r="AP138" s="34" t="n">
        <v>8.76</v>
      </c>
      <c r="AQ138" s="34" t="n">
        <v>15.3</v>
      </c>
      <c r="AR138" s="34">
        <f>IF(AP138&gt;AQ138*1.05,AP138-AQ138*1.05,IF(AP138&lt;AQ138*0.95,AQ138*0.95-AP138,0))</f>
        <v/>
      </c>
      <c r="AS138" s="34">
        <f>MAX(F138:G138,750)*0.05*AR138</f>
        <v/>
      </c>
      <c r="AT138" t="n">
        <v>9</v>
      </c>
      <c r="AU138" s="34">
        <f>IF(AP138&gt;AT138*1.05,AP138-AT138*1.05,IF(AP138&lt;AT138*0.95,AT138*0.95-AP138,0))</f>
        <v/>
      </c>
      <c r="AV138" s="34">
        <f>MAX(F138:G138,750)*0.05*AU138</f>
        <v/>
      </c>
      <c r="AW138" s="34">
        <f>AC138+AJ138+AQ138</f>
        <v/>
      </c>
      <c r="AX138" s="34">
        <f>AF138+AM138+AT138</f>
        <v/>
      </c>
      <c r="AY138" s="34">
        <f>AB138+AI138+AP138</f>
        <v/>
      </c>
      <c r="AZ138" s="34" t="n">
        <v>0</v>
      </c>
      <c r="BA138" s="34">
        <f>AD138+AK138+AR138</f>
        <v/>
      </c>
      <c r="BB138" s="34">
        <f>MAX(F138:G138,750)*0.05*BA138</f>
        <v/>
      </c>
      <c r="BC138" s="34">
        <f>AG138+AN138+AU138</f>
        <v/>
      </c>
      <c r="BD138" s="34">
        <f>MAX(F138:G138,750)*0.05*BC138</f>
        <v/>
      </c>
      <c r="BE138" s="34">
        <f>F138*AY138</f>
        <v/>
      </c>
      <c r="BF138" s="34">
        <f>K138-M138</f>
        <v/>
      </c>
      <c r="BG138" s="34">
        <f>P138-S138</f>
        <v/>
      </c>
      <c r="BH138" s="34">
        <f>W138-AA138</f>
        <v/>
      </c>
      <c r="BI138" s="34">
        <f>BF138+BG138+BL138-BN138</f>
        <v/>
      </c>
      <c r="BJ138" s="34">
        <f>ABS(BK138)</f>
        <v/>
      </c>
      <c r="BK138" s="34">
        <f>AY138-(J138-L138+N138-Q138)</f>
        <v/>
      </c>
      <c r="BL138" s="34">
        <f>IF(AND(BK138&gt;0,MIN($F138:$G138)&lt;150,$E138="Enerji Açığı"),-100*BK138*1.03,IF(AND(BK138&gt;0,MIN($F138:$G138)&lt;150,$E138="Enerji Fazlası"),-100*BK138*1.06,IF(AND(BK138&gt;0,MIN($F138:$G138)&gt;=150,$E138="Enerji Açığı"),BK138*MIN($F138:$G138)*0.97,IF(AND(BK138&gt;0,MIN($F138:$G138)&gt;=150,$E138="Enerji Fazlası"),BK138*MIN($F138:$G138)*0.94,IF(AND(BK138&lt;0,MAX($F138:$G138)=4500,$E138="Enerji Açığı"),4500*1.05*1.06*BK138,IF(AND(BK138&lt;0,MAX($F138:$G138)=4500,$E138="Enerji Fazlası"),4500*1.05*1.03*BK138,IF(AND(BK138&lt;0,$E138="Enerji Açığı"),MAX($F138,$G138,150)*BK138*1.06,IF(AND(BK138&lt;0,$E138="Enerji Fazlası"),MAX($F138,$G138,150)*BK138*1.03,IF(AND(BK138&lt;0,$E138="Dengede"),MAX($F138:$G138,150)*1.03*BK138,MIN($F138:$G138)*0.97*BK138)))))))))</f>
        <v/>
      </c>
      <c r="BM138" s="34">
        <f>BE138-BI138-BN138</f>
        <v/>
      </c>
      <c r="BN138" s="34">
        <f>BB138</f>
        <v/>
      </c>
      <c r="BO138" s="34">
        <f>BE138-BI138</f>
        <v/>
      </c>
      <c r="BP138" s="34">
        <f>IF(AY138=0,0,BO138/AY138)</f>
        <v/>
      </c>
      <c r="BQ138" s="34">
        <f>MAX((AY138+MAX((-J138+L138-N138+Q138),0)),(MAX((J138-L138+N138-Q138),0)))</f>
        <v/>
      </c>
      <c r="BR138" s="82">
        <f>IFERROR(ABS(BK138/BQ138),0)</f>
        <v/>
      </c>
      <c r="BS138" s="34">
        <f>IF(BR138&lt;=0.1,0,BK138/BR138*(BR138-0.1))</f>
        <v/>
      </c>
      <c r="BT138" s="34">
        <f>IF((BS138)&lt;0,MAX(F138:G138)*(BS138)*1.03,MIN(F138:G138)*(BS138)*0.97)</f>
        <v/>
      </c>
      <c r="BU138" s="34">
        <f>IF(BR138&gt;0.1,1,0)</f>
        <v/>
      </c>
      <c r="BV138" s="34">
        <f>BF138+BG138+BH138+BY138-CA138</f>
        <v/>
      </c>
      <c r="BW138" s="34">
        <f>ABS(BX138)</f>
        <v/>
      </c>
      <c r="BX138" s="34">
        <f>AY138-(J138-L138+N138-Q138+T138-X138)</f>
        <v/>
      </c>
      <c r="BY138" s="34">
        <f>IF(AND(BX138&gt;0,MIN($F138:$G138)&lt;150,$E138="Enerji Açığı"),-100*BX138*1.03,IF(AND(BX138&gt;0,MIN($F138:$G138)&lt;150,$E138="Enerji Fazlası"),-100*BX138*1.06,IF(AND(BX138&gt;0,MIN($F138:$G138)&gt;=150,$E138="Enerji Açığı"),BX138*MIN($F138:$G138)*0.97,IF(AND(BX138&gt;0,MIN($F138:$G138)&gt;=150,$E138="Enerji Fazlası"),BX138*MIN($F138:$G138)*0.94,IF(AND(BX138&lt;0,MAX($F138:$G138)=4500,$E138="Enerji Açığı"),4500*1.05*1.06*BX138,IF(AND(BX138&lt;0,MAX($F138:$G138)=4500,$E138="Enerji Fazlası"),4500*1.05*1.03*BX138,IF(AND(BX138&lt;0,$E138="Enerji Açığı"),MAX($F138,$G138,150)*BX138*1.06,IF(AND(BX138&lt;0,$E138="Enerji Fazlası"),MAX($F138,$G138,150)*BX138*1.03,IF(AND(BX138&lt;0,$E138="Dengede"),MAX($F138:$G138,150)*1.03*BX138,MIN($F138:$G138)*0.97*BX138)))))))))</f>
        <v/>
      </c>
      <c r="BZ138" s="34">
        <f>BE138-BV138-CA138</f>
        <v/>
      </c>
      <c r="CA138" s="34">
        <f>BD138</f>
        <v/>
      </c>
      <c r="CB138" s="33">
        <f>BE138-BV138</f>
        <v/>
      </c>
      <c r="CC138" s="34">
        <f>IF(AY138=0,0,CB138/AY138)</f>
        <v/>
      </c>
      <c r="CD138" s="34">
        <f>MAX((AY138+MAX((-J138+L138-N138+Q138-T138+X138),0)),(MAX((J138-L138+N138-Q138+T138-X138),0)))</f>
        <v/>
      </c>
      <c r="CE138" s="82">
        <f>IFERROR(ABS(BX138/CD138),0)</f>
        <v/>
      </c>
      <c r="CF138" s="34">
        <f>IF(CE138&lt;=0.1,0,BX138/CE138*(CE138-0.1))</f>
        <v/>
      </c>
      <c r="CG138" s="34">
        <f>IF((CF138)&lt;0,MAX(F138:G138)*(CF138)*1.03,MIN(F138:G138)*(CF138)*0.97)</f>
        <v/>
      </c>
      <c r="CH138" s="34">
        <f>IF(CE138&gt;0.1,1,0)</f>
        <v/>
      </c>
      <c r="CI138" s="34">
        <f>(F138*BX138)-BY138</f>
        <v/>
      </c>
      <c r="CJ138" s="34">
        <f>IF(AY138=0,0,CI138/AY138)</f>
        <v/>
      </c>
    </row>
    <row r="139">
      <c r="A139" s="29" t="n">
        <v>46209.66666666666</v>
      </c>
      <c r="B139" s="29" t="inlineStr">
        <is>
          <t>16:00</t>
        </is>
      </c>
      <c r="C139" s="35">
        <f>INT(A139)</f>
        <v/>
      </c>
      <c r="D139" s="36">
        <f>MONTH(A139)</f>
        <v/>
      </c>
      <c r="E139" s="147" t="inlineStr">
        <is>
          <t>Enerji Fazlası</t>
        </is>
      </c>
      <c r="F139" s="30" t="n">
        <v>2099.99</v>
      </c>
      <c r="G139" s="30" t="n">
        <v>500</v>
      </c>
      <c r="H139" s="30" t="n">
        <v>45.03</v>
      </c>
      <c r="I139" s="30" t="n">
        <v>1877.54</v>
      </c>
      <c r="J139" s="119" t="n">
        <v>0</v>
      </c>
      <c r="K139" s="34">
        <f>F139*J139</f>
        <v/>
      </c>
      <c r="L139" s="119" t="n">
        <v>0</v>
      </c>
      <c r="M139" s="34">
        <f>L139*F139</f>
        <v/>
      </c>
      <c r="N139" s="119" t="n">
        <v>24</v>
      </c>
      <c r="O139" s="34">
        <f>F139</f>
        <v/>
      </c>
      <c r="P139" s="34">
        <f>N139*O139</f>
        <v/>
      </c>
      <c r="Q139" s="117" t="n">
        <v>0</v>
      </c>
      <c r="R139" s="34">
        <f>F139</f>
        <v/>
      </c>
      <c r="S139" s="34">
        <f>R139*Q139</f>
        <v/>
      </c>
      <c r="T139" s="34" t="n"/>
      <c r="U139" s="34">
        <f>IFERROR(W139/T139,0)</f>
        <v/>
      </c>
      <c r="V139" s="34">
        <f>IF(U139=0,0,U139-F139)</f>
        <v/>
      </c>
      <c r="W139" s="34" t="n"/>
      <c r="X139" s="34" t="n"/>
      <c r="Y139" s="34">
        <f>IFERROR(AA139/X139,0)</f>
        <v/>
      </c>
      <c r="Z139" s="34">
        <f>IF(Y139=0,0,F139-Y139)</f>
        <v/>
      </c>
      <c r="AA139" s="34" t="n"/>
      <c r="AB139" s="34" t="n">
        <v>0</v>
      </c>
      <c r="AC139" s="34" t="n">
        <v>0</v>
      </c>
      <c r="AD139" s="34">
        <f>IF(AB139&gt;AC139*1.05,AB139-AC139*1.05,IF(AB139&lt;AC139*0.95,AC139*0.95-AB139,0))</f>
        <v/>
      </c>
      <c r="AE139" s="34">
        <f>MAX(F139,G139,750)*0.05*AD139</f>
        <v/>
      </c>
      <c r="AF139" s="34" t="n">
        <v>0</v>
      </c>
      <c r="AG139" s="34">
        <f>IF(AB139&gt;AF139*1.05,AB139-AF139*1.05,IF(AB139&lt;AF139*0.95,AF139*0.95-AB139,0))</f>
        <v/>
      </c>
      <c r="AH139" s="34">
        <f>MAX(I139,J139,750)*0.05*AG139</f>
        <v/>
      </c>
      <c r="AI139" t="n">
        <v>5.23</v>
      </c>
      <c r="AJ139" t="n">
        <v>10</v>
      </c>
      <c r="AK139" s="34">
        <f>IF(AI139&gt;AJ139*1.05,AI139-AJ139*1.05,IF(AI139&lt;AJ139*0.95,AJ139*0.95-AI139,0))</f>
        <v/>
      </c>
      <c r="AL139" s="34">
        <f>MAX(F139,G139,750)*0.05*AK139</f>
        <v/>
      </c>
      <c r="AM139" s="39" t="n">
        <v>5</v>
      </c>
      <c r="AN139" s="34">
        <f>IF(AI139&gt;AM139*1.05,AI139-AM139*1.05,IF(AI139&lt;AM139*0.95,AM139*0.95-AI139,0))</f>
        <v/>
      </c>
      <c r="AO139" s="34">
        <f>MAX(F139,G139,750)*0.05*AN139</f>
        <v/>
      </c>
      <c r="AP139" s="34" t="n">
        <v>8.890000000000001</v>
      </c>
      <c r="AQ139" s="34" t="n">
        <v>14</v>
      </c>
      <c r="AR139" s="34">
        <f>IF(AP139&gt;AQ139*1.05,AP139-AQ139*1.05,IF(AP139&lt;AQ139*0.95,AQ139*0.95-AP139,0))</f>
        <v/>
      </c>
      <c r="AS139" s="34">
        <f>MAX(F139:G139,750)*0.05*AR139</f>
        <v/>
      </c>
      <c r="AT139" t="n">
        <v>9</v>
      </c>
      <c r="AU139" s="34">
        <f>IF(AP139&gt;AT139*1.05,AP139-AT139*1.05,IF(AP139&lt;AT139*0.95,AT139*0.95-AP139,0))</f>
        <v/>
      </c>
      <c r="AV139" s="34">
        <f>MAX(F139:G139,750)*0.05*AU139</f>
        <v/>
      </c>
      <c r="AW139" s="34">
        <f>AC139+AJ139+AQ139</f>
        <v/>
      </c>
      <c r="AX139" s="34">
        <f>AF139+AM139+AT139</f>
        <v/>
      </c>
      <c r="AY139" s="34">
        <f>AB139+AI139+AP139</f>
        <v/>
      </c>
      <c r="AZ139" s="34" t="n">
        <v>0</v>
      </c>
      <c r="BA139" s="34">
        <f>AD139+AK139+AR139</f>
        <v/>
      </c>
      <c r="BB139" s="34">
        <f>MAX(F139:G139,750)*0.05*BA139</f>
        <v/>
      </c>
      <c r="BC139" s="34">
        <f>AG139+AN139+AU139</f>
        <v/>
      </c>
      <c r="BD139" s="34">
        <f>MAX(F139:G139,750)*0.05*BC139</f>
        <v/>
      </c>
      <c r="BE139" s="34">
        <f>F139*AY139</f>
        <v/>
      </c>
      <c r="BF139" s="34">
        <f>K139-M139</f>
        <v/>
      </c>
      <c r="BG139" s="34">
        <f>P139-S139</f>
        <v/>
      </c>
      <c r="BH139" s="34">
        <f>W139-AA139</f>
        <v/>
      </c>
      <c r="BI139" s="34">
        <f>BF139+BG139+BL139-BN139</f>
        <v/>
      </c>
      <c r="BJ139" s="34">
        <f>ABS(BK139)</f>
        <v/>
      </c>
      <c r="BK139" s="34">
        <f>AY139-(J139-L139+N139-Q139)</f>
        <v/>
      </c>
      <c r="BL139" s="34">
        <f>IF(AND(BK139&gt;0,MIN($F139:$G139)&lt;150,$E139="Enerji Açığı"),-100*BK139*1.03,IF(AND(BK139&gt;0,MIN($F139:$G139)&lt;150,$E139="Enerji Fazlası"),-100*BK139*1.06,IF(AND(BK139&gt;0,MIN($F139:$G139)&gt;=150,$E139="Enerji Açığı"),BK139*MIN($F139:$G139)*0.97,IF(AND(BK139&gt;0,MIN($F139:$G139)&gt;=150,$E139="Enerji Fazlası"),BK139*MIN($F139:$G139)*0.94,IF(AND(BK139&lt;0,MAX($F139:$G139)=4500,$E139="Enerji Açığı"),4500*1.05*1.06*BK139,IF(AND(BK139&lt;0,MAX($F139:$G139)=4500,$E139="Enerji Fazlası"),4500*1.05*1.03*BK139,IF(AND(BK139&lt;0,$E139="Enerji Açığı"),MAX($F139,$G139,150)*BK139*1.06,IF(AND(BK139&lt;0,$E139="Enerji Fazlası"),MAX($F139,$G139,150)*BK139*1.03,IF(AND(BK139&lt;0,$E139="Dengede"),MAX($F139:$G139,150)*1.03*BK139,MIN($F139:$G139)*0.97*BK139)))))))))</f>
        <v/>
      </c>
      <c r="BM139" s="34">
        <f>BE139-BI139-BN139</f>
        <v/>
      </c>
      <c r="BN139" s="34">
        <f>BB139</f>
        <v/>
      </c>
      <c r="BO139" s="34">
        <f>BE139-BI139</f>
        <v/>
      </c>
      <c r="BP139" s="34">
        <f>IF(AY139=0,0,BO139/AY139)</f>
        <v/>
      </c>
      <c r="BQ139" s="34">
        <f>MAX((AY139+MAX((-J139+L139-N139+Q139),0)),(MAX((J139-L139+N139-Q139),0)))</f>
        <v/>
      </c>
      <c r="BR139" s="82">
        <f>IFERROR(ABS(BK139/BQ139),0)</f>
        <v/>
      </c>
      <c r="BS139" s="34">
        <f>IF(BR139&lt;=0.1,0,BK139/BR139*(BR139-0.1))</f>
        <v/>
      </c>
      <c r="BT139" s="34">
        <f>IF((BS139)&lt;0,MAX(F139:G139)*(BS139)*1.03,MIN(F139:G139)*(BS139)*0.97)</f>
        <v/>
      </c>
      <c r="BU139" s="34">
        <f>IF(BR139&gt;0.1,1,0)</f>
        <v/>
      </c>
      <c r="BV139" s="34">
        <f>BF139+BG139+BH139+BY139-CA139</f>
        <v/>
      </c>
      <c r="BW139" s="34">
        <f>ABS(BX139)</f>
        <v/>
      </c>
      <c r="BX139" s="34">
        <f>AY139-(J139-L139+N139-Q139+T139-X139)</f>
        <v/>
      </c>
      <c r="BY139" s="34">
        <f>IF(AND(BX139&gt;0,MIN($F139:$G139)&lt;150,$E139="Enerji Açığı"),-100*BX139*1.03,IF(AND(BX139&gt;0,MIN($F139:$G139)&lt;150,$E139="Enerji Fazlası"),-100*BX139*1.06,IF(AND(BX139&gt;0,MIN($F139:$G139)&gt;=150,$E139="Enerji Açığı"),BX139*MIN($F139:$G139)*0.97,IF(AND(BX139&gt;0,MIN($F139:$G139)&gt;=150,$E139="Enerji Fazlası"),BX139*MIN($F139:$G139)*0.94,IF(AND(BX139&lt;0,MAX($F139:$G139)=4500,$E139="Enerji Açığı"),4500*1.05*1.06*BX139,IF(AND(BX139&lt;0,MAX($F139:$G139)=4500,$E139="Enerji Fazlası"),4500*1.05*1.03*BX139,IF(AND(BX139&lt;0,$E139="Enerji Açığı"),MAX($F139,$G139,150)*BX139*1.06,IF(AND(BX139&lt;0,$E139="Enerji Fazlası"),MAX($F139,$G139,150)*BX139*1.03,IF(AND(BX139&lt;0,$E139="Dengede"),MAX($F139:$G139,150)*1.03*BX139,MIN($F139:$G139)*0.97*BX139)))))))))</f>
        <v/>
      </c>
      <c r="BZ139" s="34">
        <f>BE139-BV139-CA139</f>
        <v/>
      </c>
      <c r="CA139" s="34">
        <f>BD139</f>
        <v/>
      </c>
      <c r="CB139" s="33">
        <f>BE139-BV139</f>
        <v/>
      </c>
      <c r="CC139" s="34">
        <f>IF(AY139=0,0,CB139/AY139)</f>
        <v/>
      </c>
      <c r="CD139" s="34">
        <f>MAX((AY139+MAX((-J139+L139-N139+Q139-T139+X139),0)),(MAX((J139-L139+N139-Q139+T139-X139),0)))</f>
        <v/>
      </c>
      <c r="CE139" s="82">
        <f>IFERROR(ABS(BX139/CD139),0)</f>
        <v/>
      </c>
      <c r="CF139" s="34">
        <f>IF(CE139&lt;=0.1,0,BX139/CE139*(CE139-0.1))</f>
        <v/>
      </c>
      <c r="CG139" s="34">
        <f>IF((CF139)&lt;0,MAX(F139:G139)*(CF139)*1.03,MIN(F139:G139)*(CF139)*0.97)</f>
        <v/>
      </c>
      <c r="CH139" s="34">
        <f>IF(CE139&gt;0.1,1,0)</f>
        <v/>
      </c>
      <c r="CI139" s="34">
        <f>(F139*BX139)-BY139</f>
        <v/>
      </c>
      <c r="CJ139" s="34">
        <f>IF(AY139=0,0,CI139/AY139)</f>
        <v/>
      </c>
    </row>
    <row r="140">
      <c r="A140" s="29" t="n">
        <v>46209.70833333334</v>
      </c>
      <c r="B140" s="29" t="inlineStr">
        <is>
          <t>17:00</t>
        </is>
      </c>
      <c r="C140" s="35">
        <f>INT(A140)</f>
        <v/>
      </c>
      <c r="D140" s="36">
        <f>MONTH(A140)</f>
        <v/>
      </c>
      <c r="E140" s="147" t="inlineStr">
        <is>
          <t>Enerji Fazlası</t>
        </is>
      </c>
      <c r="F140" s="30" t="n">
        <v>2799.01</v>
      </c>
      <c r="G140" s="30" t="n">
        <v>500</v>
      </c>
      <c r="H140" s="30" t="n">
        <v>60.02</v>
      </c>
      <c r="I140" s="30" t="n">
        <v>2780.13</v>
      </c>
      <c r="J140" s="119" t="n">
        <v>0</v>
      </c>
      <c r="K140" s="34">
        <f>F140*J140</f>
        <v/>
      </c>
      <c r="L140" s="119" t="n">
        <v>0</v>
      </c>
      <c r="M140" s="34">
        <f>L140*F140</f>
        <v/>
      </c>
      <c r="N140" s="119" t="n">
        <v>22.5</v>
      </c>
      <c r="O140" s="34">
        <f>F140</f>
        <v/>
      </c>
      <c r="P140" s="34">
        <f>N140*O140</f>
        <v/>
      </c>
      <c r="Q140" s="117" t="n">
        <v>0</v>
      </c>
      <c r="R140" s="34">
        <f>F140</f>
        <v/>
      </c>
      <c r="S140" s="34">
        <f>R140*Q140</f>
        <v/>
      </c>
      <c r="T140" s="34" t="n"/>
      <c r="U140" s="34">
        <f>IFERROR(W140/T140,0)</f>
        <v/>
      </c>
      <c r="V140" s="34">
        <f>IF(U140=0,0,U140-F140)</f>
        <v/>
      </c>
      <c r="W140" s="34" t="n"/>
      <c r="X140" s="34" t="n"/>
      <c r="Y140" s="34">
        <f>IFERROR(AA140/X140,0)</f>
        <v/>
      </c>
      <c r="Z140" s="34">
        <f>IF(Y140=0,0,F140-Y140)</f>
        <v/>
      </c>
      <c r="AA140" s="34" t="n"/>
      <c r="AB140" s="34" t="n">
        <v>0</v>
      </c>
      <c r="AC140" s="34" t="n">
        <v>0</v>
      </c>
      <c r="AD140" s="34">
        <f>IF(AB140&gt;AC140*1.05,AB140-AC140*1.05,IF(AB140&lt;AC140*0.95,AC140*0.95-AB140,0))</f>
        <v/>
      </c>
      <c r="AE140" s="34">
        <f>MAX(F140,G140,750)*0.05*AD140</f>
        <v/>
      </c>
      <c r="AF140" s="34" t="n">
        <v>0</v>
      </c>
      <c r="AG140" s="34">
        <f>IF(AB140&gt;AF140*1.05,AB140-AF140*1.05,IF(AB140&lt;AF140*0.95,AF140*0.95-AB140,0))</f>
        <v/>
      </c>
      <c r="AH140" s="34">
        <f>MAX(I140,J140,750)*0.05*AG140</f>
        <v/>
      </c>
      <c r="AI140" t="n">
        <v>8.98</v>
      </c>
      <c r="AJ140" t="n">
        <v>9</v>
      </c>
      <c r="AK140" s="34">
        <f>IF(AI140&gt;AJ140*1.05,AI140-AJ140*1.05,IF(AI140&lt;AJ140*0.95,AJ140*0.95-AI140,0))</f>
        <v/>
      </c>
      <c r="AL140" s="34">
        <f>MAX(F140,G140,750)*0.05*AK140</f>
        <v/>
      </c>
      <c r="AM140" s="39" t="n">
        <v>9</v>
      </c>
      <c r="AN140" s="34">
        <f>IF(AI140&gt;AM140*1.05,AI140-AM140*1.05,IF(AI140&lt;AM140*0.95,AM140*0.95-AI140,0))</f>
        <v/>
      </c>
      <c r="AO140" s="34">
        <f>MAX(F140,G140,750)*0.05*AN140</f>
        <v/>
      </c>
      <c r="AP140" s="34" t="n">
        <v>13.05</v>
      </c>
      <c r="AQ140" s="34" t="n">
        <v>13.5</v>
      </c>
      <c r="AR140" s="34">
        <f>IF(AP140&gt;AQ140*1.05,AP140-AQ140*1.05,IF(AP140&lt;AQ140*0.95,AQ140*0.95-AP140,0))</f>
        <v/>
      </c>
      <c r="AS140" s="34">
        <f>MAX(F140:G140,750)*0.05*AR140</f>
        <v/>
      </c>
      <c r="AT140" t="n">
        <v>13.5</v>
      </c>
      <c r="AU140" s="34">
        <f>IF(AP140&gt;AT140*1.05,AP140-AT140*1.05,IF(AP140&lt;AT140*0.95,AT140*0.95-AP140,0))</f>
        <v/>
      </c>
      <c r="AV140" s="34">
        <f>MAX(F140:G140,750)*0.05*AU140</f>
        <v/>
      </c>
      <c r="AW140" s="34">
        <f>AC140+AJ140+AQ140</f>
        <v/>
      </c>
      <c r="AX140" s="34">
        <f>AF140+AM140+AT140</f>
        <v/>
      </c>
      <c r="AY140" s="34">
        <f>AB140+AI140+AP140</f>
        <v/>
      </c>
      <c r="AZ140" s="34" t="n">
        <v>0</v>
      </c>
      <c r="BA140" s="34">
        <f>AD140+AK140+AR140</f>
        <v/>
      </c>
      <c r="BB140" s="34">
        <f>MAX(F140:G140,750)*0.05*BA140</f>
        <v/>
      </c>
      <c r="BC140" s="34">
        <f>AG140+AN140+AU140</f>
        <v/>
      </c>
      <c r="BD140" s="34">
        <f>MAX(F140:G140,750)*0.05*BC140</f>
        <v/>
      </c>
      <c r="BE140" s="34">
        <f>F140*AY140</f>
        <v/>
      </c>
      <c r="BF140" s="34">
        <f>K140-M140</f>
        <v/>
      </c>
      <c r="BG140" s="34">
        <f>P140-S140</f>
        <v/>
      </c>
      <c r="BH140" s="34">
        <f>W140-AA140</f>
        <v/>
      </c>
      <c r="BI140" s="34">
        <f>BF140+BG140+BL140-BN140</f>
        <v/>
      </c>
      <c r="BJ140" s="34">
        <f>ABS(BK140)</f>
        <v/>
      </c>
      <c r="BK140" s="34">
        <f>AY140-(J140-L140+N140-Q140)</f>
        <v/>
      </c>
      <c r="BL140" s="34">
        <f>IF(AND(BK140&gt;0,MIN($F140:$G140)&lt;150,$E140="Enerji Açığı"),-100*BK140*1.03,IF(AND(BK140&gt;0,MIN($F140:$G140)&lt;150,$E140="Enerji Fazlası"),-100*BK140*1.06,IF(AND(BK140&gt;0,MIN($F140:$G140)&gt;=150,$E140="Enerji Açığı"),BK140*MIN($F140:$G140)*0.97,IF(AND(BK140&gt;0,MIN($F140:$G140)&gt;=150,$E140="Enerji Fazlası"),BK140*MIN($F140:$G140)*0.94,IF(AND(BK140&lt;0,MAX($F140:$G140)=4500,$E140="Enerji Açığı"),4500*1.05*1.06*BK140,IF(AND(BK140&lt;0,MAX($F140:$G140)=4500,$E140="Enerji Fazlası"),4500*1.05*1.03*BK140,IF(AND(BK140&lt;0,$E140="Enerji Açığı"),MAX($F140,$G140,150)*BK140*1.06,IF(AND(BK140&lt;0,$E140="Enerji Fazlası"),MAX($F140,$G140,150)*BK140*1.03,IF(AND(BK140&lt;0,$E140="Dengede"),MAX($F140:$G140,150)*1.03*BK140,MIN($F140:$G140)*0.97*BK140)))))))))</f>
        <v/>
      </c>
      <c r="BM140" s="34">
        <f>BE140-BI140-BN140</f>
        <v/>
      </c>
      <c r="BN140" s="34">
        <f>BB140</f>
        <v/>
      </c>
      <c r="BO140" s="34">
        <f>BE140-BI140</f>
        <v/>
      </c>
      <c r="BP140" s="34">
        <f>IF(AY140=0,0,BO140/AY140)</f>
        <v/>
      </c>
      <c r="BQ140" s="34">
        <f>MAX((AY140+MAX((-J140+L140-N140+Q140),0)),(MAX((J140-L140+N140-Q140),0)))</f>
        <v/>
      </c>
      <c r="BR140" s="82">
        <f>IFERROR(ABS(BK140/BQ140),0)</f>
        <v/>
      </c>
      <c r="BS140" s="34">
        <f>IF(BR140&lt;=0.1,0,BK140/BR140*(BR140-0.1))</f>
        <v/>
      </c>
      <c r="BT140" s="34">
        <f>IF((BS140)&lt;0,MAX(F140:G140)*(BS140)*1.03,MIN(F140:G140)*(BS140)*0.97)</f>
        <v/>
      </c>
      <c r="BU140" s="34">
        <f>IF(BR140&gt;0.1,1,0)</f>
        <v/>
      </c>
      <c r="BV140" s="34">
        <f>BF140+BG140+BH140+BY140-CA140</f>
        <v/>
      </c>
      <c r="BW140" s="34">
        <f>ABS(BX140)</f>
        <v/>
      </c>
      <c r="BX140" s="34">
        <f>AY140-(J140-L140+N140-Q140+T140-X140)</f>
        <v/>
      </c>
      <c r="BY140" s="34">
        <f>IF(AND(BX140&gt;0,MIN($F140:$G140)&lt;150,$E140="Enerji Açığı"),-100*BX140*1.03,IF(AND(BX140&gt;0,MIN($F140:$G140)&lt;150,$E140="Enerji Fazlası"),-100*BX140*1.06,IF(AND(BX140&gt;0,MIN($F140:$G140)&gt;=150,$E140="Enerji Açığı"),BX140*MIN($F140:$G140)*0.97,IF(AND(BX140&gt;0,MIN($F140:$G140)&gt;=150,$E140="Enerji Fazlası"),BX140*MIN($F140:$G140)*0.94,IF(AND(BX140&lt;0,MAX($F140:$G140)=4500,$E140="Enerji Açığı"),4500*1.05*1.06*BX140,IF(AND(BX140&lt;0,MAX($F140:$G140)=4500,$E140="Enerji Fazlası"),4500*1.05*1.03*BX140,IF(AND(BX140&lt;0,$E140="Enerji Açığı"),MAX($F140,$G140,150)*BX140*1.06,IF(AND(BX140&lt;0,$E140="Enerji Fazlası"),MAX($F140,$G140,150)*BX140*1.03,IF(AND(BX140&lt;0,$E140="Dengede"),MAX($F140:$G140,150)*1.03*BX140,MIN($F140:$G140)*0.97*BX140)))))))))</f>
        <v/>
      </c>
      <c r="BZ140" s="34">
        <f>BE140-BV140-CA140</f>
        <v/>
      </c>
      <c r="CA140" s="34">
        <f>BD140</f>
        <v/>
      </c>
      <c r="CB140" s="33">
        <f>BE140-BV140</f>
        <v/>
      </c>
      <c r="CC140" s="34">
        <f>IF(AY140=0,0,CB140/AY140)</f>
        <v/>
      </c>
      <c r="CD140" s="34">
        <f>MAX((AY140+MAX((-J140+L140-N140+Q140-T140+X140),0)),(MAX((J140-L140+N140-Q140+T140-X140),0)))</f>
        <v/>
      </c>
      <c r="CE140" s="82">
        <f>IFERROR(ABS(BX140/CD140),0)</f>
        <v/>
      </c>
      <c r="CF140" s="34">
        <f>IF(CE140&lt;=0.1,0,BX140/CE140*(CE140-0.1))</f>
        <v/>
      </c>
      <c r="CG140" s="34">
        <f>IF((CF140)&lt;0,MAX(F140:G140)*(CF140)*1.03,MIN(F140:G140)*(CF140)*0.97)</f>
        <v/>
      </c>
      <c r="CH140" s="34">
        <f>IF(CE140&gt;0.1,1,0)</f>
        <v/>
      </c>
      <c r="CI140" s="34">
        <f>(F140*BX140)-BY140</f>
        <v/>
      </c>
      <c r="CJ140" s="34">
        <f>IF(AY140=0,0,CI140/AY140)</f>
        <v/>
      </c>
    </row>
    <row r="141">
      <c r="A141" s="29" t="n">
        <v>46209.75</v>
      </c>
      <c r="B141" s="29" t="inlineStr">
        <is>
          <t>18:00</t>
        </is>
      </c>
      <c r="C141" s="35">
        <f>INT(A141)</f>
        <v/>
      </c>
      <c r="D141" s="36">
        <f>MONTH(A141)</f>
        <v/>
      </c>
      <c r="E141" s="147" t="inlineStr">
        <is>
          <t>Enerji Açığı</t>
        </is>
      </c>
      <c r="F141" s="30" t="n">
        <v>2176.69</v>
      </c>
      <c r="G141" s="30" t="n">
        <v>3784</v>
      </c>
      <c r="H141" s="30" t="n">
        <v>46.68</v>
      </c>
      <c r="I141" s="30" t="n">
        <v>2198.22</v>
      </c>
      <c r="J141" s="119" t="n">
        <v>0</v>
      </c>
      <c r="K141" s="34">
        <f>F141*J141</f>
        <v/>
      </c>
      <c r="L141" s="119" t="n">
        <v>0</v>
      </c>
      <c r="M141" s="34">
        <f>L141*F141</f>
        <v/>
      </c>
      <c r="N141" s="119" t="n">
        <v>22.3</v>
      </c>
      <c r="O141" s="34">
        <f>F141</f>
        <v/>
      </c>
      <c r="P141" s="34">
        <f>N141*O141</f>
        <v/>
      </c>
      <c r="Q141" s="117" t="n">
        <v>0</v>
      </c>
      <c r="R141" s="34">
        <f>F141</f>
        <v/>
      </c>
      <c r="S141" s="34">
        <f>R141*Q141</f>
        <v/>
      </c>
      <c r="T141" s="34" t="n"/>
      <c r="U141" s="34">
        <f>IFERROR(W141/T141,0)</f>
        <v/>
      </c>
      <c r="V141" s="34">
        <f>IF(U141=0,0,U141-F141)</f>
        <v/>
      </c>
      <c r="W141" s="34" t="n"/>
      <c r="X141" s="34" t="n"/>
      <c r="Y141" s="34">
        <f>IFERROR(AA141/X141,0)</f>
        <v/>
      </c>
      <c r="Z141" s="34">
        <f>IF(Y141=0,0,F141-Y141)</f>
        <v/>
      </c>
      <c r="AA141" s="34" t="n"/>
      <c r="AB141" s="34" t="n">
        <v>0</v>
      </c>
      <c r="AC141" s="34" t="n">
        <v>0</v>
      </c>
      <c r="AD141" s="34">
        <f>IF(AB141&gt;AC141*1.05,AB141-AC141*1.05,IF(AB141&lt;AC141*0.95,AC141*0.95-AB141,0))</f>
        <v/>
      </c>
      <c r="AE141" s="34">
        <f>MAX(F141,G141,750)*0.05*AD141</f>
        <v/>
      </c>
      <c r="AF141" s="34" t="n">
        <v>0</v>
      </c>
      <c r="AG141" s="34">
        <f>IF(AB141&gt;AF141*1.05,AB141-AF141*1.05,IF(AB141&lt;AF141*0.95,AF141*0.95-AB141,0))</f>
        <v/>
      </c>
      <c r="AH141" s="34">
        <f>MAX(I141,J141,750)*0.05*AG141</f>
        <v/>
      </c>
      <c r="AI141" t="n">
        <v>9.01</v>
      </c>
      <c r="AJ141" t="n">
        <v>9</v>
      </c>
      <c r="AK141" s="34">
        <f>IF(AI141&gt;AJ141*1.05,AI141-AJ141*1.05,IF(AI141&lt;AJ141*0.95,AJ141*0.95-AI141,0))</f>
        <v/>
      </c>
      <c r="AL141" s="34">
        <f>MAX(F141,G141,750)*0.05*AK141</f>
        <v/>
      </c>
      <c r="AM141" s="39" t="n">
        <v>7</v>
      </c>
      <c r="AN141" s="34">
        <f>IF(AI141&gt;AM141*1.05,AI141-AM141*1.05,IF(AI141&lt;AM141*0.95,AM141*0.95-AI141,0))</f>
        <v/>
      </c>
      <c r="AO141" s="34">
        <f>MAX(F141,G141,750)*0.05*AN141</f>
        <v/>
      </c>
      <c r="AP141" s="34" t="n">
        <v>9.07</v>
      </c>
      <c r="AQ141" s="34" t="n">
        <v>13.3</v>
      </c>
      <c r="AR141" s="34">
        <f>IF(AP141&gt;AQ141*1.05,AP141-AQ141*1.05,IF(AP141&lt;AQ141*0.95,AQ141*0.95-AP141,0))</f>
        <v/>
      </c>
      <c r="AS141" s="34">
        <f>MAX(F141:G141,750)*0.05*AR141</f>
        <v/>
      </c>
      <c r="AT141" t="n">
        <v>9</v>
      </c>
      <c r="AU141" s="34">
        <f>IF(AP141&gt;AT141*1.05,AP141-AT141*1.05,IF(AP141&lt;AT141*0.95,AT141*0.95-AP141,0))</f>
        <v/>
      </c>
      <c r="AV141" s="34">
        <f>MAX(F141:G141,750)*0.05*AU141</f>
        <v/>
      </c>
      <c r="AW141" s="34">
        <f>AC141+AJ141+AQ141</f>
        <v/>
      </c>
      <c r="AX141" s="34">
        <f>AF141+AM141+AT141</f>
        <v/>
      </c>
      <c r="AY141" s="34">
        <f>AB141+AI141+AP141</f>
        <v/>
      </c>
      <c r="AZ141" s="34" t="n">
        <v>0</v>
      </c>
      <c r="BA141" s="34">
        <f>AD141+AK141+AR141</f>
        <v/>
      </c>
      <c r="BB141" s="34">
        <f>MAX(F141:G141,750)*0.05*BA141</f>
        <v/>
      </c>
      <c r="BC141" s="34">
        <f>AG141+AN141+AU141</f>
        <v/>
      </c>
      <c r="BD141" s="34">
        <f>MAX(F141:G141,750)*0.05*BC141</f>
        <v/>
      </c>
      <c r="BE141" s="34">
        <f>F141*AY141</f>
        <v/>
      </c>
      <c r="BF141" s="34">
        <f>K141-M141</f>
        <v/>
      </c>
      <c r="BG141" s="34">
        <f>P141-S141</f>
        <v/>
      </c>
      <c r="BH141" s="34">
        <f>W141-AA141</f>
        <v/>
      </c>
      <c r="BI141" s="34">
        <f>BF141+BG141+BL141-BN141</f>
        <v/>
      </c>
      <c r="BJ141" s="34">
        <f>ABS(BK141)</f>
        <v/>
      </c>
      <c r="BK141" s="34">
        <f>AY141-(J141-L141+N141-Q141)</f>
        <v/>
      </c>
      <c r="BL141" s="34">
        <f>IF(AND(BK141&gt;0,MIN($F141:$G141)&lt;150,$E141="Enerji Açığı"),-100*BK141*1.03,IF(AND(BK141&gt;0,MIN($F141:$G141)&lt;150,$E141="Enerji Fazlası"),-100*BK141*1.06,IF(AND(BK141&gt;0,MIN($F141:$G141)&gt;=150,$E141="Enerji Açığı"),BK141*MIN($F141:$G141)*0.97,IF(AND(BK141&gt;0,MIN($F141:$G141)&gt;=150,$E141="Enerji Fazlası"),BK141*MIN($F141:$G141)*0.94,IF(AND(BK141&lt;0,MAX($F141:$G141)=4500,$E141="Enerji Açığı"),4500*1.05*1.06*BK141,IF(AND(BK141&lt;0,MAX($F141:$G141)=4500,$E141="Enerji Fazlası"),4500*1.05*1.03*BK141,IF(AND(BK141&lt;0,$E141="Enerji Açığı"),MAX($F141,$G141,150)*BK141*1.06,IF(AND(BK141&lt;0,$E141="Enerji Fazlası"),MAX($F141,$G141,150)*BK141*1.03,IF(AND(BK141&lt;0,$E141="Dengede"),MAX($F141:$G141,150)*1.03*BK141,MIN($F141:$G141)*0.97*BK141)))))))))</f>
        <v/>
      </c>
      <c r="BM141" s="34">
        <f>BE141-BI141-BN141</f>
        <v/>
      </c>
      <c r="BN141" s="34">
        <f>BB141</f>
        <v/>
      </c>
      <c r="BO141" s="34">
        <f>BE141-BI141</f>
        <v/>
      </c>
      <c r="BP141" s="34">
        <f>IF(AY141=0,0,BO141/AY141)</f>
        <v/>
      </c>
      <c r="BQ141" s="34">
        <f>MAX((AY141+MAX((-J141+L141-N141+Q141),0)),(MAX((J141-L141+N141-Q141),0)))</f>
        <v/>
      </c>
      <c r="BR141" s="82">
        <f>IFERROR(ABS(BK141/BQ141),0)</f>
        <v/>
      </c>
      <c r="BS141" s="34">
        <f>IF(BR141&lt;=0.1,0,BK141/BR141*(BR141-0.1))</f>
        <v/>
      </c>
      <c r="BT141" s="34">
        <f>IF((BS141)&lt;0,MAX(F141:G141)*(BS141)*1.03,MIN(F141:G141)*(BS141)*0.97)</f>
        <v/>
      </c>
      <c r="BU141" s="34">
        <f>IF(BR141&gt;0.1,1,0)</f>
        <v/>
      </c>
      <c r="BV141" s="34">
        <f>BF141+BG141+BH141+BY141-CA141</f>
        <v/>
      </c>
      <c r="BW141" s="34">
        <f>ABS(BX141)</f>
        <v/>
      </c>
      <c r="BX141" s="34">
        <f>AY141-(J141-L141+N141-Q141+T141-X141)</f>
        <v/>
      </c>
      <c r="BY141" s="34">
        <f>IF(AND(BX141&gt;0,MIN($F141:$G141)&lt;150,$E141="Enerji Açığı"),-100*BX141*1.03,IF(AND(BX141&gt;0,MIN($F141:$G141)&lt;150,$E141="Enerji Fazlası"),-100*BX141*1.06,IF(AND(BX141&gt;0,MIN($F141:$G141)&gt;=150,$E141="Enerji Açığı"),BX141*MIN($F141:$G141)*0.97,IF(AND(BX141&gt;0,MIN($F141:$G141)&gt;=150,$E141="Enerji Fazlası"),BX141*MIN($F141:$G141)*0.94,IF(AND(BX141&lt;0,MAX($F141:$G141)=4500,$E141="Enerji Açığı"),4500*1.05*1.06*BX141,IF(AND(BX141&lt;0,MAX($F141:$G141)=4500,$E141="Enerji Fazlası"),4500*1.05*1.03*BX141,IF(AND(BX141&lt;0,$E141="Enerji Açığı"),MAX($F141,$G141,150)*BX141*1.06,IF(AND(BX141&lt;0,$E141="Enerji Fazlası"),MAX($F141,$G141,150)*BX141*1.03,IF(AND(BX141&lt;0,$E141="Dengede"),MAX($F141:$G141,150)*1.03*BX141,MIN($F141:$G141)*0.97*BX141)))))))))</f>
        <v/>
      </c>
      <c r="BZ141" s="34">
        <f>BE141-BV141-CA141</f>
        <v/>
      </c>
      <c r="CA141" s="34">
        <f>BD141</f>
        <v/>
      </c>
      <c r="CB141" s="33">
        <f>BE141-BV141</f>
        <v/>
      </c>
      <c r="CC141" s="34">
        <f>IF(AY141=0,0,CB141/AY141)</f>
        <v/>
      </c>
      <c r="CD141" s="34">
        <f>MAX((AY141+MAX((-J141+L141-N141+Q141-T141+X141),0)),(MAX((J141-L141+N141-Q141+T141-X141),0)))</f>
        <v/>
      </c>
      <c r="CE141" s="82">
        <f>IFERROR(ABS(BX141/CD141),0)</f>
        <v/>
      </c>
      <c r="CF141" s="34">
        <f>IF(CE141&lt;=0.1,0,BX141/CE141*(CE141-0.1))</f>
        <v/>
      </c>
      <c r="CG141" s="34">
        <f>IF((CF141)&lt;0,MAX(F141:G141)*(CF141)*1.03,MIN(F141:G141)*(CF141)*0.97)</f>
        <v/>
      </c>
      <c r="CH141" s="34">
        <f>IF(CE141&gt;0.1,1,0)</f>
        <v/>
      </c>
      <c r="CI141" s="34">
        <f>(F141*BX141)-BY141</f>
        <v/>
      </c>
      <c r="CJ141" s="34">
        <f>IF(AY141=0,0,CI141/AY141)</f>
        <v/>
      </c>
    </row>
    <row r="142">
      <c r="A142" s="29" t="n">
        <v>46209.79166666666</v>
      </c>
      <c r="B142" s="29" t="inlineStr">
        <is>
          <t>19:00</t>
        </is>
      </c>
      <c r="C142" s="35">
        <f>INT(A142)</f>
        <v/>
      </c>
      <c r="D142" s="36">
        <f>MONTH(A142)</f>
        <v/>
      </c>
      <c r="E142" s="147" t="inlineStr">
        <is>
          <t>Enerji Açığı</t>
        </is>
      </c>
      <c r="F142" s="30" t="n">
        <v>3499.99</v>
      </c>
      <c r="G142" s="30" t="n">
        <v>4100</v>
      </c>
      <c r="H142" s="30" t="n">
        <v>75.05</v>
      </c>
      <c r="I142" s="30" t="n">
        <v>3082.64</v>
      </c>
      <c r="J142" s="119" t="n">
        <v>0</v>
      </c>
      <c r="K142" s="34">
        <f>F142*J142</f>
        <v/>
      </c>
      <c r="L142" s="119" t="n">
        <v>0</v>
      </c>
      <c r="M142" s="34">
        <f>L142*F142</f>
        <v/>
      </c>
      <c r="N142" s="119" t="n">
        <v>23.2</v>
      </c>
      <c r="O142" s="34">
        <f>F142</f>
        <v/>
      </c>
      <c r="P142" s="34">
        <f>N142*O142</f>
        <v/>
      </c>
      <c r="Q142" s="117" t="n">
        <v>0</v>
      </c>
      <c r="R142" s="34">
        <f>F142</f>
        <v/>
      </c>
      <c r="S142" s="34">
        <f>R142*Q142</f>
        <v/>
      </c>
      <c r="T142" s="34" t="n"/>
      <c r="U142" s="34">
        <f>IFERROR(W142/T142,0)</f>
        <v/>
      </c>
      <c r="V142" s="34">
        <f>IF(U142=0,0,U142-F142)</f>
        <v/>
      </c>
      <c r="W142" s="34" t="n"/>
      <c r="X142" s="34" t="n"/>
      <c r="Y142" s="34">
        <f>IFERROR(AA142/X142,0)</f>
        <v/>
      </c>
      <c r="Z142" s="34">
        <f>IF(Y142=0,0,F142-Y142)</f>
        <v/>
      </c>
      <c r="AA142" s="34" t="n"/>
      <c r="AB142" s="34" t="n">
        <v>0</v>
      </c>
      <c r="AC142" s="34" t="n">
        <v>0</v>
      </c>
      <c r="AD142" s="34">
        <f>IF(AB142&gt;AC142*1.05,AB142-AC142*1.05,IF(AB142&lt;AC142*0.95,AC142*0.95-AB142,0))</f>
        <v/>
      </c>
      <c r="AE142" s="34">
        <f>MAX(F142,G142,750)*0.05*AD142</f>
        <v/>
      </c>
      <c r="AF142" s="34" t="n">
        <v>0</v>
      </c>
      <c r="AG142" s="34">
        <f>IF(AB142&gt;AF142*1.05,AB142-AF142*1.05,IF(AB142&lt;AF142*0.95,AF142*0.95-AB142,0))</f>
        <v/>
      </c>
      <c r="AH142" s="34">
        <f>MAX(I142,J142,750)*0.05*AG142</f>
        <v/>
      </c>
      <c r="AI142" t="n">
        <v>6.14</v>
      </c>
      <c r="AJ142" t="n">
        <v>10</v>
      </c>
      <c r="AK142" s="34">
        <f>IF(AI142&gt;AJ142*1.05,AI142-AJ142*1.05,IF(AI142&lt;AJ142*0.95,AJ142*0.95-AI142,0))</f>
        <v/>
      </c>
      <c r="AL142" s="34">
        <f>MAX(F142,G142,750)*0.05*AK142</f>
        <v/>
      </c>
      <c r="AM142" s="39" t="n">
        <v>6</v>
      </c>
      <c r="AN142" s="34">
        <f>IF(AI142&gt;AM142*1.05,AI142-AM142*1.05,IF(AI142&lt;AM142*0.95,AM142*0.95-AI142,0))</f>
        <v/>
      </c>
      <c r="AO142" s="34">
        <f>MAX(F142,G142,750)*0.05*AN142</f>
        <v/>
      </c>
      <c r="AP142" s="34" t="n">
        <v>9.1</v>
      </c>
      <c r="AQ142" s="34" t="n">
        <v>13.2</v>
      </c>
      <c r="AR142" s="34">
        <f>IF(AP142&gt;AQ142*1.05,AP142-AQ142*1.05,IF(AP142&lt;AQ142*0.95,AQ142*0.95-AP142,0))</f>
        <v/>
      </c>
      <c r="AS142" s="34">
        <f>MAX(F142:G142,750)*0.05*AR142</f>
        <v/>
      </c>
      <c r="AT142" t="n">
        <v>9</v>
      </c>
      <c r="AU142" s="34">
        <f>IF(AP142&gt;AT142*1.05,AP142-AT142*1.05,IF(AP142&lt;AT142*0.95,AT142*0.95-AP142,0))</f>
        <v/>
      </c>
      <c r="AV142" s="34">
        <f>MAX(F142:G142,750)*0.05*AU142</f>
        <v/>
      </c>
      <c r="AW142" s="34">
        <f>AC142+AJ142+AQ142</f>
        <v/>
      </c>
      <c r="AX142" s="34">
        <f>AF142+AM142+AT142</f>
        <v/>
      </c>
      <c r="AY142" s="34">
        <f>AB142+AI142+AP142</f>
        <v/>
      </c>
      <c r="AZ142" s="34" t="n">
        <v>0</v>
      </c>
      <c r="BA142" s="34">
        <f>AD142+AK142+AR142</f>
        <v/>
      </c>
      <c r="BB142" s="34">
        <f>MAX(F142:G142,750)*0.05*BA142</f>
        <v/>
      </c>
      <c r="BC142" s="34">
        <f>AG142+AN142+AU142</f>
        <v/>
      </c>
      <c r="BD142" s="34">
        <f>MAX(F142:G142,750)*0.05*BC142</f>
        <v/>
      </c>
      <c r="BE142" s="34">
        <f>F142*AY142</f>
        <v/>
      </c>
      <c r="BF142" s="34">
        <f>K142-M142</f>
        <v/>
      </c>
      <c r="BG142" s="34">
        <f>P142-S142</f>
        <v/>
      </c>
      <c r="BH142" s="34">
        <f>W142-AA142</f>
        <v/>
      </c>
      <c r="BI142" s="34">
        <f>BF142+BG142+BL142-BN142</f>
        <v/>
      </c>
      <c r="BJ142" s="34">
        <f>ABS(BK142)</f>
        <v/>
      </c>
      <c r="BK142" s="34">
        <f>AY142-(J142-L142+N142-Q142)</f>
        <v/>
      </c>
      <c r="BL142" s="34">
        <f>IF(AND(BK142&gt;0,MIN($F142:$G142)&lt;150,$E142="Enerji Açığı"),-100*BK142*1.03,IF(AND(BK142&gt;0,MIN($F142:$G142)&lt;150,$E142="Enerji Fazlası"),-100*BK142*1.06,IF(AND(BK142&gt;0,MIN($F142:$G142)&gt;=150,$E142="Enerji Açığı"),BK142*MIN($F142:$G142)*0.97,IF(AND(BK142&gt;0,MIN($F142:$G142)&gt;=150,$E142="Enerji Fazlası"),BK142*MIN($F142:$G142)*0.94,IF(AND(BK142&lt;0,MAX($F142:$G142)=4500,$E142="Enerji Açığı"),4500*1.05*1.06*BK142,IF(AND(BK142&lt;0,MAX($F142:$G142)=4500,$E142="Enerji Fazlası"),4500*1.05*1.03*BK142,IF(AND(BK142&lt;0,$E142="Enerji Açığı"),MAX($F142,$G142,150)*BK142*1.06,IF(AND(BK142&lt;0,$E142="Enerji Fazlası"),MAX($F142,$G142,150)*BK142*1.03,IF(AND(BK142&lt;0,$E142="Dengede"),MAX($F142:$G142,150)*1.03*BK142,MIN($F142:$G142)*0.97*BK142)))))))))</f>
        <v/>
      </c>
      <c r="BM142" s="34">
        <f>BE142-BI142-BN142</f>
        <v/>
      </c>
      <c r="BN142" s="34">
        <f>BB142</f>
        <v/>
      </c>
      <c r="BO142" s="34">
        <f>BE142-BI142</f>
        <v/>
      </c>
      <c r="BP142" s="34">
        <f>IF(AY142=0,0,BO142/AY142)</f>
        <v/>
      </c>
      <c r="BQ142" s="34">
        <f>MAX((AY142+MAX((-J142+L142-N142+Q142),0)),(MAX((J142-L142+N142-Q142),0)))</f>
        <v/>
      </c>
      <c r="BR142" s="82">
        <f>IFERROR(ABS(BK142/BQ142),0)</f>
        <v/>
      </c>
      <c r="BS142" s="34">
        <f>IF(BR142&lt;=0.1,0,BK142/BR142*(BR142-0.1))</f>
        <v/>
      </c>
      <c r="BT142" s="34">
        <f>IF((BS142)&lt;0,MAX(F142:G142)*(BS142)*1.03,MIN(F142:G142)*(BS142)*0.97)</f>
        <v/>
      </c>
      <c r="BU142" s="34">
        <f>IF(BR142&gt;0.1,1,0)</f>
        <v/>
      </c>
      <c r="BV142" s="34">
        <f>BF142+BG142+BH142+BY142-CA142</f>
        <v/>
      </c>
      <c r="BW142" s="34">
        <f>ABS(BX142)</f>
        <v/>
      </c>
      <c r="BX142" s="34">
        <f>AY142-(J142-L142+N142-Q142+T142-X142)</f>
        <v/>
      </c>
      <c r="BY142" s="34">
        <f>IF(AND(BX142&gt;0,MIN($F142:$G142)&lt;150,$E142="Enerji Açığı"),-100*BX142*1.03,IF(AND(BX142&gt;0,MIN($F142:$G142)&lt;150,$E142="Enerji Fazlası"),-100*BX142*1.06,IF(AND(BX142&gt;0,MIN($F142:$G142)&gt;=150,$E142="Enerji Açığı"),BX142*MIN($F142:$G142)*0.97,IF(AND(BX142&gt;0,MIN($F142:$G142)&gt;=150,$E142="Enerji Fazlası"),BX142*MIN($F142:$G142)*0.94,IF(AND(BX142&lt;0,MAX($F142:$G142)=4500,$E142="Enerji Açığı"),4500*1.05*1.06*BX142,IF(AND(BX142&lt;0,MAX($F142:$G142)=4500,$E142="Enerji Fazlası"),4500*1.05*1.03*BX142,IF(AND(BX142&lt;0,$E142="Enerji Açığı"),MAX($F142,$G142,150)*BX142*1.06,IF(AND(BX142&lt;0,$E142="Enerji Fazlası"),MAX($F142,$G142,150)*BX142*1.03,IF(AND(BX142&lt;0,$E142="Dengede"),MAX($F142:$G142,150)*1.03*BX142,MIN($F142:$G142)*0.97*BX142)))))))))</f>
        <v/>
      </c>
      <c r="BZ142" s="34">
        <f>BE142-BV142-CA142</f>
        <v/>
      </c>
      <c r="CA142" s="34">
        <f>BD142</f>
        <v/>
      </c>
      <c r="CB142" s="33">
        <f>BE142-BV142</f>
        <v/>
      </c>
      <c r="CC142" s="34">
        <f>IF(AY142=0,0,CB142/AY142)</f>
        <v/>
      </c>
      <c r="CD142" s="34">
        <f>MAX((AY142+MAX((-J142+L142-N142+Q142-T142+X142),0)),(MAX((J142-L142+N142-Q142+T142-X142),0)))</f>
        <v/>
      </c>
      <c r="CE142" s="82">
        <f>IFERROR(ABS(BX142/CD142),0)</f>
        <v/>
      </c>
      <c r="CF142" s="34">
        <f>IF(CE142&lt;=0.1,0,BX142/CE142*(CE142-0.1))</f>
        <v/>
      </c>
      <c r="CG142" s="34">
        <f>IF((CF142)&lt;0,MAX(F142:G142)*(CF142)*1.03,MIN(F142:G142)*(CF142)*0.97)</f>
        <v/>
      </c>
      <c r="CH142" s="34">
        <f>IF(CE142&gt;0.1,1,0)</f>
        <v/>
      </c>
      <c r="CI142" s="34">
        <f>(F142*BX142)-BY142</f>
        <v/>
      </c>
      <c r="CJ142" s="34">
        <f>IF(AY142=0,0,CI142/AY142)</f>
        <v/>
      </c>
    </row>
    <row r="143">
      <c r="A143" s="29" t="n">
        <v>46209.83333333334</v>
      </c>
      <c r="B143" s="29" t="inlineStr">
        <is>
          <t>20:00</t>
        </is>
      </c>
      <c r="C143" s="35">
        <f>INT(A143)</f>
        <v/>
      </c>
      <c r="D143" s="36">
        <f>MONTH(A143)</f>
        <v/>
      </c>
      <c r="E143" s="147" t="inlineStr">
        <is>
          <t>Enerji Açığı</t>
        </is>
      </c>
      <c r="F143" s="30" t="n">
        <v>4235</v>
      </c>
      <c r="G143" s="30" t="n">
        <v>4235</v>
      </c>
      <c r="H143" s="30" t="n">
        <v>90.81</v>
      </c>
      <c r="I143" s="30" t="n">
        <v>4110.49</v>
      </c>
      <c r="J143" s="119" t="n">
        <v>0</v>
      </c>
      <c r="K143" s="34">
        <f>F143*J143</f>
        <v/>
      </c>
      <c r="L143" s="119" t="n">
        <v>0</v>
      </c>
      <c r="M143" s="34">
        <f>L143*F143</f>
        <v/>
      </c>
      <c r="N143" s="119" t="n">
        <v>23</v>
      </c>
      <c r="O143" s="34">
        <f>F143</f>
        <v/>
      </c>
      <c r="P143" s="34">
        <f>N143*O143</f>
        <v/>
      </c>
      <c r="Q143" s="117" t="n">
        <v>0</v>
      </c>
      <c r="R143" s="34">
        <f>F143</f>
        <v/>
      </c>
      <c r="S143" s="34">
        <f>R143*Q143</f>
        <v/>
      </c>
      <c r="T143" s="34" t="n"/>
      <c r="U143" s="34">
        <f>IFERROR(W143/T143,0)</f>
        <v/>
      </c>
      <c r="V143" s="34">
        <f>IF(U143=0,0,U143-F143)</f>
        <v/>
      </c>
      <c r="W143" s="34" t="n"/>
      <c r="X143" s="34" t="n"/>
      <c r="Y143" s="34">
        <f>IFERROR(AA143/X143,0)</f>
        <v/>
      </c>
      <c r="Z143" s="34">
        <f>IF(Y143=0,0,F143-Y143)</f>
        <v/>
      </c>
      <c r="AA143" s="34" t="n"/>
      <c r="AB143" s="34" t="n">
        <v>0</v>
      </c>
      <c r="AC143" s="34" t="n">
        <v>0</v>
      </c>
      <c r="AD143" s="34">
        <f>IF(AB143&gt;AC143*1.05,AB143-AC143*1.05,IF(AB143&lt;AC143*0.95,AC143*0.95-AB143,0))</f>
        <v/>
      </c>
      <c r="AE143" s="34">
        <f>MAX(F143,G143,750)*0.05*AD143</f>
        <v/>
      </c>
      <c r="AF143" s="34" t="n">
        <v>0</v>
      </c>
      <c r="AG143" s="34">
        <f>IF(AB143&gt;AF143*1.05,AB143-AF143*1.05,IF(AB143&lt;AF143*0.95,AF143*0.95-AB143,0))</f>
        <v/>
      </c>
      <c r="AH143" s="34">
        <f>MAX(I143,J143,750)*0.05*AG143</f>
        <v/>
      </c>
      <c r="AI143" t="n">
        <v>6.04</v>
      </c>
      <c r="AJ143" t="n">
        <v>10</v>
      </c>
      <c r="AK143" s="34">
        <f>IF(AI143&gt;AJ143*1.05,AI143-AJ143*1.05,IF(AI143&lt;AJ143*0.95,AJ143*0.95-AI143,0))</f>
        <v/>
      </c>
      <c r="AL143" s="34">
        <f>MAX(F143,G143,750)*0.05*AK143</f>
        <v/>
      </c>
      <c r="AM143" s="39" t="n">
        <v>9</v>
      </c>
      <c r="AN143" s="34">
        <f>IF(AI143&gt;AM143*1.05,AI143-AM143*1.05,IF(AI143&lt;AM143*0.95,AM143*0.95-AI143,0))</f>
        <v/>
      </c>
      <c r="AO143" s="34">
        <f>MAX(F143,G143,750)*0.05*AN143</f>
        <v/>
      </c>
      <c r="AP143" s="34" t="n">
        <v>15.87</v>
      </c>
      <c r="AQ143" s="34" t="n">
        <v>13</v>
      </c>
      <c r="AR143" s="34">
        <f>IF(AP143&gt;AQ143*1.05,AP143-AQ143*1.05,IF(AP143&lt;AQ143*0.95,AQ143*0.95-AP143,0))</f>
        <v/>
      </c>
      <c r="AS143" s="34">
        <f>MAX(F143:G143,750)*0.05*AR143</f>
        <v/>
      </c>
      <c r="AT143" t="n">
        <v>13</v>
      </c>
      <c r="AU143" s="34">
        <f>IF(AP143&gt;AT143*1.05,AP143-AT143*1.05,IF(AP143&lt;AT143*0.95,AT143*0.95-AP143,0))</f>
        <v/>
      </c>
      <c r="AV143" s="34">
        <f>MAX(F143:G143,750)*0.05*AU143</f>
        <v/>
      </c>
      <c r="AW143" s="34">
        <f>AC143+AJ143+AQ143</f>
        <v/>
      </c>
      <c r="AX143" s="34">
        <f>AF143+AM143+AT143</f>
        <v/>
      </c>
      <c r="AY143" s="34">
        <f>AB143+AI143+AP143</f>
        <v/>
      </c>
      <c r="AZ143" s="34" t="n">
        <v>0</v>
      </c>
      <c r="BA143" s="34">
        <f>AD143+AK143+AR143</f>
        <v/>
      </c>
      <c r="BB143" s="34">
        <f>MAX(F143:G143,750)*0.05*BA143</f>
        <v/>
      </c>
      <c r="BC143" s="34">
        <f>AG143+AN143+AU143</f>
        <v/>
      </c>
      <c r="BD143" s="34">
        <f>MAX(F143:G143,750)*0.05*BC143</f>
        <v/>
      </c>
      <c r="BE143" s="34">
        <f>F143*AY143</f>
        <v/>
      </c>
      <c r="BF143" s="34">
        <f>K143-M143</f>
        <v/>
      </c>
      <c r="BG143" s="34">
        <f>P143-S143</f>
        <v/>
      </c>
      <c r="BH143" s="34">
        <f>W143-AA143</f>
        <v/>
      </c>
      <c r="BI143" s="34">
        <f>BF143+BG143+BL143-BN143</f>
        <v/>
      </c>
      <c r="BJ143" s="34">
        <f>ABS(BK143)</f>
        <v/>
      </c>
      <c r="BK143" s="34">
        <f>AY143-(J143-L143+N143-Q143)</f>
        <v/>
      </c>
      <c r="BL143" s="34">
        <f>IF(AND(BK143&gt;0,MIN($F143:$G143)&lt;150,$E143="Enerji Açığı"),-100*BK143*1.03,IF(AND(BK143&gt;0,MIN($F143:$G143)&lt;150,$E143="Enerji Fazlası"),-100*BK143*1.06,IF(AND(BK143&gt;0,MIN($F143:$G143)&gt;=150,$E143="Enerji Açığı"),BK143*MIN($F143:$G143)*0.97,IF(AND(BK143&gt;0,MIN($F143:$G143)&gt;=150,$E143="Enerji Fazlası"),BK143*MIN($F143:$G143)*0.94,IF(AND(BK143&lt;0,MAX($F143:$G143)=4500,$E143="Enerji Açığı"),4500*1.05*1.06*BK143,IF(AND(BK143&lt;0,MAX($F143:$G143)=4500,$E143="Enerji Fazlası"),4500*1.05*1.03*BK143,IF(AND(BK143&lt;0,$E143="Enerji Açığı"),MAX($F143,$G143,150)*BK143*1.06,IF(AND(BK143&lt;0,$E143="Enerji Fazlası"),MAX($F143,$G143,150)*BK143*1.03,IF(AND(BK143&lt;0,$E143="Dengede"),MAX($F143:$G143,150)*1.03*BK143,MIN($F143:$G143)*0.97*BK143)))))))))</f>
        <v/>
      </c>
      <c r="BM143" s="34">
        <f>BE143-BI143-BN143</f>
        <v/>
      </c>
      <c r="BN143" s="34">
        <f>BB143</f>
        <v/>
      </c>
      <c r="BO143" s="34">
        <f>BE143-BI143</f>
        <v/>
      </c>
      <c r="BP143" s="34">
        <f>IF(AY143=0,0,BO143/AY143)</f>
        <v/>
      </c>
      <c r="BQ143" s="34">
        <f>MAX((AY143+MAX((-J143+L143-N143+Q143),0)),(MAX((J143-L143+N143-Q143),0)))</f>
        <v/>
      </c>
      <c r="BR143" s="82">
        <f>IFERROR(ABS(BK143/BQ143),0)</f>
        <v/>
      </c>
      <c r="BS143" s="34">
        <f>IF(BR143&lt;=0.1,0,BK143/BR143*(BR143-0.1))</f>
        <v/>
      </c>
      <c r="BT143" s="34">
        <f>IF((BS143)&lt;0,MAX(F143:G143)*(BS143)*1.03,MIN(F143:G143)*(BS143)*0.97)</f>
        <v/>
      </c>
      <c r="BU143" s="34">
        <f>IF(BR143&gt;0.1,1,0)</f>
        <v/>
      </c>
      <c r="BV143" s="34">
        <f>BF143+BG143+BH143+BY143-CA143</f>
        <v/>
      </c>
      <c r="BW143" s="34">
        <f>ABS(BX143)</f>
        <v/>
      </c>
      <c r="BX143" s="34">
        <f>AY143-(J143-L143+N143-Q143+T143-X143)</f>
        <v/>
      </c>
      <c r="BY143" s="34">
        <f>IF(AND(BX143&gt;0,MIN($F143:$G143)&lt;150,$E143="Enerji Açığı"),-100*BX143*1.03,IF(AND(BX143&gt;0,MIN($F143:$G143)&lt;150,$E143="Enerji Fazlası"),-100*BX143*1.06,IF(AND(BX143&gt;0,MIN($F143:$G143)&gt;=150,$E143="Enerji Açığı"),BX143*MIN($F143:$G143)*0.97,IF(AND(BX143&gt;0,MIN($F143:$G143)&gt;=150,$E143="Enerji Fazlası"),BX143*MIN($F143:$G143)*0.94,IF(AND(BX143&lt;0,MAX($F143:$G143)=4500,$E143="Enerji Açığı"),4500*1.05*1.06*BX143,IF(AND(BX143&lt;0,MAX($F143:$G143)=4500,$E143="Enerji Fazlası"),4500*1.05*1.03*BX143,IF(AND(BX143&lt;0,$E143="Enerji Açığı"),MAX($F143,$G143,150)*BX143*1.06,IF(AND(BX143&lt;0,$E143="Enerji Fazlası"),MAX($F143,$G143,150)*BX143*1.03,IF(AND(BX143&lt;0,$E143="Dengede"),MAX($F143:$G143,150)*1.03*BX143,MIN($F143:$G143)*0.97*BX143)))))))))</f>
        <v/>
      </c>
      <c r="BZ143" s="34">
        <f>BE143-BV143-CA143</f>
        <v/>
      </c>
      <c r="CA143" s="34">
        <f>BD143</f>
        <v/>
      </c>
      <c r="CB143" s="33">
        <f>BE143-BV143</f>
        <v/>
      </c>
      <c r="CC143" s="34">
        <f>IF(AY143=0,0,CB143/AY143)</f>
        <v/>
      </c>
      <c r="CD143" s="34">
        <f>MAX((AY143+MAX((-J143+L143-N143+Q143-T143+X143),0)),(MAX((J143-L143+N143-Q143+T143-X143),0)))</f>
        <v/>
      </c>
      <c r="CE143" s="82">
        <f>IFERROR(ABS(BX143/CD143),0)</f>
        <v/>
      </c>
      <c r="CF143" s="34">
        <f>IF(CE143&lt;=0.1,0,BX143/CE143*(CE143-0.1))</f>
        <v/>
      </c>
      <c r="CG143" s="34">
        <f>IF((CF143)&lt;0,MAX(F143:G143)*(CF143)*1.03,MIN(F143:G143)*(CF143)*0.97)</f>
        <v/>
      </c>
      <c r="CH143" s="34">
        <f>IF(CE143&gt;0.1,1,0)</f>
        <v/>
      </c>
      <c r="CI143" s="34">
        <f>(F143*BX143)-BY143</f>
        <v/>
      </c>
      <c r="CJ143" s="34">
        <f>IF(AY143=0,0,CI143/AY143)</f>
        <v/>
      </c>
    </row>
    <row r="144">
      <c r="A144" s="29" t="n">
        <v>46209.875</v>
      </c>
      <c r="B144" s="29" t="inlineStr">
        <is>
          <t>21:00</t>
        </is>
      </c>
      <c r="C144" s="35">
        <f>INT(A144)</f>
        <v/>
      </c>
      <c r="D144" s="36">
        <f>MONTH(A144)</f>
        <v/>
      </c>
      <c r="E144" s="147" t="inlineStr">
        <is>
          <t>Enerji Fazlası</t>
        </is>
      </c>
      <c r="F144" s="30" t="n">
        <v>4400</v>
      </c>
      <c r="G144" s="30" t="n">
        <v>4399.9</v>
      </c>
      <c r="H144" s="30" t="n">
        <v>94.34999999999999</v>
      </c>
      <c r="I144" s="30" t="n">
        <v>4416.59</v>
      </c>
      <c r="J144" s="119" t="n">
        <v>0</v>
      </c>
      <c r="K144" s="34">
        <f>F144*J144</f>
        <v/>
      </c>
      <c r="L144" s="119" t="n">
        <v>0</v>
      </c>
      <c r="M144" s="34">
        <f>L144*F144</f>
        <v/>
      </c>
      <c r="N144" s="119" t="n">
        <v>20</v>
      </c>
      <c r="O144" s="34">
        <f>F144</f>
        <v/>
      </c>
      <c r="P144" s="34">
        <f>N144*O144</f>
        <v/>
      </c>
      <c r="Q144" s="117" t="n">
        <v>0</v>
      </c>
      <c r="R144" s="34">
        <f>F144</f>
        <v/>
      </c>
      <c r="S144" s="34">
        <f>R144*Q144</f>
        <v/>
      </c>
      <c r="T144" s="34" t="n"/>
      <c r="U144" s="34">
        <f>IFERROR(W144/T144,0)</f>
        <v/>
      </c>
      <c r="V144" s="34">
        <f>IF(U144=0,0,U144-F144)</f>
        <v/>
      </c>
      <c r="W144" s="34" t="n"/>
      <c r="X144" s="34" t="n"/>
      <c r="Y144" s="34">
        <f>IFERROR(AA144/X144,0)</f>
        <v/>
      </c>
      <c r="Z144" s="34">
        <f>IF(Y144=0,0,F144-Y144)</f>
        <v/>
      </c>
      <c r="AA144" s="34" t="n"/>
      <c r="AB144" s="34" t="n">
        <v>0</v>
      </c>
      <c r="AC144" s="34" t="n">
        <v>0</v>
      </c>
      <c r="AD144" s="34">
        <f>IF(AB144&gt;AC144*1.05,AB144-AC144*1.05,IF(AB144&lt;AC144*0.95,AC144*0.95-AB144,0))</f>
        <v/>
      </c>
      <c r="AE144" s="34">
        <f>MAX(F144,G144,750)*0.05*AD144</f>
        <v/>
      </c>
      <c r="AF144" s="34" t="n">
        <v>0</v>
      </c>
      <c r="AG144" s="34">
        <f>IF(AB144&gt;AF144*1.05,AB144-AF144*1.05,IF(AB144&lt;AF144*0.95,AF144*0.95-AB144,0))</f>
        <v/>
      </c>
      <c r="AH144" s="34">
        <f>MAX(I144,J144,750)*0.05*AG144</f>
        <v/>
      </c>
      <c r="AI144" t="n">
        <v>8.039999999999999</v>
      </c>
      <c r="AJ144" t="n">
        <v>9</v>
      </c>
      <c r="AK144" s="34">
        <f>IF(AI144&gt;AJ144*1.05,AI144-AJ144*1.05,IF(AI144&lt;AJ144*0.95,AJ144*0.95-AI144,0))</f>
        <v/>
      </c>
      <c r="AL144" s="34">
        <f>MAX(F144,G144,750)*0.05*AK144</f>
        <v/>
      </c>
      <c r="AM144" s="39" t="n">
        <v>9</v>
      </c>
      <c r="AN144" s="34">
        <f>IF(AI144&gt;AM144*1.05,AI144-AM144*1.05,IF(AI144&lt;AM144*0.95,AM144*0.95-AI144,0))</f>
        <v/>
      </c>
      <c r="AO144" s="34">
        <f>MAX(F144,G144,750)*0.05*AN144</f>
        <v/>
      </c>
      <c r="AP144" s="34" t="n">
        <v>13.2</v>
      </c>
      <c r="AQ144" s="34" t="n">
        <v>11</v>
      </c>
      <c r="AR144" s="34">
        <f>IF(AP144&gt;AQ144*1.05,AP144-AQ144*1.05,IF(AP144&lt;AQ144*0.95,AQ144*0.95-AP144,0))</f>
        <v/>
      </c>
      <c r="AS144" s="34">
        <f>MAX(F144:G144,750)*0.05*AR144</f>
        <v/>
      </c>
      <c r="AT144" t="n">
        <v>12</v>
      </c>
      <c r="AU144" s="34">
        <f>IF(AP144&gt;AT144*1.05,AP144-AT144*1.05,IF(AP144&lt;AT144*0.95,AT144*0.95-AP144,0))</f>
        <v/>
      </c>
      <c r="AV144" s="34">
        <f>MAX(F144:G144,750)*0.05*AU144</f>
        <v/>
      </c>
      <c r="AW144" s="34">
        <f>AC144+AJ144+AQ144</f>
        <v/>
      </c>
      <c r="AX144" s="34">
        <f>AF144+AM144+AT144</f>
        <v/>
      </c>
      <c r="AY144" s="34">
        <f>AB144+AI144+AP144</f>
        <v/>
      </c>
      <c r="AZ144" s="34" t="n">
        <v>0</v>
      </c>
      <c r="BA144" s="34">
        <f>AD144+AK144+AR144</f>
        <v/>
      </c>
      <c r="BB144" s="34">
        <f>MAX(F144:G144,750)*0.05*BA144</f>
        <v/>
      </c>
      <c r="BC144" s="34">
        <f>AG144+AN144+AU144</f>
        <v/>
      </c>
      <c r="BD144" s="34">
        <f>MAX(F144:G144,750)*0.05*BC144</f>
        <v/>
      </c>
      <c r="BE144" s="34">
        <f>F144*AY144</f>
        <v/>
      </c>
      <c r="BF144" s="34">
        <f>K144-M144</f>
        <v/>
      </c>
      <c r="BG144" s="34">
        <f>P144-S144</f>
        <v/>
      </c>
      <c r="BH144" s="34">
        <f>W144-AA144</f>
        <v/>
      </c>
      <c r="BI144" s="34">
        <f>BF144+BG144+BL144-BN144</f>
        <v/>
      </c>
      <c r="BJ144" s="34">
        <f>ABS(BK144)</f>
        <v/>
      </c>
      <c r="BK144" s="34">
        <f>AY144-(J144-L144+N144-Q144)</f>
        <v/>
      </c>
      <c r="BL144" s="34">
        <f>IF(AND(BK144&gt;0,MIN($F144:$G144)&lt;150,$E144="Enerji Açığı"),-100*BK144*1.03,IF(AND(BK144&gt;0,MIN($F144:$G144)&lt;150,$E144="Enerji Fazlası"),-100*BK144*1.06,IF(AND(BK144&gt;0,MIN($F144:$G144)&gt;=150,$E144="Enerji Açığı"),BK144*MIN($F144:$G144)*0.97,IF(AND(BK144&gt;0,MIN($F144:$G144)&gt;=150,$E144="Enerji Fazlası"),BK144*MIN($F144:$G144)*0.94,IF(AND(BK144&lt;0,MAX($F144:$G144)=4500,$E144="Enerji Açığı"),4500*1.05*1.06*BK144,IF(AND(BK144&lt;0,MAX($F144:$G144)=4500,$E144="Enerji Fazlası"),4500*1.05*1.03*BK144,IF(AND(BK144&lt;0,$E144="Enerji Açığı"),MAX($F144,$G144,150)*BK144*1.06,IF(AND(BK144&lt;0,$E144="Enerji Fazlası"),MAX($F144,$G144,150)*BK144*1.03,IF(AND(BK144&lt;0,$E144="Dengede"),MAX($F144:$G144,150)*1.03*BK144,MIN($F144:$G144)*0.97*BK144)))))))))</f>
        <v/>
      </c>
      <c r="BM144" s="34">
        <f>BE144-BI144-BN144</f>
        <v/>
      </c>
      <c r="BN144" s="34">
        <f>BB144</f>
        <v/>
      </c>
      <c r="BO144" s="34">
        <f>BE144-BI144</f>
        <v/>
      </c>
      <c r="BP144" s="34">
        <f>IF(AY144=0,0,BO144/AY144)</f>
        <v/>
      </c>
      <c r="BQ144" s="34">
        <f>MAX((AY144+MAX((-J144+L144-N144+Q144),0)),(MAX((J144-L144+N144-Q144),0)))</f>
        <v/>
      </c>
      <c r="BR144" s="82">
        <f>IFERROR(ABS(BK144/BQ144),0)</f>
        <v/>
      </c>
      <c r="BS144" s="34">
        <f>IF(BR144&lt;=0.1,0,BK144/BR144*(BR144-0.1))</f>
        <v/>
      </c>
      <c r="BT144" s="34">
        <f>IF((BS144)&lt;0,MAX(F144:G144)*(BS144)*1.03,MIN(F144:G144)*(BS144)*0.97)</f>
        <v/>
      </c>
      <c r="BU144" s="34">
        <f>IF(BR144&gt;0.1,1,0)</f>
        <v/>
      </c>
      <c r="BV144" s="34">
        <f>BF144+BG144+BH144+BY144-CA144</f>
        <v/>
      </c>
      <c r="BW144" s="34">
        <f>ABS(BX144)</f>
        <v/>
      </c>
      <c r="BX144" s="34">
        <f>AY144-(J144-L144+N144-Q144+T144-X144)</f>
        <v/>
      </c>
      <c r="BY144" s="34">
        <f>IF(AND(BX144&gt;0,MIN($F144:$G144)&lt;150,$E144="Enerji Açığı"),-100*BX144*1.03,IF(AND(BX144&gt;0,MIN($F144:$G144)&lt;150,$E144="Enerji Fazlası"),-100*BX144*1.06,IF(AND(BX144&gt;0,MIN($F144:$G144)&gt;=150,$E144="Enerji Açığı"),BX144*MIN($F144:$G144)*0.97,IF(AND(BX144&gt;0,MIN($F144:$G144)&gt;=150,$E144="Enerji Fazlası"),BX144*MIN($F144:$G144)*0.94,IF(AND(BX144&lt;0,MAX($F144:$G144)=4500,$E144="Enerji Açığı"),4500*1.05*1.06*BX144,IF(AND(BX144&lt;0,MAX($F144:$G144)=4500,$E144="Enerji Fazlası"),4500*1.05*1.03*BX144,IF(AND(BX144&lt;0,$E144="Enerji Açığı"),MAX($F144,$G144,150)*BX144*1.06,IF(AND(BX144&lt;0,$E144="Enerji Fazlası"),MAX($F144,$G144,150)*BX144*1.03,IF(AND(BX144&lt;0,$E144="Dengede"),MAX($F144:$G144,150)*1.03*BX144,MIN($F144:$G144)*0.97*BX144)))))))))</f>
        <v/>
      </c>
      <c r="BZ144" s="34">
        <f>BE144-BV144-CA144</f>
        <v/>
      </c>
      <c r="CA144" s="34">
        <f>BD144</f>
        <v/>
      </c>
      <c r="CB144" s="33">
        <f>BE144-BV144</f>
        <v/>
      </c>
      <c r="CC144" s="34">
        <f>IF(AY144=0,0,CB144/AY144)</f>
        <v/>
      </c>
      <c r="CD144" s="34">
        <f>MAX((AY144+MAX((-J144+L144-N144+Q144-T144+X144),0)),(MAX((J144-L144+N144-Q144+T144-X144),0)))</f>
        <v/>
      </c>
      <c r="CE144" s="82">
        <f>IFERROR(ABS(BX144/CD144),0)</f>
        <v/>
      </c>
      <c r="CF144" s="34">
        <f>IF(CE144&lt;=0.1,0,BX144/CE144*(CE144-0.1))</f>
        <v/>
      </c>
      <c r="CG144" s="34">
        <f>IF((CF144)&lt;0,MAX(F144:G144)*(CF144)*1.03,MIN(F144:G144)*(CF144)*0.97)</f>
        <v/>
      </c>
      <c r="CH144" s="34">
        <f>IF(CE144&gt;0.1,1,0)</f>
        <v/>
      </c>
      <c r="CI144" s="34">
        <f>(F144*BX144)-BY144</f>
        <v/>
      </c>
      <c r="CJ144" s="34">
        <f>IF(AY144=0,0,CI144/AY144)</f>
        <v/>
      </c>
    </row>
    <row r="145">
      <c r="A145" s="29" t="n">
        <v>46209.91666666666</v>
      </c>
      <c r="B145" s="29" t="inlineStr">
        <is>
          <t>22:00</t>
        </is>
      </c>
      <c r="C145" s="35">
        <f>INT(A145)</f>
        <v/>
      </c>
      <c r="D145" s="36">
        <f>MONTH(A145)</f>
        <v/>
      </c>
      <c r="E145" s="147" t="inlineStr">
        <is>
          <t>Enerji Fazlası</t>
        </is>
      </c>
      <c r="F145" s="30" t="n">
        <v>3499</v>
      </c>
      <c r="G145" s="30" t="n">
        <v>2501</v>
      </c>
      <c r="H145" s="30" t="n">
        <v>75.03</v>
      </c>
      <c r="I145" s="30" t="n">
        <v>3763.01</v>
      </c>
      <c r="J145" s="119" t="n">
        <v>0</v>
      </c>
      <c r="K145" s="34">
        <f>F145*J145</f>
        <v/>
      </c>
      <c r="L145" s="119" t="n">
        <v>0</v>
      </c>
      <c r="M145" s="34">
        <f>L145*F145</f>
        <v/>
      </c>
      <c r="N145" s="119" t="n">
        <v>20</v>
      </c>
      <c r="O145" s="34">
        <f>F145</f>
        <v/>
      </c>
      <c r="P145" s="34">
        <f>N145*O145</f>
        <v/>
      </c>
      <c r="Q145" s="117" t="n">
        <v>0</v>
      </c>
      <c r="R145" s="34">
        <f>F145</f>
        <v/>
      </c>
      <c r="S145" s="34">
        <f>R145*Q145</f>
        <v/>
      </c>
      <c r="T145" s="34" t="n"/>
      <c r="U145" s="34">
        <f>IFERROR(W145/T145,0)</f>
        <v/>
      </c>
      <c r="V145" s="34">
        <f>IF(U145=0,0,U145-F145)</f>
        <v/>
      </c>
      <c r="W145" s="34" t="n"/>
      <c r="X145" s="34" t="n"/>
      <c r="Y145" s="34">
        <f>IFERROR(AA145/X145,0)</f>
        <v/>
      </c>
      <c r="Z145" s="34">
        <f>IF(Y145=0,0,F145-Y145)</f>
        <v/>
      </c>
      <c r="AA145" s="34" t="n"/>
      <c r="AB145" s="34" t="n">
        <v>0</v>
      </c>
      <c r="AC145" s="34" t="n">
        <v>0</v>
      </c>
      <c r="AD145" s="34">
        <f>IF(AB145&gt;AC145*1.05,AB145-AC145*1.05,IF(AB145&lt;AC145*0.95,AC145*0.95-AB145,0))</f>
        <v/>
      </c>
      <c r="AE145" s="34">
        <f>MAX(F145,G145,750)*0.05*AD145</f>
        <v/>
      </c>
      <c r="AF145" s="34" t="n">
        <v>0</v>
      </c>
      <c r="AG145" s="34">
        <f>IF(AB145&gt;AF145*1.05,AB145-AF145*1.05,IF(AB145&lt;AF145*0.95,AF145*0.95-AB145,0))</f>
        <v/>
      </c>
      <c r="AH145" s="34">
        <f>MAX(I145,J145,750)*0.05*AG145</f>
        <v/>
      </c>
      <c r="AI145" t="n">
        <v>8.19</v>
      </c>
      <c r="AJ145" t="n">
        <v>9</v>
      </c>
      <c r="AK145" s="34">
        <f>IF(AI145&gt;AJ145*1.05,AI145-AJ145*1.05,IF(AI145&lt;AJ145*0.95,AJ145*0.95-AI145,0))</f>
        <v/>
      </c>
      <c r="AL145" s="34">
        <f>MAX(F145,G145,750)*0.05*AK145</f>
        <v/>
      </c>
      <c r="AM145" s="39" t="n">
        <v>8</v>
      </c>
      <c r="AN145" s="34">
        <f>IF(AI145&gt;AM145*1.05,AI145-AM145*1.05,IF(AI145&lt;AM145*0.95,AM145*0.95-AI145,0))</f>
        <v/>
      </c>
      <c r="AO145" s="34">
        <f>MAX(F145,G145,750)*0.05*AN145</f>
        <v/>
      </c>
      <c r="AP145" s="34" t="n">
        <v>11.18</v>
      </c>
      <c r="AQ145" s="34" t="n">
        <v>11</v>
      </c>
      <c r="AR145" s="34">
        <f>IF(AP145&gt;AQ145*1.05,AP145-AQ145*1.05,IF(AP145&lt;AQ145*0.95,AQ145*0.95-AP145,0))</f>
        <v/>
      </c>
      <c r="AS145" s="34">
        <f>MAX(F145:G145,750)*0.05*AR145</f>
        <v/>
      </c>
      <c r="AT145" t="n">
        <v>11</v>
      </c>
      <c r="AU145" s="34">
        <f>IF(AP145&gt;AT145*1.05,AP145-AT145*1.05,IF(AP145&lt;AT145*0.95,AT145*0.95-AP145,0))</f>
        <v/>
      </c>
      <c r="AV145" s="34">
        <f>MAX(F145:G145,750)*0.05*AU145</f>
        <v/>
      </c>
      <c r="AW145" s="34">
        <f>AC145+AJ145+AQ145</f>
        <v/>
      </c>
      <c r="AX145" s="34">
        <f>AF145+AM145+AT145</f>
        <v/>
      </c>
      <c r="AY145" s="34">
        <f>AB145+AI145+AP145</f>
        <v/>
      </c>
      <c r="AZ145" s="34" t="n">
        <v>0</v>
      </c>
      <c r="BA145" s="34">
        <f>AD145+AK145+AR145</f>
        <v/>
      </c>
      <c r="BB145" s="34">
        <f>MAX(F145:G145,750)*0.05*BA145</f>
        <v/>
      </c>
      <c r="BC145" s="34">
        <f>AG145+AN145+AU145</f>
        <v/>
      </c>
      <c r="BD145" s="34">
        <f>MAX(F145:G145,750)*0.05*BC145</f>
        <v/>
      </c>
      <c r="BE145" s="34">
        <f>F145*AY145</f>
        <v/>
      </c>
      <c r="BF145" s="34">
        <f>K145-M145</f>
        <v/>
      </c>
      <c r="BG145" s="34">
        <f>P145-S145</f>
        <v/>
      </c>
      <c r="BH145" s="34">
        <f>W145-AA145</f>
        <v/>
      </c>
      <c r="BI145" s="34">
        <f>BF145+BG145+BL145-BN145</f>
        <v/>
      </c>
      <c r="BJ145" s="34">
        <f>ABS(BK145)</f>
        <v/>
      </c>
      <c r="BK145" s="34">
        <f>AY145-(J145-L145+N145-Q145)</f>
        <v/>
      </c>
      <c r="BL145" s="34">
        <f>IF(AND(BK145&gt;0,MIN($F145:$G145)&lt;150,$E145="Enerji Açığı"),-100*BK145*1.03,IF(AND(BK145&gt;0,MIN($F145:$G145)&lt;150,$E145="Enerji Fazlası"),-100*BK145*1.06,IF(AND(BK145&gt;0,MIN($F145:$G145)&gt;=150,$E145="Enerji Açığı"),BK145*MIN($F145:$G145)*0.97,IF(AND(BK145&gt;0,MIN($F145:$G145)&gt;=150,$E145="Enerji Fazlası"),BK145*MIN($F145:$G145)*0.94,IF(AND(BK145&lt;0,MAX($F145:$G145)=4500,$E145="Enerji Açığı"),4500*1.05*1.06*BK145,IF(AND(BK145&lt;0,MAX($F145:$G145)=4500,$E145="Enerji Fazlası"),4500*1.05*1.03*BK145,IF(AND(BK145&lt;0,$E145="Enerji Açığı"),MAX($F145,$G145,150)*BK145*1.06,IF(AND(BK145&lt;0,$E145="Enerji Fazlası"),MAX($F145,$G145,150)*BK145*1.03,IF(AND(BK145&lt;0,$E145="Dengede"),MAX($F145:$G145,150)*1.03*BK145,MIN($F145:$G145)*0.97*BK145)))))))))</f>
        <v/>
      </c>
      <c r="BM145" s="34">
        <f>BE145-BI145-BN145</f>
        <v/>
      </c>
      <c r="BN145" s="34">
        <f>BB145</f>
        <v/>
      </c>
      <c r="BO145" s="34">
        <f>BE145-BI145</f>
        <v/>
      </c>
      <c r="BP145" s="34">
        <f>IF(AY145=0,0,BO145/AY145)</f>
        <v/>
      </c>
      <c r="BQ145" s="34">
        <f>MAX((AY145+MAX((-J145+L145-N145+Q145),0)),(MAX((J145-L145+N145-Q145),0)))</f>
        <v/>
      </c>
      <c r="BR145" s="82">
        <f>IFERROR(ABS(BK145/BQ145),0)</f>
        <v/>
      </c>
      <c r="BS145" s="34">
        <f>IF(BR145&lt;=0.1,0,BK145/BR145*(BR145-0.1))</f>
        <v/>
      </c>
      <c r="BT145" s="34">
        <f>IF((BS145)&lt;0,MAX(F145:G145)*(BS145)*1.03,MIN(F145:G145)*(BS145)*0.97)</f>
        <v/>
      </c>
      <c r="BU145" s="34">
        <f>IF(BR145&gt;0.1,1,0)</f>
        <v/>
      </c>
      <c r="BV145" s="34">
        <f>BF145+BG145+BH145+BY145-CA145</f>
        <v/>
      </c>
      <c r="BW145" s="34">
        <f>ABS(BX145)</f>
        <v/>
      </c>
      <c r="BX145" s="34">
        <f>AY145-(J145-L145+N145-Q145+T145-X145)</f>
        <v/>
      </c>
      <c r="BY145" s="34">
        <f>IF(AND(BX145&gt;0,MIN($F145:$G145)&lt;150,$E145="Enerji Açığı"),-100*BX145*1.03,IF(AND(BX145&gt;0,MIN($F145:$G145)&lt;150,$E145="Enerji Fazlası"),-100*BX145*1.06,IF(AND(BX145&gt;0,MIN($F145:$G145)&gt;=150,$E145="Enerji Açığı"),BX145*MIN($F145:$G145)*0.97,IF(AND(BX145&gt;0,MIN($F145:$G145)&gt;=150,$E145="Enerji Fazlası"),BX145*MIN($F145:$G145)*0.94,IF(AND(BX145&lt;0,MAX($F145:$G145)=4500,$E145="Enerji Açığı"),4500*1.05*1.06*BX145,IF(AND(BX145&lt;0,MAX($F145:$G145)=4500,$E145="Enerji Fazlası"),4500*1.05*1.03*BX145,IF(AND(BX145&lt;0,$E145="Enerji Açığı"),MAX($F145,$G145,150)*BX145*1.06,IF(AND(BX145&lt;0,$E145="Enerji Fazlası"),MAX($F145,$G145,150)*BX145*1.03,IF(AND(BX145&lt;0,$E145="Dengede"),MAX($F145:$G145,150)*1.03*BX145,MIN($F145:$G145)*0.97*BX145)))))))))</f>
        <v/>
      </c>
      <c r="BZ145" s="34">
        <f>BE145-BV145-CA145</f>
        <v/>
      </c>
      <c r="CA145" s="34">
        <f>BD145</f>
        <v/>
      </c>
      <c r="CB145" s="33">
        <f>BE145-BV145</f>
        <v/>
      </c>
      <c r="CC145" s="34">
        <f>IF(AY145=0,0,CB145/AY145)</f>
        <v/>
      </c>
      <c r="CD145" s="34">
        <f>MAX((AY145+MAX((-J145+L145-N145+Q145-T145+X145),0)),(MAX((J145-L145+N145-Q145+T145-X145),0)))</f>
        <v/>
      </c>
      <c r="CE145" s="82">
        <f>IFERROR(ABS(BX145/CD145),0)</f>
        <v/>
      </c>
      <c r="CF145" s="34">
        <f>IF(CE145&lt;=0.1,0,BX145/CE145*(CE145-0.1))</f>
        <v/>
      </c>
      <c r="CG145" s="34">
        <f>IF((CF145)&lt;0,MAX(F145:G145)*(CF145)*1.03,MIN(F145:G145)*(CF145)*0.97)</f>
        <v/>
      </c>
      <c r="CH145" s="34">
        <f>IF(CE145&gt;0.1,1,0)</f>
        <v/>
      </c>
      <c r="CI145" s="34">
        <f>(F145*BX145)-BY145</f>
        <v/>
      </c>
      <c r="CJ145" s="34">
        <f>IF(AY145=0,0,CI145/AY145)</f>
        <v/>
      </c>
      <c r="CK145" t="inlineStr">
        <is>
          <t>l</t>
        </is>
      </c>
    </row>
    <row r="146">
      <c r="A146" s="29" t="n">
        <v>46209.95833333334</v>
      </c>
      <c r="B146" s="29" t="inlineStr">
        <is>
          <t>23:00</t>
        </is>
      </c>
      <c r="C146" s="35">
        <f>INT(A146)</f>
        <v/>
      </c>
      <c r="D146" s="36">
        <f>MONTH(A146)</f>
        <v/>
      </c>
      <c r="E146" s="147" t="inlineStr">
        <is>
          <t>Enerji Fazlası</t>
        </is>
      </c>
      <c r="F146" s="30" t="n">
        <v>2537.99</v>
      </c>
      <c r="G146" s="30" t="n">
        <v>500</v>
      </c>
      <c r="H146" s="30" t="n">
        <v>54.42</v>
      </c>
      <c r="I146" s="30" t="n">
        <v>2647.51</v>
      </c>
      <c r="J146" s="119" t="n">
        <v>0</v>
      </c>
      <c r="K146" s="34">
        <f>F146*J146</f>
        <v/>
      </c>
      <c r="L146" s="119" t="n">
        <v>0</v>
      </c>
      <c r="M146" s="34">
        <f>L146*F146</f>
        <v/>
      </c>
      <c r="N146" s="119" t="n">
        <v>20</v>
      </c>
      <c r="O146" s="34">
        <f>F146</f>
        <v/>
      </c>
      <c r="P146" s="34">
        <f>N146*O146</f>
        <v/>
      </c>
      <c r="Q146" s="117" t="n">
        <v>0</v>
      </c>
      <c r="R146" s="34">
        <f>F146</f>
        <v/>
      </c>
      <c r="S146" s="34">
        <f>R146*Q146</f>
        <v/>
      </c>
      <c r="T146" s="34" t="n"/>
      <c r="U146" s="34">
        <f>IFERROR(W146/T146,0)</f>
        <v/>
      </c>
      <c r="V146" s="34">
        <f>IF(U146=0,0,U146-F146)</f>
        <v/>
      </c>
      <c r="W146" s="34" t="n">
        <v>13887.3</v>
      </c>
      <c r="X146" s="34" t="n"/>
      <c r="Y146" s="34">
        <f>IFERROR(AA146/X146,0)</f>
        <v/>
      </c>
      <c r="Z146" s="34">
        <f>IF(Y146=0,0,F146-Y146)</f>
        <v/>
      </c>
      <c r="AA146" s="34" t="n"/>
      <c r="AB146" s="34" t="n">
        <v>0</v>
      </c>
      <c r="AC146" s="34" t="n">
        <v>0</v>
      </c>
      <c r="AD146" s="34">
        <f>IF(AB146&gt;AC146*1.05,AB146-AC146*1.05,IF(AB146&lt;AC146*0.95,AC146*0.95-AB146,0))</f>
        <v/>
      </c>
      <c r="AE146" s="34">
        <f>MAX(F146,G146,750)*0.05*AD146</f>
        <v/>
      </c>
      <c r="AF146" s="34" t="n">
        <v>0</v>
      </c>
      <c r="AG146" s="34">
        <f>IF(AB146&gt;AF146*1.05,AB146-AF146*1.05,IF(AB146&lt;AF146*0.95,AF146*0.95-AB146,0))</f>
        <v/>
      </c>
      <c r="AH146" s="34">
        <f>MAX(I146,J146,750)*0.05*AG146</f>
        <v/>
      </c>
      <c r="AI146" t="n">
        <v>8.75</v>
      </c>
      <c r="AJ146" t="n">
        <v>9</v>
      </c>
      <c r="AK146" s="34">
        <f>IF(AI146&gt;AJ146*1.05,AI146-AJ146*1.05,IF(AI146&lt;AJ146*0.95,AJ146*0.95-AI146,0))</f>
        <v/>
      </c>
      <c r="AL146" s="34">
        <f>MAX(F146,G146,750)*0.05*AK146</f>
        <v/>
      </c>
      <c r="AM146" s="39" t="n">
        <v>9</v>
      </c>
      <c r="AN146" s="34">
        <f>IF(AI146&gt;AM146*1.05,AI146-AM146*1.05,IF(AI146&lt;AM146*0.95,AM146*0.95-AI146,0))</f>
        <v/>
      </c>
      <c r="AO146" s="34">
        <f>MAX(F146,G146,750)*0.05*AN146</f>
        <v/>
      </c>
      <c r="AP146" s="34" t="n">
        <v>11.22</v>
      </c>
      <c r="AQ146" s="34" t="n">
        <v>11</v>
      </c>
      <c r="AR146" s="34">
        <f>IF(AP146&gt;AQ146*1.05,AP146-AQ146*1.05,IF(AP146&lt;AQ146*0.95,AQ146*0.95-AP146,0))</f>
        <v/>
      </c>
      <c r="AS146" s="34">
        <f>MAX(F146:G146,750)*0.05*AR146</f>
        <v/>
      </c>
      <c r="AT146" t="n">
        <v>11</v>
      </c>
      <c r="AU146" s="34">
        <f>IF(AP146&gt;AT146*1.05,AP146-AT146*1.05,IF(AP146&lt;AT146*0.95,AT146*0.95-AP146,0))</f>
        <v/>
      </c>
      <c r="AV146" s="34">
        <f>MAX(F146:G146,750)*0.05*AU146</f>
        <v/>
      </c>
      <c r="AW146" s="34">
        <f>AC146+AJ146+AQ146</f>
        <v/>
      </c>
      <c r="AX146" s="34">
        <f>AF146+AM146+AT146</f>
        <v/>
      </c>
      <c r="AY146" s="34">
        <f>AB146+AI146+AP146</f>
        <v/>
      </c>
      <c r="AZ146" s="34" t="n">
        <v>0</v>
      </c>
      <c r="BA146" s="34">
        <f>AD146+AK146+AR146</f>
        <v/>
      </c>
      <c r="BB146" s="34">
        <f>MAX(F146:G146,750)*0.05*BA146</f>
        <v/>
      </c>
      <c r="BC146" s="34">
        <f>AG146+AN146+AU146</f>
        <v/>
      </c>
      <c r="BD146" s="34">
        <f>MAX(F146:G146,750)*0.05*BC146</f>
        <v/>
      </c>
      <c r="BE146" s="34">
        <f>F146*AY146</f>
        <v/>
      </c>
      <c r="BF146" s="34">
        <f>K146-M146</f>
        <v/>
      </c>
      <c r="BG146" s="34">
        <f>P146-S146</f>
        <v/>
      </c>
      <c r="BH146" s="34">
        <f>W146-AA146</f>
        <v/>
      </c>
      <c r="BI146" s="34">
        <f>BF146+BG146+BL146-BN146</f>
        <v/>
      </c>
      <c r="BJ146" s="34">
        <f>ABS(BK146)</f>
        <v/>
      </c>
      <c r="BK146" s="34">
        <f>AY146-(J146-L146+N146-Q146)</f>
        <v/>
      </c>
      <c r="BL146" s="34">
        <f>IF(AND(BK146&gt;0,MIN($F146:$G146)&lt;150,$E146="Enerji Açığı"),-100*BK146*1.03,IF(AND(BK146&gt;0,MIN($F146:$G146)&lt;150,$E146="Enerji Fazlası"),-100*BK146*1.06,IF(AND(BK146&gt;0,MIN($F146:$G146)&gt;=150,$E146="Enerji Açığı"),BK146*MIN($F146:$G146)*0.97,IF(AND(BK146&gt;0,MIN($F146:$G146)&gt;=150,$E146="Enerji Fazlası"),BK146*MIN($F146:$G146)*0.94,IF(AND(BK146&lt;0,MAX($F146:$G146)=4500,$E146="Enerji Açığı"),4500*1.05*1.06*BK146,IF(AND(BK146&lt;0,MAX($F146:$G146)=4500,$E146="Enerji Fazlası"),4500*1.05*1.03*BK146,IF(AND(BK146&lt;0,$E146="Enerji Açığı"),MAX($F146,$G146,150)*BK146*1.06,IF(AND(BK146&lt;0,$E146="Enerji Fazlası"),MAX($F146,$G146,150)*BK146*1.03,IF(AND(BK146&lt;0,$E146="Dengede"),MAX($F146:$G146,150)*1.03*BK146,MIN($F146:$G146)*0.97*BK146)))))))))</f>
        <v/>
      </c>
      <c r="BM146" s="34">
        <f>BE146-BI146-BN146</f>
        <v/>
      </c>
      <c r="BN146" s="34">
        <f>BB146</f>
        <v/>
      </c>
      <c r="BO146" s="34">
        <f>BE146-BI146</f>
        <v/>
      </c>
      <c r="BP146" s="34">
        <f>IF(AY146=0,0,BO146/AY146)</f>
        <v/>
      </c>
      <c r="BQ146" s="34">
        <f>MAX((AY146+MAX((-J146+L146-N146+Q146),0)),(MAX((J146-L146+N146-Q146),0)))</f>
        <v/>
      </c>
      <c r="BR146" s="82">
        <f>IFERROR(ABS(BK146/BQ146),0)</f>
        <v/>
      </c>
      <c r="BS146" s="34">
        <f>IF(BR146&lt;=0.1,0,BK146/BR146*(BR146-0.1))</f>
        <v/>
      </c>
      <c r="BT146" s="34">
        <f>IF((BS146)&lt;0,MAX(F146:G146)*(BS146)*1.03,MIN(F146:G146)*(BS146)*0.97)</f>
        <v/>
      </c>
      <c r="BU146" s="34">
        <f>IF(BR146&gt;0.1,1,0)</f>
        <v/>
      </c>
      <c r="BV146" s="34">
        <f>BF146+BG146+BH146+BY146-CA146</f>
        <v/>
      </c>
      <c r="BW146" s="34">
        <f>ABS(BX146)</f>
        <v/>
      </c>
      <c r="BX146" s="34">
        <f>AY146-(J146-L146+N146-Q146+T146-X146)</f>
        <v/>
      </c>
      <c r="BY146" s="34">
        <f>IF(AND(BX146&gt;0,MIN($F146:$G146)&lt;150,$E146="Enerji Açığı"),-100*BX146*1.03,IF(AND(BX146&gt;0,MIN($F146:$G146)&lt;150,$E146="Enerji Fazlası"),-100*BX146*1.06,IF(AND(BX146&gt;0,MIN($F146:$G146)&gt;=150,$E146="Enerji Açığı"),BX146*MIN($F146:$G146)*0.97,IF(AND(BX146&gt;0,MIN($F146:$G146)&gt;=150,$E146="Enerji Fazlası"),BX146*MIN($F146:$G146)*0.94,IF(AND(BX146&lt;0,MAX($F146:$G146)=4500,$E146="Enerji Açığı"),4500*1.05*1.06*BX146,IF(AND(BX146&lt;0,MAX($F146:$G146)=4500,$E146="Enerji Fazlası"),4500*1.05*1.03*BX146,IF(AND(BX146&lt;0,$E146="Enerji Açığı"),MAX($F146,$G146,150)*BX146*1.06,IF(AND(BX146&lt;0,$E146="Enerji Fazlası"),MAX($F146,$G146,150)*BX146*1.03,IF(AND(BX146&lt;0,$E146="Dengede"),MAX($F146:$G146,150)*1.03*BX146,MIN($F146:$G146)*0.97*BX146)))))))))</f>
        <v/>
      </c>
      <c r="BZ146" s="34">
        <f>BE146-BV146-CA146</f>
        <v/>
      </c>
      <c r="CA146" s="34">
        <f>BD146</f>
        <v/>
      </c>
      <c r="CB146" s="33">
        <f>BE146-BV146</f>
        <v/>
      </c>
      <c r="CC146" s="34">
        <f>IF(AY146=0,0,CB146/AY146)</f>
        <v/>
      </c>
      <c r="CD146" s="34">
        <f>MAX((AY146+MAX((-J146+L146-N146+Q146-T146+X146),0)),(MAX((J146-L146+N146-Q146+T146-X146),0)))</f>
        <v/>
      </c>
      <c r="CE146" s="82">
        <f>IFERROR(ABS(BX146/CD146),0)</f>
        <v/>
      </c>
      <c r="CF146" s="34">
        <f>IF(CE146&lt;=0.1,0,BX146/CE146*(CE146-0.1))</f>
        <v/>
      </c>
      <c r="CG146" s="34">
        <f>IF((CF146)&lt;0,MAX(F146:G146)*(CF146)*1.03,MIN(F146:G146)*(CF146)*0.97)</f>
        <v/>
      </c>
      <c r="CH146" s="34">
        <f>IF(CE146&gt;0.1,1,0)</f>
        <v/>
      </c>
      <c r="CI146" s="34">
        <f>(F146*BX146)-BY146</f>
        <v/>
      </c>
      <c r="CJ146" s="34">
        <f>IF(AY146=0,0,CI146/AY146)</f>
        <v/>
      </c>
    </row>
    <row r="147">
      <c r="A147" s="29" t="n">
        <v>46210</v>
      </c>
      <c r="B147" s="29" t="inlineStr">
        <is>
          <t>00:00</t>
        </is>
      </c>
      <c r="C147" s="35">
        <f>INT(A147)</f>
        <v/>
      </c>
      <c r="D147" s="36">
        <f>MONTH(A147)</f>
        <v/>
      </c>
      <c r="E147" s="147" t="inlineStr">
        <is>
          <t>Enerji Fazlası</t>
        </is>
      </c>
      <c r="F147" s="30" t="n">
        <v>3400.01</v>
      </c>
      <c r="G147" s="30" t="n">
        <v>500</v>
      </c>
      <c r="H147" s="30" t="n">
        <v>72.91</v>
      </c>
      <c r="I147" s="30" t="n">
        <v>3238.47</v>
      </c>
      <c r="J147" s="119" t="n">
        <v>0</v>
      </c>
      <c r="K147" s="34">
        <f>F147*J147</f>
        <v/>
      </c>
      <c r="L147" s="119" t="n">
        <v>0</v>
      </c>
      <c r="M147" s="34">
        <f>L147*F147</f>
        <v/>
      </c>
      <c r="N147" s="119" t="n">
        <v>19</v>
      </c>
      <c r="O147" s="34">
        <f>F147</f>
        <v/>
      </c>
      <c r="P147" s="34">
        <f>N147*O147</f>
        <v/>
      </c>
      <c r="Q147" s="117" t="n">
        <v>0</v>
      </c>
      <c r="R147" s="34">
        <f>F147</f>
        <v/>
      </c>
      <c r="S147" s="34">
        <f>R147*Q147</f>
        <v/>
      </c>
      <c r="T147" s="34" t="n"/>
      <c r="U147" s="34">
        <f>IFERROR(W147/T147,0)</f>
        <v/>
      </c>
      <c r="V147" s="34">
        <f>IF(U147=0,0,U147-F147)</f>
        <v/>
      </c>
      <c r="W147" s="34" t="n"/>
      <c r="X147" s="34" t="n"/>
      <c r="Y147" s="34">
        <f>IFERROR(AA147/X147,0)</f>
        <v/>
      </c>
      <c r="Z147" s="34">
        <f>IF(Y147=0,0,F147-Y147)</f>
        <v/>
      </c>
      <c r="AA147" s="34" t="n"/>
      <c r="AB147" s="34" t="n">
        <v>0</v>
      </c>
      <c r="AC147" s="34" t="n">
        <v>0</v>
      </c>
      <c r="AD147" s="34">
        <f>IF(AB147&gt;AC147*1.05,AB147-AC147*1.05,IF(AB147&lt;AC147*0.95,AC147*0.95-AB147,0))</f>
        <v/>
      </c>
      <c r="AE147" s="34">
        <f>MAX(F147,G147,750)*0.05*AD147</f>
        <v/>
      </c>
      <c r="AF147" s="34" t="n">
        <v>0</v>
      </c>
      <c r="AG147" s="34">
        <f>IF(AB147&gt;AF147*1.05,AB147-AF147*1.05,IF(AB147&lt;AF147*0.95,AF147*0.95-AB147,0))</f>
        <v/>
      </c>
      <c r="AH147" s="34">
        <f>MAX(I147,J147,750)*0.05*AG147</f>
        <v/>
      </c>
      <c r="AI147" t="n">
        <v>9.119999999999999</v>
      </c>
      <c r="AJ147" t="n">
        <v>8</v>
      </c>
      <c r="AK147" s="34">
        <f>IF(AI147&gt;AJ147*1.05,AI147-AJ147*1.05,IF(AI147&lt;AJ147*0.95,AJ147*0.95-AI147,0))</f>
        <v/>
      </c>
      <c r="AL147" s="34">
        <f>MAX(F147,G147,750)*0.05*AK147</f>
        <v/>
      </c>
      <c r="AM147" s="39" t="n">
        <v>9</v>
      </c>
      <c r="AN147" s="34">
        <f>IF(AI147&gt;AM147*1.05,AI147-AM147*1.05,IF(AI147&lt;AM147*0.95,AM147*0.95-AI147,0))</f>
        <v/>
      </c>
      <c r="AO147" s="34">
        <f>MAX(F147,G147,750)*0.05*AN147</f>
        <v/>
      </c>
      <c r="AP147" s="34" t="n">
        <v>11.26</v>
      </c>
      <c r="AQ147" s="34" t="n">
        <v>11</v>
      </c>
      <c r="AR147" s="34">
        <f>IF(AP147&gt;AQ147*1.05,AP147-AQ147*1.05,IF(AP147&lt;AQ147*0.95,AQ147*0.95-AP147,0))</f>
        <v/>
      </c>
      <c r="AS147" s="34">
        <f>MAX(F147:G147,750)*0.05*AR147</f>
        <v/>
      </c>
      <c r="AT147" t="n">
        <v>11</v>
      </c>
      <c r="AU147" s="34">
        <f>IF(AP147&gt;AT147*1.05,AP147-AT147*1.05,IF(AP147&lt;AT147*0.95,AT147*0.95-AP147,0))</f>
        <v/>
      </c>
      <c r="AV147" s="34">
        <f>MAX(F147:G147,750)*0.05*AU147</f>
        <v/>
      </c>
      <c r="AW147" s="34">
        <f>AC147+AJ147+AQ147</f>
        <v/>
      </c>
      <c r="AX147" s="34">
        <f>AF147+AM147+AT147</f>
        <v/>
      </c>
      <c r="AY147" s="34">
        <f>AB147+AI147+AP147</f>
        <v/>
      </c>
      <c r="AZ147" s="34" t="n">
        <v>0</v>
      </c>
      <c r="BA147" s="34">
        <f>AD147+AK147+AR147</f>
        <v/>
      </c>
      <c r="BB147" s="34">
        <f>MAX(F147:G147,750)*0.05*BA147</f>
        <v/>
      </c>
      <c r="BC147" s="34">
        <f>AG147+AN147+AU147</f>
        <v/>
      </c>
      <c r="BD147" s="34">
        <f>MAX(F147:G147,750)*0.05*BC147</f>
        <v/>
      </c>
      <c r="BE147" s="34">
        <f>F147*AY147</f>
        <v/>
      </c>
      <c r="BF147" s="34">
        <f>K147-M147</f>
        <v/>
      </c>
      <c r="BG147" s="34">
        <f>P147-S147</f>
        <v/>
      </c>
      <c r="BH147" s="34">
        <f>W147-AA147</f>
        <v/>
      </c>
      <c r="BI147" s="34">
        <f>BF147+BG147+BL147-BN147</f>
        <v/>
      </c>
      <c r="BJ147" s="34">
        <f>ABS(BK147)</f>
        <v/>
      </c>
      <c r="BK147" s="34">
        <f>AY147-(J147-L147+N147-Q147)</f>
        <v/>
      </c>
      <c r="BL147" s="34">
        <f>IF(AND(BK147&gt;0,MIN($F147:$G147)&lt;150,$E147="Enerji Açığı"),-100*BK147*1.03,IF(AND(BK147&gt;0,MIN($F147:$G147)&lt;150,$E147="Enerji Fazlası"),-100*BK147*1.06,IF(AND(BK147&gt;0,MIN($F147:$G147)&gt;=150,$E147="Enerji Açığı"),BK147*MIN($F147:$G147)*0.97,IF(AND(BK147&gt;0,MIN($F147:$G147)&gt;=150,$E147="Enerji Fazlası"),BK147*MIN($F147:$G147)*0.94,IF(AND(BK147&lt;0,MAX($F147:$G147)=4500,$E147="Enerji Açığı"),4500*1.05*1.06*BK147,IF(AND(BK147&lt;0,MAX($F147:$G147)=4500,$E147="Enerji Fazlası"),4500*1.05*1.03*BK147,IF(AND(BK147&lt;0,$E147="Enerji Açığı"),MAX($F147,$G147,150)*BK147*1.06,IF(AND(BK147&lt;0,$E147="Enerji Fazlası"),MAX($F147,$G147,150)*BK147*1.03,IF(AND(BK147&lt;0,$E147="Dengede"),MAX($F147:$G147,150)*1.03*BK147,MIN($F147:$G147)*0.97*BK147)))))))))</f>
        <v/>
      </c>
      <c r="BM147" s="34">
        <f>BE147-BI147-BN147</f>
        <v/>
      </c>
      <c r="BN147" s="34">
        <f>BB147</f>
        <v/>
      </c>
      <c r="BO147" s="34">
        <f>BE147-BI147</f>
        <v/>
      </c>
      <c r="BP147" s="34">
        <f>IF(AY147=0,0,BO147/AY147)</f>
        <v/>
      </c>
      <c r="BQ147" s="34">
        <f>MAX((AY147+MAX((-J147+L147-N147+Q147),0)),(MAX((J147-L147+N147-Q147),0)))</f>
        <v/>
      </c>
      <c r="BR147" s="82">
        <f>IFERROR(ABS(BK147/BQ147),0)</f>
        <v/>
      </c>
      <c r="BS147" s="34">
        <f>IF(BR147&lt;=0.1,0,BK147/BR147*(BR147-0.1))</f>
        <v/>
      </c>
      <c r="BT147" s="34">
        <f>IF((BS147)&lt;0,MAX(F147:G147)*(BS147)*1.03,MIN(F147:G147)*(BS147)*0.97)</f>
        <v/>
      </c>
      <c r="BU147" s="34">
        <f>IF(BR147&gt;0.1,1,0)</f>
        <v/>
      </c>
      <c r="BV147" s="34">
        <f>BF147+BG147+BH147+BY147-CA147</f>
        <v/>
      </c>
      <c r="BW147" s="34">
        <f>ABS(BX147)</f>
        <v/>
      </c>
      <c r="BX147" s="34">
        <f>AY147-(J147-L147+N147-Q147+T147-X147)</f>
        <v/>
      </c>
      <c r="BY147" s="34">
        <f>IF(AND(BX147&gt;0,MIN($F147:$G147)&lt;150,$E147="Enerji Açığı"),-100*BX147*1.03,IF(AND(BX147&gt;0,MIN($F147:$G147)&lt;150,$E147="Enerji Fazlası"),-100*BX147*1.06,IF(AND(BX147&gt;0,MIN($F147:$G147)&gt;=150,$E147="Enerji Açığı"),BX147*MIN($F147:$G147)*0.97,IF(AND(BX147&gt;0,MIN($F147:$G147)&gt;=150,$E147="Enerji Fazlası"),BX147*MIN($F147:$G147)*0.94,IF(AND(BX147&lt;0,MAX($F147:$G147)=4500,$E147="Enerji Açığı"),4500*1.05*1.06*BX147,IF(AND(BX147&lt;0,MAX($F147:$G147)=4500,$E147="Enerji Fazlası"),4500*1.05*1.03*BX147,IF(AND(BX147&lt;0,$E147="Enerji Açığı"),MAX($F147,$G147,150)*BX147*1.06,IF(AND(BX147&lt;0,$E147="Enerji Fazlası"),MAX($F147,$G147,150)*BX147*1.03,IF(AND(BX147&lt;0,$E147="Dengede"),MAX($F147:$G147,150)*1.03*BX147,MIN($F147:$G147)*0.97*BX147)))))))))</f>
        <v/>
      </c>
      <c r="BZ147" s="34">
        <f>BE147-BV147-CA147</f>
        <v/>
      </c>
      <c r="CA147" s="34">
        <f>BD147</f>
        <v/>
      </c>
      <c r="CB147" s="33">
        <f>BE147-BV147</f>
        <v/>
      </c>
      <c r="CC147" s="34">
        <f>IF(AY147=0,0,CB147/AY147)</f>
        <v/>
      </c>
      <c r="CD147" s="34">
        <f>MAX((AY147+MAX((-J147+L147-N147+Q147-T147+X147),0)),(MAX((J147-L147+N147-Q147+T147-X147),0)))</f>
        <v/>
      </c>
      <c r="CE147" s="82">
        <f>IFERROR(ABS(BX147/CD147),0)</f>
        <v/>
      </c>
      <c r="CF147" s="34">
        <f>IF(CE147&lt;=0.1,0,BX147/CE147*(CE147-0.1))</f>
        <v/>
      </c>
      <c r="CG147" s="34">
        <f>IF((CF147)&lt;0,MAX(F147:G147)*(CF147)*1.03,MIN(F147:G147)*(CF147)*0.97)</f>
        <v/>
      </c>
      <c r="CH147" s="34">
        <f>IF(CE147&gt;0.1,1,0)</f>
        <v/>
      </c>
      <c r="CI147" s="34">
        <f>(F147*BX147)-BY147</f>
        <v/>
      </c>
      <c r="CJ147" s="34">
        <f>IF(AY147=0,0,CI147/AY147)</f>
        <v/>
      </c>
    </row>
    <row r="148">
      <c r="A148" s="29" t="n">
        <v>46210.04166666666</v>
      </c>
      <c r="B148" s="29" t="inlineStr">
        <is>
          <t>01:00</t>
        </is>
      </c>
      <c r="C148" s="35">
        <f>INT(A148)</f>
        <v/>
      </c>
      <c r="D148" s="36">
        <f>MONTH(A148)</f>
        <v/>
      </c>
      <c r="E148" s="147" t="inlineStr">
        <is>
          <t>Enerji Fazlası</t>
        </is>
      </c>
      <c r="F148" s="30" t="n">
        <v>3499.99</v>
      </c>
      <c r="G148" s="30" t="n">
        <v>500</v>
      </c>
      <c r="H148" s="30" t="n">
        <v>75.05</v>
      </c>
      <c r="I148" s="30" t="n">
        <v>3057.6</v>
      </c>
      <c r="J148" s="119" t="n">
        <v>0</v>
      </c>
      <c r="K148" s="34">
        <f>F148*J148</f>
        <v/>
      </c>
      <c r="L148" s="119" t="n">
        <v>0</v>
      </c>
      <c r="M148" s="34">
        <f>L148*F148</f>
        <v/>
      </c>
      <c r="N148" s="119" t="n">
        <v>19</v>
      </c>
      <c r="O148" s="34">
        <f>F148</f>
        <v/>
      </c>
      <c r="P148" s="34">
        <f>N148*O148</f>
        <v/>
      </c>
      <c r="Q148" s="117" t="n">
        <v>0</v>
      </c>
      <c r="R148" s="34">
        <f>F148</f>
        <v/>
      </c>
      <c r="S148" s="34">
        <f>R148*Q148</f>
        <v/>
      </c>
      <c r="T148" s="34" t="n"/>
      <c r="U148" s="34">
        <f>IFERROR(W148/T148,0)</f>
        <v/>
      </c>
      <c r="V148" s="34">
        <f>IF(U148=0,0,U148-F148)</f>
        <v/>
      </c>
      <c r="W148" s="34" t="n"/>
      <c r="X148" s="34" t="n"/>
      <c r="Y148" s="34">
        <f>IFERROR(AA148/X148,0)</f>
        <v/>
      </c>
      <c r="Z148" s="34">
        <f>IF(Y148=0,0,F148-Y148)</f>
        <v/>
      </c>
      <c r="AA148" s="34" t="n"/>
      <c r="AB148" s="34" t="n">
        <v>0</v>
      </c>
      <c r="AC148" s="34" t="n">
        <v>0</v>
      </c>
      <c r="AD148" s="34">
        <f>IF(AB148&gt;AC148*1.05,AB148-AC148*1.05,IF(AB148&lt;AC148*0.95,AC148*0.95-AB148,0))</f>
        <v/>
      </c>
      <c r="AE148" s="34">
        <f>MAX(F148,G148,750)*0.05*AD148</f>
        <v/>
      </c>
      <c r="AF148" s="34" t="n">
        <v>0</v>
      </c>
      <c r="AG148" s="34">
        <f>IF(AB148&gt;AF148*1.05,AB148-AF148*1.05,IF(AB148&lt;AF148*0.95,AF148*0.95-AB148,0))</f>
        <v/>
      </c>
      <c r="AH148" s="34">
        <f>MAX(I148,J148,750)*0.05*AG148</f>
        <v/>
      </c>
      <c r="AI148" t="n">
        <v>8.199999999999999</v>
      </c>
      <c r="AJ148" t="n">
        <v>8</v>
      </c>
      <c r="AK148" s="34">
        <f>IF(AI148&gt;AJ148*1.05,AI148-AJ148*1.05,IF(AI148&lt;AJ148*0.95,AJ148*0.95-AI148,0))</f>
        <v/>
      </c>
      <c r="AL148" s="34">
        <f>MAX(F148,G148,750)*0.05*AK148</f>
        <v/>
      </c>
      <c r="AM148" s="39" t="n">
        <v>8</v>
      </c>
      <c r="AN148" s="34">
        <f>IF(AI148&gt;AM148*1.05,AI148-AM148*1.05,IF(AI148&lt;AM148*0.95,AM148*0.95-AI148,0))</f>
        <v/>
      </c>
      <c r="AO148" s="34">
        <f>MAX(F148,G148,750)*0.05*AN148</f>
        <v/>
      </c>
      <c r="AP148" s="34" t="n">
        <v>11.31</v>
      </c>
      <c r="AQ148" s="34" t="n">
        <v>11</v>
      </c>
      <c r="AR148" s="34">
        <f>IF(AP148&gt;AQ148*1.05,AP148-AQ148*1.05,IF(AP148&lt;AQ148*0.95,AQ148*0.95-AP148,0))</f>
        <v/>
      </c>
      <c r="AS148" s="34">
        <f>MAX(F148:G148,750)*0.05*AR148</f>
        <v/>
      </c>
      <c r="AT148" t="n">
        <v>11</v>
      </c>
      <c r="AU148" s="34">
        <f>IF(AP148&gt;AT148*1.05,AP148-AT148*1.05,IF(AP148&lt;AT148*0.95,AT148*0.95-AP148,0))</f>
        <v/>
      </c>
      <c r="AV148" s="34">
        <f>MAX(F148:G148,750)*0.05*AU148</f>
        <v/>
      </c>
      <c r="AW148" s="34">
        <f>AC148+AJ148+AQ148</f>
        <v/>
      </c>
      <c r="AX148" s="34">
        <f>AF148+AM148+AT148</f>
        <v/>
      </c>
      <c r="AY148" s="34">
        <f>AB148+AI148+AP148</f>
        <v/>
      </c>
      <c r="AZ148" s="34" t="n">
        <v>0</v>
      </c>
      <c r="BA148" s="34">
        <f>AD148+AK148+AR148</f>
        <v/>
      </c>
      <c r="BB148" s="34">
        <f>MAX(F148:G148,750)*0.05*BA148</f>
        <v/>
      </c>
      <c r="BC148" s="34">
        <f>AG148+AN148+AU148</f>
        <v/>
      </c>
      <c r="BD148" s="34">
        <f>MAX(F148:G148,750)*0.05*BC148</f>
        <v/>
      </c>
      <c r="BE148" s="34">
        <f>F148*AY148</f>
        <v/>
      </c>
      <c r="BF148" s="34">
        <f>K148-M148</f>
        <v/>
      </c>
      <c r="BG148" s="34">
        <f>P148-S148</f>
        <v/>
      </c>
      <c r="BH148" s="34">
        <f>W148-AA148</f>
        <v/>
      </c>
      <c r="BI148" s="34">
        <f>BF148+BG148+BL148-BN148</f>
        <v/>
      </c>
      <c r="BJ148" s="34">
        <f>ABS(BK148)</f>
        <v/>
      </c>
      <c r="BK148" s="34">
        <f>AY148-(J148-L148+N148-Q148)</f>
        <v/>
      </c>
      <c r="BL148" s="34">
        <f>IF(AND(BK148&gt;0,MIN($F148:$G148)&lt;150,$E148="Enerji Açığı"),-100*BK148*1.03,IF(AND(BK148&gt;0,MIN($F148:$G148)&lt;150,$E148="Enerji Fazlası"),-100*BK148*1.06,IF(AND(BK148&gt;0,MIN($F148:$G148)&gt;=150,$E148="Enerji Açığı"),BK148*MIN($F148:$G148)*0.97,IF(AND(BK148&gt;0,MIN($F148:$G148)&gt;=150,$E148="Enerji Fazlası"),BK148*MIN($F148:$G148)*0.94,IF(AND(BK148&lt;0,MAX($F148:$G148)=4500,$E148="Enerji Açığı"),4500*1.05*1.06*BK148,IF(AND(BK148&lt;0,MAX($F148:$G148)=4500,$E148="Enerji Fazlası"),4500*1.05*1.03*BK148,IF(AND(BK148&lt;0,$E148="Enerji Açığı"),MAX($F148,$G148,150)*BK148*1.06,IF(AND(BK148&lt;0,$E148="Enerji Fazlası"),MAX($F148,$G148,150)*BK148*1.03,IF(AND(BK148&lt;0,$E148="Dengede"),MAX($F148:$G148,150)*1.03*BK148,MIN($F148:$G148)*0.97*BK148)))))))))</f>
        <v/>
      </c>
      <c r="BM148" s="34">
        <f>BE148-BI148-BN148</f>
        <v/>
      </c>
      <c r="BN148" s="34">
        <f>BB148</f>
        <v/>
      </c>
      <c r="BO148" s="34">
        <f>BE148-BI148</f>
        <v/>
      </c>
      <c r="BP148" s="34">
        <f>IF(AY148=0,0,BO148/AY148)</f>
        <v/>
      </c>
      <c r="BQ148" s="34">
        <f>MAX((AY148+MAX((-J148+L148-N148+Q148),0)),(MAX((J148-L148+N148-Q148),0)))</f>
        <v/>
      </c>
      <c r="BR148" s="82">
        <f>IFERROR(ABS(BK148/BQ148),0)</f>
        <v/>
      </c>
      <c r="BS148" s="34">
        <f>IF(BR148&lt;=0.1,0,BK148/BR148*(BR148-0.1))</f>
        <v/>
      </c>
      <c r="BT148" s="34">
        <f>IF((BS148)&lt;0,MAX(F148:G148)*(BS148)*1.03,MIN(F148:G148)*(BS148)*0.97)</f>
        <v/>
      </c>
      <c r="BU148" s="34">
        <f>IF(BR148&gt;0.1,1,0)</f>
        <v/>
      </c>
      <c r="BV148" s="34">
        <f>BF148+BG148+BH148+BY148-CA148</f>
        <v/>
      </c>
      <c r="BW148" s="34">
        <f>ABS(BX148)</f>
        <v/>
      </c>
      <c r="BX148" s="34">
        <f>AY148-(J148-L148+N148-Q148+T148-X148)</f>
        <v/>
      </c>
      <c r="BY148" s="34">
        <f>IF(AND(BX148&gt;0,MIN($F148:$G148)&lt;150,$E148="Enerji Açığı"),-100*BX148*1.03,IF(AND(BX148&gt;0,MIN($F148:$G148)&lt;150,$E148="Enerji Fazlası"),-100*BX148*1.06,IF(AND(BX148&gt;0,MIN($F148:$G148)&gt;=150,$E148="Enerji Açığı"),BX148*MIN($F148:$G148)*0.97,IF(AND(BX148&gt;0,MIN($F148:$G148)&gt;=150,$E148="Enerji Fazlası"),BX148*MIN($F148:$G148)*0.94,IF(AND(BX148&lt;0,MAX($F148:$G148)=4500,$E148="Enerji Açığı"),4500*1.05*1.06*BX148,IF(AND(BX148&lt;0,MAX($F148:$G148)=4500,$E148="Enerji Fazlası"),4500*1.05*1.03*BX148,IF(AND(BX148&lt;0,$E148="Enerji Açığı"),MAX($F148,$G148,150)*BX148*1.06,IF(AND(BX148&lt;0,$E148="Enerji Fazlası"),MAX($F148,$G148,150)*BX148*1.03,IF(AND(BX148&lt;0,$E148="Dengede"),MAX($F148:$G148,150)*1.03*BX148,MIN($F148:$G148)*0.97*BX148)))))))))</f>
        <v/>
      </c>
      <c r="BZ148" s="34">
        <f>BE148-BV148-CA148</f>
        <v/>
      </c>
      <c r="CA148" s="34">
        <f>BD148</f>
        <v/>
      </c>
      <c r="CB148" s="33">
        <f>BE148-BV148</f>
        <v/>
      </c>
      <c r="CC148" s="34">
        <f>IF(AY148=0,0,CB148/AY148)</f>
        <v/>
      </c>
      <c r="CD148" s="34">
        <f>MAX((AY148+MAX((-J148+L148-N148+Q148-T148+X148),0)),(MAX((J148-L148+N148-Q148+T148-X148),0)))</f>
        <v/>
      </c>
      <c r="CE148" s="82">
        <f>IFERROR(ABS(BX148/CD148),0)</f>
        <v/>
      </c>
      <c r="CF148" s="34">
        <f>IF(CE148&lt;=0.1,0,BX148/CE148*(CE148-0.1))</f>
        <v/>
      </c>
      <c r="CG148" s="34">
        <f>IF((CF148)&lt;0,MAX(F148:G148)*(CF148)*1.03,MIN(F148:G148)*(CF148)*0.97)</f>
        <v/>
      </c>
      <c r="CH148" s="34">
        <f>IF(CE148&gt;0.1,1,0)</f>
        <v/>
      </c>
      <c r="CI148" s="34">
        <f>(F148*BX148)-BY148</f>
        <v/>
      </c>
      <c r="CJ148" s="34">
        <f>IF(AY148=0,0,CI148/AY148)</f>
        <v/>
      </c>
    </row>
    <row r="149">
      <c r="A149" s="29" t="n">
        <v>46210.08333333334</v>
      </c>
      <c r="B149" s="29" t="inlineStr">
        <is>
          <t>02:00</t>
        </is>
      </c>
      <c r="C149" s="35">
        <f>INT(A149)</f>
        <v/>
      </c>
      <c r="D149" s="36">
        <f>MONTH(A149)</f>
        <v/>
      </c>
      <c r="E149" s="147" t="inlineStr">
        <is>
          <t>Enerji Fazlası</t>
        </is>
      </c>
      <c r="F149" s="30" t="n">
        <v>3499</v>
      </c>
      <c r="G149" s="30" t="n">
        <v>1000</v>
      </c>
      <c r="H149" s="30" t="n">
        <v>75.03</v>
      </c>
      <c r="I149" s="30" t="n">
        <v>2836.72</v>
      </c>
      <c r="J149" s="119" t="n">
        <v>0</v>
      </c>
      <c r="K149" s="34">
        <f>F149*J149</f>
        <v/>
      </c>
      <c r="L149" s="119" t="n">
        <v>0</v>
      </c>
      <c r="M149" s="34">
        <f>L149*F149</f>
        <v/>
      </c>
      <c r="N149" s="119" t="n">
        <v>19</v>
      </c>
      <c r="O149" s="34">
        <f>F149</f>
        <v/>
      </c>
      <c r="P149" s="34">
        <f>N149*O149</f>
        <v/>
      </c>
      <c r="Q149" s="117" t="n">
        <v>0</v>
      </c>
      <c r="R149" s="34">
        <f>F149</f>
        <v/>
      </c>
      <c r="S149" s="34">
        <f>R149*Q149</f>
        <v/>
      </c>
      <c r="T149" s="34" t="n"/>
      <c r="U149" s="34">
        <f>IFERROR(W149/T149,0)</f>
        <v/>
      </c>
      <c r="V149" s="34">
        <f>IF(U149=0,0,U149-F149)</f>
        <v/>
      </c>
      <c r="W149" s="34" t="n"/>
      <c r="X149" s="34" t="n"/>
      <c r="Y149" s="34">
        <f>IFERROR(AA149/X149,0)</f>
        <v/>
      </c>
      <c r="Z149" s="34">
        <f>IF(Y149=0,0,F149-Y149)</f>
        <v/>
      </c>
      <c r="AA149" s="34" t="n"/>
      <c r="AB149" s="34" t="n">
        <v>0</v>
      </c>
      <c r="AC149" s="34" t="n">
        <v>0</v>
      </c>
      <c r="AD149" s="34">
        <f>IF(AB149&gt;AC149*1.05,AB149-AC149*1.05,IF(AB149&lt;AC149*0.95,AC149*0.95-AB149,0))</f>
        <v/>
      </c>
      <c r="AE149" s="34">
        <f>MAX(F149,G149,750)*0.05*AD149</f>
        <v/>
      </c>
      <c r="AF149" s="34" t="n">
        <v>0</v>
      </c>
      <c r="AG149" s="34">
        <f>IF(AB149&gt;AF149*1.05,AB149-AF149*1.05,IF(AB149&lt;AF149*0.95,AF149*0.95-AB149,0))</f>
        <v/>
      </c>
      <c r="AH149" s="34">
        <f>MAX(I149,J149,750)*0.05*AG149</f>
        <v/>
      </c>
      <c r="AI149" t="n">
        <v>8.109999999999999</v>
      </c>
      <c r="AJ149" t="n">
        <v>8</v>
      </c>
      <c r="AK149" s="34">
        <f>IF(AI149&gt;AJ149*1.05,AI149-AJ149*1.05,IF(AI149&lt;AJ149*0.95,AJ149*0.95-AI149,0))</f>
        <v/>
      </c>
      <c r="AL149" s="34">
        <f>MAX(F149,G149,750)*0.05*AK149</f>
        <v/>
      </c>
      <c r="AM149" s="39" t="n">
        <v>8</v>
      </c>
      <c r="AN149" s="34">
        <f>IF(AI149&gt;AM149*1.05,AI149-AM149*1.05,IF(AI149&lt;AM149*0.95,AM149*0.95-AI149,0))</f>
        <v/>
      </c>
      <c r="AO149" s="34">
        <f>MAX(F149,G149,750)*0.05*AN149</f>
        <v/>
      </c>
      <c r="AP149" s="34" t="n">
        <v>11.38</v>
      </c>
      <c r="AQ149" s="34" t="n">
        <v>11</v>
      </c>
      <c r="AR149" s="34">
        <f>IF(AP149&gt;AQ149*1.05,AP149-AQ149*1.05,IF(AP149&lt;AQ149*0.95,AQ149*0.95-AP149,0))</f>
        <v/>
      </c>
      <c r="AS149" s="34">
        <f>MAX(F149:G149,750)*0.05*AR149</f>
        <v/>
      </c>
      <c r="AT149" t="n">
        <v>11</v>
      </c>
      <c r="AU149" s="34">
        <f>IF(AP149&gt;AT149*1.05,AP149-AT149*1.05,IF(AP149&lt;AT149*0.95,AT149*0.95-AP149,0))</f>
        <v/>
      </c>
      <c r="AV149" s="34">
        <f>MAX(F149:G149,750)*0.05*AU149</f>
        <v/>
      </c>
      <c r="AW149" s="34">
        <f>AC149+AJ149+AQ149</f>
        <v/>
      </c>
      <c r="AX149" s="34">
        <f>AF149+AM149+AT149</f>
        <v/>
      </c>
      <c r="AY149" s="34">
        <f>AB149+AI149+AP149</f>
        <v/>
      </c>
      <c r="AZ149" s="34" t="n">
        <v>0</v>
      </c>
      <c r="BA149" s="34">
        <f>AD149+AK149+AR149</f>
        <v/>
      </c>
      <c r="BB149" s="34">
        <f>MAX(F149:G149,750)*0.05*BA149</f>
        <v/>
      </c>
      <c r="BC149" s="34">
        <f>AG149+AN149+AU149</f>
        <v/>
      </c>
      <c r="BD149" s="34">
        <f>MAX(F149:G149,750)*0.05*BC149</f>
        <v/>
      </c>
      <c r="BE149" s="34">
        <f>F149*AY149</f>
        <v/>
      </c>
      <c r="BF149" s="34">
        <f>K149-M149</f>
        <v/>
      </c>
      <c r="BG149" s="34">
        <f>P149-S149</f>
        <v/>
      </c>
      <c r="BH149" s="34">
        <f>W149-AA149</f>
        <v/>
      </c>
      <c r="BI149" s="34">
        <f>BF149+BG149+BL149-BN149</f>
        <v/>
      </c>
      <c r="BJ149" s="34">
        <f>ABS(BK149)</f>
        <v/>
      </c>
      <c r="BK149" s="34">
        <f>AY149-(J149-L149+N149-Q149)</f>
        <v/>
      </c>
      <c r="BL149" s="34">
        <f>IF(AND(BK149&gt;0,MIN($F149:$G149)&lt;150,$E149="Enerji Açığı"),-100*BK149*1.03,IF(AND(BK149&gt;0,MIN($F149:$G149)&lt;150,$E149="Enerji Fazlası"),-100*BK149*1.06,IF(AND(BK149&gt;0,MIN($F149:$G149)&gt;=150,$E149="Enerji Açığı"),BK149*MIN($F149:$G149)*0.97,IF(AND(BK149&gt;0,MIN($F149:$G149)&gt;=150,$E149="Enerji Fazlası"),BK149*MIN($F149:$G149)*0.94,IF(AND(BK149&lt;0,MAX($F149:$G149)=4500,$E149="Enerji Açığı"),4500*1.05*1.06*BK149,IF(AND(BK149&lt;0,MAX($F149:$G149)=4500,$E149="Enerji Fazlası"),4500*1.05*1.03*BK149,IF(AND(BK149&lt;0,$E149="Enerji Açığı"),MAX($F149,$G149,150)*BK149*1.06,IF(AND(BK149&lt;0,$E149="Enerji Fazlası"),MAX($F149,$G149,150)*BK149*1.03,IF(AND(BK149&lt;0,$E149="Dengede"),MAX($F149:$G149,150)*1.03*BK149,MIN($F149:$G149)*0.97*BK149)))))))))</f>
        <v/>
      </c>
      <c r="BM149" s="34">
        <f>BE149-BI149-BN149</f>
        <v/>
      </c>
      <c r="BN149" s="34">
        <f>BB149</f>
        <v/>
      </c>
      <c r="BO149" s="34">
        <f>BE149-BI149</f>
        <v/>
      </c>
      <c r="BP149" s="34">
        <f>IF(AY149=0,0,BO149/AY149)</f>
        <v/>
      </c>
      <c r="BQ149" s="34">
        <f>MAX((AY149+MAX((-J149+L149-N149+Q149),0)),(MAX((J149-L149+N149-Q149),0)))</f>
        <v/>
      </c>
      <c r="BR149" s="82">
        <f>IFERROR(ABS(BK149/BQ149),0)</f>
        <v/>
      </c>
      <c r="BS149" s="34">
        <f>IF(BR149&lt;=0.1,0,BK149/BR149*(BR149-0.1))</f>
        <v/>
      </c>
      <c r="BT149" s="34">
        <f>IF((BS149)&lt;0,MAX(F149:G149)*(BS149)*1.03,MIN(F149:G149)*(BS149)*0.97)</f>
        <v/>
      </c>
      <c r="BU149" s="34">
        <f>IF(BR149&gt;0.1,1,0)</f>
        <v/>
      </c>
      <c r="BV149" s="34">
        <f>BF149+BG149+BH149+BY149-CA149</f>
        <v/>
      </c>
      <c r="BW149" s="34">
        <f>ABS(BX149)</f>
        <v/>
      </c>
      <c r="BX149" s="34">
        <f>AY149-(J149-L149+N149-Q149+T149-X149)</f>
        <v/>
      </c>
      <c r="BY149" s="34">
        <f>IF(AND(BX149&gt;0,MIN($F149:$G149)&lt;150,$E149="Enerji Açığı"),-100*BX149*1.03,IF(AND(BX149&gt;0,MIN($F149:$G149)&lt;150,$E149="Enerji Fazlası"),-100*BX149*1.06,IF(AND(BX149&gt;0,MIN($F149:$G149)&gt;=150,$E149="Enerji Açığı"),BX149*MIN($F149:$G149)*0.97,IF(AND(BX149&gt;0,MIN($F149:$G149)&gt;=150,$E149="Enerji Fazlası"),BX149*MIN($F149:$G149)*0.94,IF(AND(BX149&lt;0,MAX($F149:$G149)=4500,$E149="Enerji Açığı"),4500*1.05*1.06*BX149,IF(AND(BX149&lt;0,MAX($F149:$G149)=4500,$E149="Enerji Fazlası"),4500*1.05*1.03*BX149,IF(AND(BX149&lt;0,$E149="Enerji Açığı"),MAX($F149,$G149,150)*BX149*1.06,IF(AND(BX149&lt;0,$E149="Enerji Fazlası"),MAX($F149,$G149,150)*BX149*1.03,IF(AND(BX149&lt;0,$E149="Dengede"),MAX($F149:$G149,150)*1.03*BX149,MIN($F149:$G149)*0.97*BX149)))))))))</f>
        <v/>
      </c>
      <c r="BZ149" s="34">
        <f>BE149-BV149-CA149</f>
        <v/>
      </c>
      <c r="CA149" s="34">
        <f>BD149</f>
        <v/>
      </c>
      <c r="CB149" s="33">
        <f>BE149-BV149</f>
        <v/>
      </c>
      <c r="CC149" s="34">
        <f>IF(AY149=0,0,CB149/AY149)</f>
        <v/>
      </c>
      <c r="CD149" s="34">
        <f>MAX((AY149+MAX((-J149+L149-N149+Q149-T149+X149),0)),(MAX((J149-L149+N149-Q149+T149-X149),0)))</f>
        <v/>
      </c>
      <c r="CE149" s="82">
        <f>IFERROR(ABS(BX149/CD149),0)</f>
        <v/>
      </c>
      <c r="CF149" s="34">
        <f>IF(CE149&lt;=0.1,0,BX149/CE149*(CE149-0.1))</f>
        <v/>
      </c>
      <c r="CG149" s="34">
        <f>IF((CF149)&lt;0,MAX(F149:G149)*(CF149)*1.03,MIN(F149:G149)*(CF149)*0.97)</f>
        <v/>
      </c>
      <c r="CH149" s="34">
        <f>IF(CE149&gt;0.1,1,0)</f>
        <v/>
      </c>
      <c r="CI149" s="34">
        <f>(F149*BX149)-BY149</f>
        <v/>
      </c>
      <c r="CJ149" s="34">
        <f>IF(AY149=0,0,CI149/AY149)</f>
        <v/>
      </c>
    </row>
    <row r="150">
      <c r="A150" s="29" t="n">
        <v>46210.125</v>
      </c>
      <c r="B150" s="29" t="inlineStr">
        <is>
          <t>03:00</t>
        </is>
      </c>
      <c r="C150" s="35">
        <f>INT(A150)</f>
        <v/>
      </c>
      <c r="D150" s="36">
        <f>MONTH(A150)</f>
        <v/>
      </c>
      <c r="E150" s="147" t="inlineStr">
        <is>
          <t>Enerji Fazlası</t>
        </is>
      </c>
      <c r="F150" s="30" t="n">
        <v>3579.7</v>
      </c>
      <c r="G150" s="30" t="n">
        <v>1000</v>
      </c>
      <c r="H150" s="30" t="n">
        <v>76.76000000000001</v>
      </c>
      <c r="I150" s="30" t="n">
        <v>2506.59</v>
      </c>
      <c r="J150" s="119" t="n">
        <v>0</v>
      </c>
      <c r="K150" s="34">
        <f>F150*J150</f>
        <v/>
      </c>
      <c r="L150" s="119" t="n">
        <v>0</v>
      </c>
      <c r="M150" s="34">
        <f>L150*F150</f>
        <v/>
      </c>
      <c r="N150" s="119" t="n">
        <v>19</v>
      </c>
      <c r="O150" s="34">
        <f>F150</f>
        <v/>
      </c>
      <c r="P150" s="34">
        <f>N150*O150</f>
        <v/>
      </c>
      <c r="Q150" s="117" t="n">
        <v>0</v>
      </c>
      <c r="R150" s="34">
        <f>F150</f>
        <v/>
      </c>
      <c r="S150" s="34">
        <f>R150*Q150</f>
        <v/>
      </c>
      <c r="T150" s="34" t="n"/>
      <c r="U150" s="34">
        <f>IFERROR(W150/T150,0)</f>
        <v/>
      </c>
      <c r="V150" s="34">
        <f>IF(U150=0,0,U150-F150)</f>
        <v/>
      </c>
      <c r="W150" s="34" t="n"/>
      <c r="X150" s="34" t="n"/>
      <c r="Y150" s="34">
        <f>IFERROR(AA150/X150,0)</f>
        <v/>
      </c>
      <c r="Z150" s="34">
        <f>IF(Y150=0,0,F150-Y150)</f>
        <v/>
      </c>
      <c r="AA150" s="34" t="n"/>
      <c r="AB150" s="34" t="n">
        <v>0</v>
      </c>
      <c r="AC150" s="34" t="n">
        <v>0</v>
      </c>
      <c r="AD150" s="34">
        <f>IF(AB150&gt;AC150*1.05,AB150-AC150*1.05,IF(AB150&lt;AC150*0.95,AC150*0.95-AB150,0))</f>
        <v/>
      </c>
      <c r="AE150" s="34">
        <f>MAX(F150,G150,750)*0.05*AD150</f>
        <v/>
      </c>
      <c r="AF150" s="34" t="n">
        <v>0</v>
      </c>
      <c r="AG150" s="34">
        <f>IF(AB150&gt;AF150*1.05,AB150-AF150*1.05,IF(AB150&lt;AF150*0.95,AF150*0.95-AB150,0))</f>
        <v/>
      </c>
      <c r="AH150" s="34">
        <f>MAX(I150,J150,750)*0.05*AG150</f>
        <v/>
      </c>
      <c r="AI150" t="n">
        <v>8.109999999999999</v>
      </c>
      <c r="AJ150" t="n">
        <v>8</v>
      </c>
      <c r="AK150" s="34">
        <f>IF(AI150&gt;AJ150*1.05,AI150-AJ150*1.05,IF(AI150&lt;AJ150*0.95,AJ150*0.95-AI150,0))</f>
        <v/>
      </c>
      <c r="AL150" s="34">
        <f>MAX(F150,G150,750)*0.05*AK150</f>
        <v/>
      </c>
      <c r="AM150" s="39" t="n">
        <v>8</v>
      </c>
      <c r="AN150" s="34">
        <f>IF(AI150&gt;AM150*1.05,AI150-AM150*1.05,IF(AI150&lt;AM150*0.95,AM150*0.95-AI150,0))</f>
        <v/>
      </c>
      <c r="AO150" s="34">
        <f>MAX(F150,G150,750)*0.05*AN150</f>
        <v/>
      </c>
      <c r="AP150" s="34" t="n">
        <v>12.21</v>
      </c>
      <c r="AQ150" s="34" t="n">
        <v>11</v>
      </c>
      <c r="AR150" s="34">
        <f>IF(AP150&gt;AQ150*1.05,AP150-AQ150*1.05,IF(AP150&lt;AQ150*0.95,AQ150*0.95-AP150,0))</f>
        <v/>
      </c>
      <c r="AS150" s="34">
        <f>MAX(F150:G150,750)*0.05*AR150</f>
        <v/>
      </c>
      <c r="AT150" t="n">
        <v>12</v>
      </c>
      <c r="AU150" s="34">
        <f>IF(AP150&gt;AT150*1.05,AP150-AT150*1.05,IF(AP150&lt;AT150*0.95,AT150*0.95-AP150,0))</f>
        <v/>
      </c>
      <c r="AV150" s="34">
        <f>MAX(F150:G150,750)*0.05*AU150</f>
        <v/>
      </c>
      <c r="AW150" s="34">
        <f>AC150+AJ150+AQ150</f>
        <v/>
      </c>
      <c r="AX150" s="34">
        <f>AF150+AM150+AT150</f>
        <v/>
      </c>
      <c r="AY150" s="34">
        <f>AB150+AI150+AP150</f>
        <v/>
      </c>
      <c r="AZ150" s="34" t="n">
        <v>0</v>
      </c>
      <c r="BA150" s="34">
        <f>AD150+AK150+AR150</f>
        <v/>
      </c>
      <c r="BB150" s="34">
        <f>MAX(F150:G150,750)*0.05*BA150</f>
        <v/>
      </c>
      <c r="BC150" s="34">
        <f>AG150+AN150+AU150</f>
        <v/>
      </c>
      <c r="BD150" s="34">
        <f>MAX(F150:G150,750)*0.05*BC150</f>
        <v/>
      </c>
      <c r="BE150" s="34">
        <f>F150*AY150</f>
        <v/>
      </c>
      <c r="BF150" s="34">
        <f>K150-M150</f>
        <v/>
      </c>
      <c r="BG150" s="34">
        <f>P150-S150</f>
        <v/>
      </c>
      <c r="BH150" s="34">
        <f>W150-AA150</f>
        <v/>
      </c>
      <c r="BI150" s="34">
        <f>BF150+BG150+BL150-BN150</f>
        <v/>
      </c>
      <c r="BJ150" s="34">
        <f>ABS(BK150)</f>
        <v/>
      </c>
      <c r="BK150" s="34">
        <f>AY150-(J150-L150+N150-Q150)</f>
        <v/>
      </c>
      <c r="BL150" s="34">
        <f>IF(AND(BK150&gt;0,MIN($F150:$G150)&lt;150,$E150="Enerji Açığı"),-100*BK150*1.03,IF(AND(BK150&gt;0,MIN($F150:$G150)&lt;150,$E150="Enerji Fazlası"),-100*BK150*1.06,IF(AND(BK150&gt;0,MIN($F150:$G150)&gt;=150,$E150="Enerji Açığı"),BK150*MIN($F150:$G150)*0.97,IF(AND(BK150&gt;0,MIN($F150:$G150)&gt;=150,$E150="Enerji Fazlası"),BK150*MIN($F150:$G150)*0.94,IF(AND(BK150&lt;0,MAX($F150:$G150)=4500,$E150="Enerji Açığı"),4500*1.05*1.06*BK150,IF(AND(BK150&lt;0,MAX($F150:$G150)=4500,$E150="Enerji Fazlası"),4500*1.05*1.03*BK150,IF(AND(BK150&lt;0,$E150="Enerji Açığı"),MAX($F150,$G150,150)*BK150*1.06,IF(AND(BK150&lt;0,$E150="Enerji Fazlası"),MAX($F150,$G150,150)*BK150*1.03,IF(AND(BK150&lt;0,$E150="Dengede"),MAX($F150:$G150,150)*1.03*BK150,MIN($F150:$G150)*0.97*BK150)))))))))</f>
        <v/>
      </c>
      <c r="BM150" s="34">
        <f>BE150-BI150-BN150</f>
        <v/>
      </c>
      <c r="BN150" s="34">
        <f>BB150</f>
        <v/>
      </c>
      <c r="BO150" s="34">
        <f>BE150-BI150</f>
        <v/>
      </c>
      <c r="BP150" s="34">
        <f>IF(AY150=0,0,BO150/AY150)</f>
        <v/>
      </c>
      <c r="BQ150" s="34">
        <f>MAX((AY150+MAX((-J150+L150-N150+Q150),0)),(MAX((J150-L150+N150-Q150),0)))</f>
        <v/>
      </c>
      <c r="BR150" s="82">
        <f>IFERROR(ABS(BK150/BQ150),0)</f>
        <v/>
      </c>
      <c r="BS150" s="34">
        <f>IF(BR150&lt;=0.1,0,BK150/BR150*(BR150-0.1))</f>
        <v/>
      </c>
      <c r="BT150" s="34">
        <f>IF((BS150)&lt;0,MAX(F150:G150)*(BS150)*1.03,MIN(F150:G150)*(BS150)*0.97)</f>
        <v/>
      </c>
      <c r="BU150" s="34">
        <f>IF(BR150&gt;0.1,1,0)</f>
        <v/>
      </c>
      <c r="BV150" s="34">
        <f>BF150+BG150+BH150+BY150-CA150</f>
        <v/>
      </c>
      <c r="BW150" s="34">
        <f>ABS(BX150)</f>
        <v/>
      </c>
      <c r="BX150" s="34">
        <f>AY150-(J150-L150+N150-Q150+T150-X150)</f>
        <v/>
      </c>
      <c r="BY150" s="34">
        <f>IF(AND(BX150&gt;0,MIN($F150:$G150)&lt;150,$E150="Enerji Açığı"),-100*BX150*1.03,IF(AND(BX150&gt;0,MIN($F150:$G150)&lt;150,$E150="Enerji Fazlası"),-100*BX150*1.06,IF(AND(BX150&gt;0,MIN($F150:$G150)&gt;=150,$E150="Enerji Açığı"),BX150*MIN($F150:$G150)*0.97,IF(AND(BX150&gt;0,MIN($F150:$G150)&gt;=150,$E150="Enerji Fazlası"),BX150*MIN($F150:$G150)*0.94,IF(AND(BX150&lt;0,MAX($F150:$G150)=4500,$E150="Enerji Açığı"),4500*1.05*1.06*BX150,IF(AND(BX150&lt;0,MAX($F150:$G150)=4500,$E150="Enerji Fazlası"),4500*1.05*1.03*BX150,IF(AND(BX150&lt;0,$E150="Enerji Açığı"),MAX($F150,$G150,150)*BX150*1.06,IF(AND(BX150&lt;0,$E150="Enerji Fazlası"),MAX($F150,$G150,150)*BX150*1.03,IF(AND(BX150&lt;0,$E150="Dengede"),MAX($F150:$G150,150)*1.03*BX150,MIN($F150:$G150)*0.97*BX150)))))))))</f>
        <v/>
      </c>
      <c r="BZ150" s="34">
        <f>BE150-BV150-CA150</f>
        <v/>
      </c>
      <c r="CA150" s="34">
        <f>BD150</f>
        <v/>
      </c>
      <c r="CB150" s="33">
        <f>BE150-BV150</f>
        <v/>
      </c>
      <c r="CC150" s="34">
        <f>IF(AY150=0,0,CB150/AY150)</f>
        <v/>
      </c>
      <c r="CD150" s="34">
        <f>MAX((AY150+MAX((-J150+L150-N150+Q150-T150+X150),0)),(MAX((J150-L150+N150-Q150+T150-X150),0)))</f>
        <v/>
      </c>
      <c r="CE150" s="82">
        <f>IFERROR(ABS(BX150/CD150),0)</f>
        <v/>
      </c>
      <c r="CF150" s="34">
        <f>IF(CE150&lt;=0.1,0,BX150/CE150*(CE150-0.1))</f>
        <v/>
      </c>
      <c r="CG150" s="34">
        <f>IF((CF150)&lt;0,MAX(F150:G150)*(CF150)*1.03,MIN(F150:G150)*(CF150)*0.97)</f>
        <v/>
      </c>
      <c r="CH150" s="34">
        <f>IF(CE150&gt;0.1,1,0)</f>
        <v/>
      </c>
      <c r="CI150" s="34">
        <f>(F150*BX150)-BY150</f>
        <v/>
      </c>
      <c r="CJ150" s="34">
        <f>IF(AY150=0,0,CI150/AY150)</f>
        <v/>
      </c>
    </row>
    <row r="151">
      <c r="A151" s="29" t="n">
        <v>46210.16666666666</v>
      </c>
      <c r="B151" s="29" t="inlineStr">
        <is>
          <t>04:00</t>
        </is>
      </c>
      <c r="C151" s="35">
        <f>INT(A151)</f>
        <v/>
      </c>
      <c r="D151" s="36">
        <f>MONTH(A151)</f>
        <v/>
      </c>
      <c r="E151" s="147" t="inlineStr">
        <is>
          <t>Enerji Fazlası</t>
        </is>
      </c>
      <c r="F151" s="30" t="n">
        <v>3400</v>
      </c>
      <c r="G151" s="30" t="n">
        <v>1450</v>
      </c>
      <c r="H151" s="30" t="n">
        <v>72.91</v>
      </c>
      <c r="I151" s="30" t="n">
        <v>2227.77</v>
      </c>
      <c r="J151" s="119" t="n">
        <v>0</v>
      </c>
      <c r="K151" s="34">
        <f>F151*J151</f>
        <v/>
      </c>
      <c r="L151" s="119" t="n">
        <v>0</v>
      </c>
      <c r="M151" s="34">
        <f>L151*F151</f>
        <v/>
      </c>
      <c r="N151" s="119" t="n">
        <v>19</v>
      </c>
      <c r="O151" s="34">
        <f>F151</f>
        <v/>
      </c>
      <c r="P151" s="34">
        <f>N151*O151</f>
        <v/>
      </c>
      <c r="Q151" s="117" t="n">
        <v>0</v>
      </c>
      <c r="R151" s="34">
        <f>F151</f>
        <v/>
      </c>
      <c r="S151" s="34">
        <f>R151*Q151</f>
        <v/>
      </c>
      <c r="T151" s="34" t="n"/>
      <c r="U151" s="34">
        <f>IFERROR(W151/T151,0)</f>
        <v/>
      </c>
      <c r="V151" s="34">
        <f>IF(U151=0,0,U151-F151)</f>
        <v/>
      </c>
      <c r="W151" s="34" t="n"/>
      <c r="X151" s="34" t="n"/>
      <c r="Y151" s="34">
        <f>IFERROR(AA151/X151,0)</f>
        <v/>
      </c>
      <c r="Z151" s="34">
        <f>IF(Y151=0,0,F151-Y151)</f>
        <v/>
      </c>
      <c r="AA151" s="34" t="n"/>
      <c r="AB151" s="34" t="n">
        <v>0</v>
      </c>
      <c r="AC151" s="34" t="n">
        <v>0</v>
      </c>
      <c r="AD151" s="34">
        <f>IF(AB151&gt;AC151*1.05,AB151-AC151*1.05,IF(AB151&lt;AC151*0.95,AC151*0.95-AB151,0))</f>
        <v/>
      </c>
      <c r="AE151" s="34">
        <f>MAX(F151,G151,750)*0.05*AD151</f>
        <v/>
      </c>
      <c r="AF151" s="34" t="n">
        <v>0</v>
      </c>
      <c r="AG151" s="34">
        <f>IF(AB151&gt;AF151*1.05,AB151-AF151*1.05,IF(AB151&lt;AF151*0.95,AF151*0.95-AB151,0))</f>
        <v/>
      </c>
      <c r="AH151" s="34">
        <f>MAX(I151,J151,750)*0.05*AG151</f>
        <v/>
      </c>
      <c r="AI151" t="n">
        <v>8.140000000000001</v>
      </c>
      <c r="AJ151" t="n">
        <v>8</v>
      </c>
      <c r="AK151" s="34">
        <f>IF(AI151&gt;AJ151*1.05,AI151-AJ151*1.05,IF(AI151&lt;AJ151*0.95,AJ151*0.95-AI151,0))</f>
        <v/>
      </c>
      <c r="AL151" s="34">
        <f>MAX(F151,G151,750)*0.05*AK151</f>
        <v/>
      </c>
      <c r="AM151" s="39" t="n">
        <v>8</v>
      </c>
      <c r="AN151" s="34">
        <f>IF(AI151&gt;AM151*1.05,AI151-AM151*1.05,IF(AI151&lt;AM151*0.95,AM151*0.95-AI151,0))</f>
        <v/>
      </c>
      <c r="AO151" s="34">
        <f>MAX(F151,G151,750)*0.05*AN151</f>
        <v/>
      </c>
      <c r="AP151" s="34" t="n">
        <v>11.42</v>
      </c>
      <c r="AQ151" s="34" t="n">
        <v>11</v>
      </c>
      <c r="AR151" s="34">
        <f>IF(AP151&gt;AQ151*1.05,AP151-AQ151*1.05,IF(AP151&lt;AQ151*0.95,AQ151*0.95-AP151,0))</f>
        <v/>
      </c>
      <c r="AS151" s="34">
        <f>MAX(F151:G151,750)*0.05*AR151</f>
        <v/>
      </c>
      <c r="AT151" t="n">
        <v>11</v>
      </c>
      <c r="AU151" s="34">
        <f>IF(AP151&gt;AT151*1.05,AP151-AT151*1.05,IF(AP151&lt;AT151*0.95,AT151*0.95-AP151,0))</f>
        <v/>
      </c>
      <c r="AV151" s="34">
        <f>MAX(F151:G151,750)*0.05*AU151</f>
        <v/>
      </c>
      <c r="AW151" s="34">
        <f>AC151+AJ151+AQ151</f>
        <v/>
      </c>
      <c r="AX151" s="34">
        <f>AF151+AM151+AT151</f>
        <v/>
      </c>
      <c r="AY151" s="34">
        <f>AB151+AI151+AP151</f>
        <v/>
      </c>
      <c r="AZ151" s="34" t="n">
        <v>0</v>
      </c>
      <c r="BA151" s="34">
        <f>AD151+AK151+AR151</f>
        <v/>
      </c>
      <c r="BB151" s="34">
        <f>MAX(F151:G151,750)*0.05*BA151</f>
        <v/>
      </c>
      <c r="BC151" s="34">
        <f>AG151+AN151+AU151</f>
        <v/>
      </c>
      <c r="BD151" s="34">
        <f>MAX(F151:G151,750)*0.05*BC151</f>
        <v/>
      </c>
      <c r="BE151" s="34">
        <f>F151*AY151</f>
        <v/>
      </c>
      <c r="BF151" s="34">
        <f>K151-M151</f>
        <v/>
      </c>
      <c r="BG151" s="34">
        <f>P151-S151</f>
        <v/>
      </c>
      <c r="BH151" s="34">
        <f>W151-AA151</f>
        <v/>
      </c>
      <c r="BI151" s="34">
        <f>BF151+BG151+BL151-BN151</f>
        <v/>
      </c>
      <c r="BJ151" s="34">
        <f>ABS(BK151)</f>
        <v/>
      </c>
      <c r="BK151" s="34">
        <f>AY151-(J151-L151+N151-Q151)</f>
        <v/>
      </c>
      <c r="BL151" s="34">
        <f>IF(AND(BK151&gt;0,MIN($F151:$G151)&lt;150,$E151="Enerji Açığı"),-100*BK151*1.03,IF(AND(BK151&gt;0,MIN($F151:$G151)&lt;150,$E151="Enerji Fazlası"),-100*BK151*1.06,IF(AND(BK151&gt;0,MIN($F151:$G151)&gt;=150,$E151="Enerji Açığı"),BK151*MIN($F151:$G151)*0.97,IF(AND(BK151&gt;0,MIN($F151:$G151)&gt;=150,$E151="Enerji Fazlası"),BK151*MIN($F151:$G151)*0.94,IF(AND(BK151&lt;0,MAX($F151:$G151)=4500,$E151="Enerji Açığı"),4500*1.05*1.06*BK151,IF(AND(BK151&lt;0,MAX($F151:$G151)=4500,$E151="Enerji Fazlası"),4500*1.05*1.03*BK151,IF(AND(BK151&lt;0,$E151="Enerji Açığı"),MAX($F151,$G151,150)*BK151*1.06,IF(AND(BK151&lt;0,$E151="Enerji Fazlası"),MAX($F151,$G151,150)*BK151*1.03,IF(AND(BK151&lt;0,$E151="Dengede"),MAX($F151:$G151,150)*1.03*BK151,MIN($F151:$G151)*0.97*BK151)))))))))</f>
        <v/>
      </c>
      <c r="BM151" s="34">
        <f>BE151-BI151-BN151</f>
        <v/>
      </c>
      <c r="BN151" s="34">
        <f>BB151</f>
        <v/>
      </c>
      <c r="BO151" s="34">
        <f>BE151-BI151</f>
        <v/>
      </c>
      <c r="BP151" s="34">
        <f>IF(AY151=0,0,BO151/AY151)</f>
        <v/>
      </c>
      <c r="BQ151" s="34">
        <f>MAX((AY151+MAX((-J151+L151-N151+Q151),0)),(MAX((J151-L151+N151-Q151),0)))</f>
        <v/>
      </c>
      <c r="BR151" s="82">
        <f>IFERROR(ABS(BK151/BQ151),0)</f>
        <v/>
      </c>
      <c r="BS151" s="34">
        <f>IF(BR151&lt;=0.1,0,BK151/BR151*(BR151-0.1))</f>
        <v/>
      </c>
      <c r="BT151" s="34">
        <f>IF((BS151)&lt;0,MAX(F151:G151)*(BS151)*1.03,MIN(F151:G151)*(BS151)*0.97)</f>
        <v/>
      </c>
      <c r="BU151" s="34">
        <f>IF(BR151&gt;0.1,1,0)</f>
        <v/>
      </c>
      <c r="BV151" s="34">
        <f>BF151+BG151+BH151+BY151-CA151</f>
        <v/>
      </c>
      <c r="BW151" s="34">
        <f>ABS(BX151)</f>
        <v/>
      </c>
      <c r="BX151" s="34">
        <f>AY151-(J151-L151+N151-Q151+T151-X151)</f>
        <v/>
      </c>
      <c r="BY151" s="34">
        <f>IF(AND(BX151&gt;0,MIN($F151:$G151)&lt;150,$E151="Enerji Açığı"),-100*BX151*1.03,IF(AND(BX151&gt;0,MIN($F151:$G151)&lt;150,$E151="Enerji Fazlası"),-100*BX151*1.06,IF(AND(BX151&gt;0,MIN($F151:$G151)&gt;=150,$E151="Enerji Açığı"),BX151*MIN($F151:$G151)*0.97,IF(AND(BX151&gt;0,MIN($F151:$G151)&gt;=150,$E151="Enerji Fazlası"),BX151*MIN($F151:$G151)*0.94,IF(AND(BX151&lt;0,MAX($F151:$G151)=4500,$E151="Enerji Açığı"),4500*1.05*1.06*BX151,IF(AND(BX151&lt;0,MAX($F151:$G151)=4500,$E151="Enerji Fazlası"),4500*1.05*1.03*BX151,IF(AND(BX151&lt;0,$E151="Enerji Açığı"),MAX($F151,$G151,150)*BX151*1.06,IF(AND(BX151&lt;0,$E151="Enerji Fazlası"),MAX($F151,$G151,150)*BX151*1.03,IF(AND(BX151&lt;0,$E151="Dengede"),MAX($F151:$G151,150)*1.03*BX151,MIN($F151:$G151)*0.97*BX151)))))))))</f>
        <v/>
      </c>
      <c r="BZ151" s="34">
        <f>BE151-BV151-CA151</f>
        <v/>
      </c>
      <c r="CA151" s="34">
        <f>BD151</f>
        <v/>
      </c>
      <c r="CB151" s="33">
        <f>BE151-BV151</f>
        <v/>
      </c>
      <c r="CC151" s="34">
        <f>IF(AY151=0,0,CB151/AY151)</f>
        <v/>
      </c>
      <c r="CD151" s="34">
        <f>MAX((AY151+MAX((-J151+L151-N151+Q151-T151+X151),0)),(MAX((J151-L151+N151-Q151+T151-X151),0)))</f>
        <v/>
      </c>
      <c r="CE151" s="82">
        <f>IFERROR(ABS(BX151/CD151),0)</f>
        <v/>
      </c>
      <c r="CF151" s="34">
        <f>IF(CE151&lt;=0.1,0,BX151/CE151*(CE151-0.1))</f>
        <v/>
      </c>
      <c r="CG151" s="34">
        <f>IF((CF151)&lt;0,MAX(F151:G151)*(CF151)*1.03,MIN(F151:G151)*(CF151)*0.97)</f>
        <v/>
      </c>
      <c r="CH151" s="34">
        <f>IF(CE151&gt;0.1,1,0)</f>
        <v/>
      </c>
      <c r="CI151" s="34">
        <f>(F151*BX151)-BY151</f>
        <v/>
      </c>
      <c r="CJ151" s="34">
        <f>IF(AY151=0,0,CI151/AY151)</f>
        <v/>
      </c>
    </row>
    <row r="152">
      <c r="A152" s="29" t="n">
        <v>46210.20833333334</v>
      </c>
      <c r="B152" s="29" t="inlineStr">
        <is>
          <t>05:00</t>
        </is>
      </c>
      <c r="C152" s="35">
        <f>INT(A152)</f>
        <v/>
      </c>
      <c r="D152" s="36">
        <f>MONTH(A152)</f>
        <v/>
      </c>
      <c r="E152" s="147" t="inlineStr">
        <is>
          <t>Enerji Fazlası</t>
        </is>
      </c>
      <c r="F152" s="30" t="n">
        <v>2865.59</v>
      </c>
      <c r="G152" s="30" t="n">
        <v>500</v>
      </c>
      <c r="H152" s="30" t="n">
        <v>61.45</v>
      </c>
      <c r="I152" s="30" t="n">
        <v>1700.67</v>
      </c>
      <c r="J152" s="119" t="n">
        <v>0</v>
      </c>
      <c r="K152" s="34">
        <f>F152*J152</f>
        <v/>
      </c>
      <c r="L152" s="119" t="n">
        <v>0</v>
      </c>
      <c r="M152" s="34">
        <f>L152*F152</f>
        <v/>
      </c>
      <c r="N152" s="119" t="n">
        <v>19</v>
      </c>
      <c r="O152" s="34">
        <f>F152</f>
        <v/>
      </c>
      <c r="P152" s="34">
        <f>N152*O152</f>
        <v/>
      </c>
      <c r="Q152" s="117" t="n">
        <v>0</v>
      </c>
      <c r="R152" s="34">
        <f>F152</f>
        <v/>
      </c>
      <c r="S152" s="34">
        <f>R152*Q152</f>
        <v/>
      </c>
      <c r="T152" s="34" t="n"/>
      <c r="U152" s="34">
        <f>IFERROR(W152/T152,0)</f>
        <v/>
      </c>
      <c r="V152" s="34">
        <f>IF(U152=0,0,U152-F152)</f>
        <v/>
      </c>
      <c r="W152" s="34" t="n"/>
      <c r="X152" s="34" t="n"/>
      <c r="Y152" s="34">
        <f>IFERROR(AA152/X152,0)</f>
        <v/>
      </c>
      <c r="Z152" s="34">
        <f>IF(Y152=0,0,F152-Y152)</f>
        <v/>
      </c>
      <c r="AA152" s="34" t="n"/>
      <c r="AB152" s="34" t="n">
        <v>0</v>
      </c>
      <c r="AC152" s="34" t="n">
        <v>0</v>
      </c>
      <c r="AD152" s="34">
        <f>IF(AB152&gt;AC152*1.05,AB152-AC152*1.05,IF(AB152&lt;AC152*0.95,AC152*0.95-AB152,0))</f>
        <v/>
      </c>
      <c r="AE152" s="34">
        <f>MAX(F152,G152,750)*0.05*AD152</f>
        <v/>
      </c>
      <c r="AF152" s="34" t="n">
        <v>0</v>
      </c>
      <c r="AG152" s="34">
        <f>IF(AB152&gt;AF152*1.05,AB152-AF152*1.05,IF(AB152&lt;AF152*0.95,AF152*0.95-AB152,0))</f>
        <v/>
      </c>
      <c r="AH152" s="34">
        <f>MAX(I152,J152,750)*0.05*AG152</f>
        <v/>
      </c>
      <c r="AI152" t="n">
        <v>8.16</v>
      </c>
      <c r="AJ152" t="n">
        <v>8</v>
      </c>
      <c r="AK152" s="34">
        <f>IF(AI152&gt;AJ152*1.05,AI152-AJ152*1.05,IF(AI152&lt;AJ152*0.95,AJ152*0.95-AI152,0))</f>
        <v/>
      </c>
      <c r="AL152" s="34">
        <f>MAX(F152,G152,750)*0.05*AK152</f>
        <v/>
      </c>
      <c r="AM152" s="39" t="n">
        <v>8</v>
      </c>
      <c r="AN152" s="34">
        <f>IF(AI152&gt;AM152*1.05,AI152-AM152*1.05,IF(AI152&lt;AM152*0.95,AM152*0.95-AI152,0))</f>
        <v/>
      </c>
      <c r="AO152" s="34">
        <f>MAX(F152,G152,750)*0.05*AN152</f>
        <v/>
      </c>
      <c r="AP152" s="34" t="n">
        <v>12.27</v>
      </c>
      <c r="AQ152" s="34" t="n">
        <v>11</v>
      </c>
      <c r="AR152" s="34">
        <f>IF(AP152&gt;AQ152*1.05,AP152-AQ152*1.05,IF(AP152&lt;AQ152*0.95,AQ152*0.95-AP152,0))</f>
        <v/>
      </c>
      <c r="AS152" s="34">
        <f>MAX(F152:G152,750)*0.05*AR152</f>
        <v/>
      </c>
      <c r="AT152" t="n">
        <v>12</v>
      </c>
      <c r="AU152" s="34">
        <f>IF(AP152&gt;AT152*1.05,AP152-AT152*1.05,IF(AP152&lt;AT152*0.95,AT152*0.95-AP152,0))</f>
        <v/>
      </c>
      <c r="AV152" s="34">
        <f>MAX(F152:G152,750)*0.05*AU152</f>
        <v/>
      </c>
      <c r="AW152" s="34">
        <f>AC152+AJ152+AQ152</f>
        <v/>
      </c>
      <c r="AX152" s="34">
        <f>AF152+AM152+AT152</f>
        <v/>
      </c>
      <c r="AY152" s="34">
        <f>AB152+AI152+AP152</f>
        <v/>
      </c>
      <c r="AZ152" s="34" t="n">
        <v>0</v>
      </c>
      <c r="BA152" s="34">
        <f>AD152+AK152+AR152</f>
        <v/>
      </c>
      <c r="BB152" s="34">
        <f>MAX(F152:G152,750)*0.05*BA152</f>
        <v/>
      </c>
      <c r="BC152" s="34">
        <f>AG152+AN152+AU152</f>
        <v/>
      </c>
      <c r="BD152" s="34">
        <f>MAX(F152:G152,750)*0.05*BC152</f>
        <v/>
      </c>
      <c r="BE152" s="34">
        <f>F152*AY152</f>
        <v/>
      </c>
      <c r="BF152" s="34">
        <f>K152-M152</f>
        <v/>
      </c>
      <c r="BG152" s="34">
        <f>P152-S152</f>
        <v/>
      </c>
      <c r="BH152" s="34">
        <f>W152-AA152</f>
        <v/>
      </c>
      <c r="BI152" s="34">
        <f>BF152+BG152+BL152-BN152</f>
        <v/>
      </c>
      <c r="BJ152" s="34">
        <f>ABS(BK152)</f>
        <v/>
      </c>
      <c r="BK152" s="34">
        <f>AY152-(J152-L152+N152-Q152)</f>
        <v/>
      </c>
      <c r="BL152" s="34">
        <f>IF(AND(BK152&gt;0,MIN($F152:$G152)&lt;150,$E152="Enerji Açığı"),-100*BK152*1.03,IF(AND(BK152&gt;0,MIN($F152:$G152)&lt;150,$E152="Enerji Fazlası"),-100*BK152*1.06,IF(AND(BK152&gt;0,MIN($F152:$G152)&gt;=150,$E152="Enerji Açığı"),BK152*MIN($F152:$G152)*0.97,IF(AND(BK152&gt;0,MIN($F152:$G152)&gt;=150,$E152="Enerji Fazlası"),BK152*MIN($F152:$G152)*0.94,IF(AND(BK152&lt;0,MAX($F152:$G152)=4500,$E152="Enerji Açığı"),4500*1.05*1.06*BK152,IF(AND(BK152&lt;0,MAX($F152:$G152)=4500,$E152="Enerji Fazlası"),4500*1.05*1.03*BK152,IF(AND(BK152&lt;0,$E152="Enerji Açığı"),MAX($F152,$G152,150)*BK152*1.06,IF(AND(BK152&lt;0,$E152="Enerji Fazlası"),MAX($F152,$G152,150)*BK152*1.03,IF(AND(BK152&lt;0,$E152="Dengede"),MAX($F152:$G152,150)*1.03*BK152,MIN($F152:$G152)*0.97*BK152)))))))))</f>
        <v/>
      </c>
      <c r="BM152" s="34">
        <f>BE152-BI152-BN152</f>
        <v/>
      </c>
      <c r="BN152" s="34">
        <f>BB152</f>
        <v/>
      </c>
      <c r="BO152" s="34">
        <f>BE152-BI152</f>
        <v/>
      </c>
      <c r="BP152" s="34">
        <f>IF(AY152=0,0,BO152/AY152)</f>
        <v/>
      </c>
      <c r="BQ152" s="34">
        <f>MAX((AY152+MAX((-J152+L152-N152+Q152),0)),(MAX((J152-L152+N152-Q152),0)))</f>
        <v/>
      </c>
      <c r="BR152" s="82">
        <f>IFERROR(ABS(BK152/BQ152),0)</f>
        <v/>
      </c>
      <c r="BS152" s="34">
        <f>IF(BR152&lt;=0.1,0,BK152/BR152*(BR152-0.1))</f>
        <v/>
      </c>
      <c r="BT152" s="34">
        <f>IF((BS152)&lt;0,MAX(F152:G152)*(BS152)*1.03,MIN(F152:G152)*(BS152)*0.97)</f>
        <v/>
      </c>
      <c r="BU152" s="34">
        <f>IF(BR152&gt;0.1,1,0)</f>
        <v/>
      </c>
      <c r="BV152" s="34">
        <f>BF152+BG152+BH152+BY152-CA152</f>
        <v/>
      </c>
      <c r="BW152" s="34">
        <f>ABS(BX152)</f>
        <v/>
      </c>
      <c r="BX152" s="34">
        <f>AY152-(J152-L152+N152-Q152+T152-X152)</f>
        <v/>
      </c>
      <c r="BY152" s="34">
        <f>IF(AND(BX152&gt;0,MIN($F152:$G152)&lt;150,$E152="Enerji Açığı"),-100*BX152*1.03,IF(AND(BX152&gt;0,MIN($F152:$G152)&lt;150,$E152="Enerji Fazlası"),-100*BX152*1.06,IF(AND(BX152&gt;0,MIN($F152:$G152)&gt;=150,$E152="Enerji Açığı"),BX152*MIN($F152:$G152)*0.97,IF(AND(BX152&gt;0,MIN($F152:$G152)&gt;=150,$E152="Enerji Fazlası"),BX152*MIN($F152:$G152)*0.94,IF(AND(BX152&lt;0,MAX($F152:$G152)=4500,$E152="Enerji Açığı"),4500*1.05*1.06*BX152,IF(AND(BX152&lt;0,MAX($F152:$G152)=4500,$E152="Enerji Fazlası"),4500*1.05*1.03*BX152,IF(AND(BX152&lt;0,$E152="Enerji Açığı"),MAX($F152,$G152,150)*BX152*1.06,IF(AND(BX152&lt;0,$E152="Enerji Fazlası"),MAX($F152,$G152,150)*BX152*1.03,IF(AND(BX152&lt;0,$E152="Dengede"),MAX($F152:$G152,150)*1.03*BX152,MIN($F152:$G152)*0.97*BX152)))))))))</f>
        <v/>
      </c>
      <c r="BZ152" s="34">
        <f>BE152-BV152-CA152</f>
        <v/>
      </c>
      <c r="CA152" s="34">
        <f>BD152</f>
        <v/>
      </c>
      <c r="CB152" s="33">
        <f>BE152-BV152</f>
        <v/>
      </c>
      <c r="CC152" s="34">
        <f>IF(AY152=0,0,CB152/AY152)</f>
        <v/>
      </c>
      <c r="CD152" s="34">
        <f>MAX((AY152+MAX((-J152+L152-N152+Q152-T152+X152),0)),(MAX((J152-L152+N152-Q152+T152-X152),0)))</f>
        <v/>
      </c>
      <c r="CE152" s="82">
        <f>IFERROR(ABS(BX152/CD152),0)</f>
        <v/>
      </c>
      <c r="CF152" s="34">
        <f>IF(CE152&lt;=0.1,0,BX152/CE152*(CE152-0.1))</f>
        <v/>
      </c>
      <c r="CG152" s="34">
        <f>IF((CF152)&lt;0,MAX(F152:G152)*(CF152)*1.03,MIN(F152:G152)*(CF152)*0.97)</f>
        <v/>
      </c>
      <c r="CH152" s="34">
        <f>IF(CE152&gt;0.1,1,0)</f>
        <v/>
      </c>
      <c r="CI152" s="34">
        <f>(F152*BX152)-BY152</f>
        <v/>
      </c>
      <c r="CJ152" s="34">
        <f>IF(AY152=0,0,CI152/AY152)</f>
        <v/>
      </c>
    </row>
    <row r="153">
      <c r="A153" s="29" t="n">
        <v>46210.25</v>
      </c>
      <c r="B153" s="29" t="inlineStr">
        <is>
          <t>06:00</t>
        </is>
      </c>
      <c r="C153" s="35">
        <f>INT(A153)</f>
        <v/>
      </c>
      <c r="D153" s="36">
        <f>MONTH(A153)</f>
        <v/>
      </c>
      <c r="E153" s="147" t="inlineStr">
        <is>
          <t>Enerji Fazlası</t>
        </is>
      </c>
      <c r="F153" s="30" t="n">
        <v>1999.99</v>
      </c>
      <c r="G153" s="30" t="n">
        <v>500</v>
      </c>
      <c r="H153" s="30" t="n">
        <v>42.89</v>
      </c>
      <c r="I153" s="30" t="n">
        <v>1277.72</v>
      </c>
      <c r="J153" s="119" t="n">
        <v>0</v>
      </c>
      <c r="K153" s="34">
        <f>F153*J153</f>
        <v/>
      </c>
      <c r="L153" s="119" t="n">
        <v>0</v>
      </c>
      <c r="M153" s="34">
        <f>L153*F153</f>
        <v/>
      </c>
      <c r="N153" s="119" t="n">
        <v>19.2</v>
      </c>
      <c r="O153" s="34">
        <f>F153</f>
        <v/>
      </c>
      <c r="P153" s="34">
        <f>N153*O153</f>
        <v/>
      </c>
      <c r="Q153" s="117" t="n">
        <v>0</v>
      </c>
      <c r="R153" s="34">
        <f>F153</f>
        <v/>
      </c>
      <c r="S153" s="34">
        <f>R153*Q153</f>
        <v/>
      </c>
      <c r="T153" s="34" t="n"/>
      <c r="U153" s="34">
        <f>IFERROR(W153/T153,0)</f>
        <v/>
      </c>
      <c r="V153" s="34">
        <f>IF(U153=0,0,U153-F153)</f>
        <v/>
      </c>
      <c r="W153" s="34" t="n"/>
      <c r="X153" s="34" t="n"/>
      <c r="Y153" s="34">
        <f>IFERROR(AA153/X153,0)</f>
        <v/>
      </c>
      <c r="Z153" s="34">
        <f>IF(Y153=0,0,F153-Y153)</f>
        <v/>
      </c>
      <c r="AA153" s="34" t="n"/>
      <c r="AB153" s="34" t="n">
        <v>0</v>
      </c>
      <c r="AC153" s="34" t="n">
        <v>0</v>
      </c>
      <c r="AD153" s="34">
        <f>IF(AB153&gt;AC153*1.05,AB153-AC153*1.05,IF(AB153&lt;AC153*0.95,AC153*0.95-AB153,0))</f>
        <v/>
      </c>
      <c r="AE153" s="34">
        <f>MAX(F153,G153,750)*0.05*AD153</f>
        <v/>
      </c>
      <c r="AF153" s="34" t="n">
        <v>0</v>
      </c>
      <c r="AG153" s="34">
        <f>IF(AB153&gt;AF153*1.05,AB153-AF153*1.05,IF(AB153&lt;AF153*0.95,AF153*0.95-AB153,0))</f>
        <v/>
      </c>
      <c r="AH153" s="34">
        <f>MAX(I153,J153,750)*0.05*AG153</f>
        <v/>
      </c>
      <c r="AI153" t="n">
        <v>9.25</v>
      </c>
      <c r="AJ153" t="n">
        <v>8</v>
      </c>
      <c r="AK153" s="34">
        <f>IF(AI153&gt;AJ153*1.05,AI153-AJ153*1.05,IF(AI153&lt;AJ153*0.95,AJ153*0.95-AI153,0))</f>
        <v/>
      </c>
      <c r="AL153" s="34">
        <f>MAX(F153,G153,750)*0.05*AK153</f>
        <v/>
      </c>
      <c r="AM153" s="39" t="n">
        <v>9</v>
      </c>
      <c r="AN153" s="34">
        <f>IF(AI153&gt;AM153*1.05,AI153-AM153*1.05,IF(AI153&lt;AM153*0.95,AM153*0.95-AI153,0))</f>
        <v/>
      </c>
      <c r="AO153" s="34">
        <f>MAX(F153,G153,750)*0.05*AN153</f>
        <v/>
      </c>
      <c r="AP153" s="34" t="n">
        <v>12.4</v>
      </c>
      <c r="AQ153" s="34" t="n">
        <v>11.2</v>
      </c>
      <c r="AR153" s="34">
        <f>IF(AP153&gt;AQ153*1.05,AP153-AQ153*1.05,IF(AP153&lt;AQ153*0.95,AQ153*0.95-AP153,0))</f>
        <v/>
      </c>
      <c r="AS153" s="34">
        <f>MAX(F153:G153,750)*0.05*AR153</f>
        <v/>
      </c>
      <c r="AT153" t="n">
        <v>12.2</v>
      </c>
      <c r="AU153" s="34">
        <f>IF(AP153&gt;AT153*1.05,AP153-AT153*1.05,IF(AP153&lt;AT153*0.95,AT153*0.95-AP153,0))</f>
        <v/>
      </c>
      <c r="AV153" s="34">
        <f>MAX(F153:G153,750)*0.05*AU153</f>
        <v/>
      </c>
      <c r="AW153" s="34">
        <f>AC153+AJ153+AQ153</f>
        <v/>
      </c>
      <c r="AX153" s="34">
        <f>AF153+AM153+AT153</f>
        <v/>
      </c>
      <c r="AY153" s="34">
        <f>AB153+AI153+AP153</f>
        <v/>
      </c>
      <c r="AZ153" s="34" t="n">
        <v>0</v>
      </c>
      <c r="BA153" s="34">
        <f>AD153+AK153+AR153</f>
        <v/>
      </c>
      <c r="BB153" s="34">
        <f>MAX(F153:G153,750)*0.05*BA153</f>
        <v/>
      </c>
      <c r="BC153" s="34">
        <f>AG153+AN153+AU153</f>
        <v/>
      </c>
      <c r="BD153" s="34">
        <f>MAX(F153:G153,750)*0.05*BC153</f>
        <v/>
      </c>
      <c r="BE153" s="34">
        <f>F153*AY153</f>
        <v/>
      </c>
      <c r="BF153" s="34">
        <f>K153-M153</f>
        <v/>
      </c>
      <c r="BG153" s="34">
        <f>P153-S153</f>
        <v/>
      </c>
      <c r="BH153" s="34">
        <f>W153-AA153</f>
        <v/>
      </c>
      <c r="BI153" s="34">
        <f>BF153+BG153+BL153-BN153</f>
        <v/>
      </c>
      <c r="BJ153" s="34">
        <f>ABS(BK153)</f>
        <v/>
      </c>
      <c r="BK153" s="34">
        <f>AY153-(J153-L153+N153-Q153)</f>
        <v/>
      </c>
      <c r="BL153" s="34">
        <f>IF(AND(BK153&gt;0,MIN($F153:$G153)&lt;150,$E153="Enerji Açığı"),-100*BK153*1.03,IF(AND(BK153&gt;0,MIN($F153:$G153)&lt;150,$E153="Enerji Fazlası"),-100*BK153*1.06,IF(AND(BK153&gt;0,MIN($F153:$G153)&gt;=150,$E153="Enerji Açığı"),BK153*MIN($F153:$G153)*0.97,IF(AND(BK153&gt;0,MIN($F153:$G153)&gt;=150,$E153="Enerji Fazlası"),BK153*MIN($F153:$G153)*0.94,IF(AND(BK153&lt;0,MAX($F153:$G153)=4500,$E153="Enerji Açığı"),4500*1.05*1.06*BK153,IF(AND(BK153&lt;0,MAX($F153:$G153)=4500,$E153="Enerji Fazlası"),4500*1.05*1.03*BK153,IF(AND(BK153&lt;0,$E153="Enerji Açığı"),MAX($F153,$G153,150)*BK153*1.06,IF(AND(BK153&lt;0,$E153="Enerji Fazlası"),MAX($F153,$G153,150)*BK153*1.03,IF(AND(BK153&lt;0,$E153="Dengede"),MAX($F153:$G153,150)*1.03*BK153,MIN($F153:$G153)*0.97*BK153)))))))))</f>
        <v/>
      </c>
      <c r="BM153" s="34">
        <f>BE153-BI153-BN153</f>
        <v/>
      </c>
      <c r="BN153" s="34">
        <f>BB153</f>
        <v/>
      </c>
      <c r="BO153" s="34">
        <f>BE153-BI153</f>
        <v/>
      </c>
      <c r="BP153" s="34">
        <f>IF(AY153=0,0,BO153/AY153)</f>
        <v/>
      </c>
      <c r="BQ153" s="34">
        <f>MAX((AY153+MAX((-J153+L153-N153+Q153),0)),(MAX((J153-L153+N153-Q153),0)))</f>
        <v/>
      </c>
      <c r="BR153" s="82">
        <f>IFERROR(ABS(BK153/BQ153),0)</f>
        <v/>
      </c>
      <c r="BS153" s="34">
        <f>IF(BR153&lt;=0.1,0,BK153/BR153*(BR153-0.1))</f>
        <v/>
      </c>
      <c r="BT153" s="34">
        <f>IF((BS153)&lt;0,MAX(F153:G153)*(BS153)*1.03,MIN(F153:G153)*(BS153)*0.97)</f>
        <v/>
      </c>
      <c r="BU153" s="34">
        <f>IF(BR153&gt;0.1,1,0)</f>
        <v/>
      </c>
      <c r="BV153" s="34">
        <f>BF153+BG153+BH153+BY153-CA153</f>
        <v/>
      </c>
      <c r="BW153" s="34">
        <f>ABS(BX153)</f>
        <v/>
      </c>
      <c r="BX153" s="34">
        <f>AY153-(J153-L153+N153-Q153+T153-X153)</f>
        <v/>
      </c>
      <c r="BY153" s="34">
        <f>IF(AND(BX153&gt;0,MIN($F153:$G153)&lt;150,$E153="Enerji Açığı"),-100*BX153*1.03,IF(AND(BX153&gt;0,MIN($F153:$G153)&lt;150,$E153="Enerji Fazlası"),-100*BX153*1.06,IF(AND(BX153&gt;0,MIN($F153:$G153)&gt;=150,$E153="Enerji Açığı"),BX153*MIN($F153:$G153)*0.97,IF(AND(BX153&gt;0,MIN($F153:$G153)&gt;=150,$E153="Enerji Fazlası"),BX153*MIN($F153:$G153)*0.94,IF(AND(BX153&lt;0,MAX($F153:$G153)=4500,$E153="Enerji Açığı"),4500*1.05*1.06*BX153,IF(AND(BX153&lt;0,MAX($F153:$G153)=4500,$E153="Enerji Fazlası"),4500*1.05*1.03*BX153,IF(AND(BX153&lt;0,$E153="Enerji Açığı"),MAX($F153,$G153,150)*BX153*1.06,IF(AND(BX153&lt;0,$E153="Enerji Fazlası"),MAX($F153,$G153,150)*BX153*1.03,IF(AND(BX153&lt;0,$E153="Dengede"),MAX($F153:$G153,150)*1.03*BX153,MIN($F153:$G153)*0.97*BX153)))))))))</f>
        <v/>
      </c>
      <c r="BZ153" s="34">
        <f>BE153-BV153-CA153</f>
        <v/>
      </c>
      <c r="CA153" s="34">
        <f>BD153</f>
        <v/>
      </c>
      <c r="CB153" s="33">
        <f>BE153-BV153</f>
        <v/>
      </c>
      <c r="CC153" s="34">
        <f>IF(AY153=0,0,CB153/AY153)</f>
        <v/>
      </c>
      <c r="CD153" s="34">
        <f>MAX((AY153+MAX((-J153+L153-N153+Q153-T153+X153),0)),(MAX((J153-L153+N153-Q153+T153-X153),0)))</f>
        <v/>
      </c>
      <c r="CE153" s="82">
        <f>IFERROR(ABS(BX153/CD153),0)</f>
        <v/>
      </c>
      <c r="CF153" s="34">
        <f>IF(CE153&lt;=0.1,0,BX153/CE153*(CE153-0.1))</f>
        <v/>
      </c>
      <c r="CG153" s="34">
        <f>IF((CF153)&lt;0,MAX(F153:G153)*(CF153)*1.03,MIN(F153:G153)*(CF153)*0.97)</f>
        <v/>
      </c>
      <c r="CH153" s="34">
        <f>IF(CE153&gt;0.1,1,0)</f>
        <v/>
      </c>
      <c r="CI153" s="34">
        <f>(F153*BX153)-BY153</f>
        <v/>
      </c>
      <c r="CJ153" s="34">
        <f>IF(AY153=0,0,CI153/AY153)</f>
        <v/>
      </c>
    </row>
    <row r="154">
      <c r="A154" s="29" t="n">
        <v>46210.29166666666</v>
      </c>
      <c r="B154" s="29" t="inlineStr">
        <is>
          <t>07:00</t>
        </is>
      </c>
      <c r="C154" s="35">
        <f>INT(A154)</f>
        <v/>
      </c>
      <c r="D154" s="36">
        <f>MONTH(A154)</f>
        <v/>
      </c>
      <c r="E154" s="147" t="inlineStr">
        <is>
          <t>Enerji Fazlası</t>
        </is>
      </c>
      <c r="F154" s="30" t="n">
        <v>1275</v>
      </c>
      <c r="G154" s="30" t="n">
        <v>200</v>
      </c>
      <c r="H154" s="30" t="n">
        <v>27.34</v>
      </c>
      <c r="I154" s="30" t="n">
        <v>802.12</v>
      </c>
      <c r="J154" s="119" t="n">
        <v>0</v>
      </c>
      <c r="K154" s="34">
        <f>F154*J154</f>
        <v/>
      </c>
      <c r="L154" s="119" t="n">
        <v>0</v>
      </c>
      <c r="M154" s="34">
        <f>L154*F154</f>
        <v/>
      </c>
      <c r="N154" s="119" t="n">
        <v>19.4</v>
      </c>
      <c r="O154" s="34">
        <f>F154</f>
        <v/>
      </c>
      <c r="P154" s="34">
        <f>N154*O154</f>
        <v/>
      </c>
      <c r="Q154" s="117" t="n">
        <v>0</v>
      </c>
      <c r="R154" s="34">
        <f>F154</f>
        <v/>
      </c>
      <c r="S154" s="34">
        <f>R154*Q154</f>
        <v/>
      </c>
      <c r="T154" s="34" t="n"/>
      <c r="U154" s="34">
        <f>IFERROR(W154/T154,0)</f>
        <v/>
      </c>
      <c r="V154" s="34">
        <f>IF(U154=0,0,U154-F154)</f>
        <v/>
      </c>
      <c r="W154" s="34" t="n"/>
      <c r="X154" s="34" t="n"/>
      <c r="Y154" s="34">
        <f>IFERROR(AA154/X154,0)</f>
        <v/>
      </c>
      <c r="Z154" s="34">
        <f>IF(Y154=0,0,F154-Y154)</f>
        <v/>
      </c>
      <c r="AA154" s="34" t="n"/>
      <c r="AB154" s="34" t="n">
        <v>0</v>
      </c>
      <c r="AC154" s="34" t="n">
        <v>0</v>
      </c>
      <c r="AD154" s="34">
        <f>IF(AB154&gt;AC154*1.05,AB154-AC154*1.05,IF(AB154&lt;AC154*0.95,AC154*0.95-AB154,0))</f>
        <v/>
      </c>
      <c r="AE154" s="34">
        <f>MAX(F154,G154,750)*0.05*AD154</f>
        <v/>
      </c>
      <c r="AF154" s="34" t="n">
        <v>0</v>
      </c>
      <c r="AG154" s="34">
        <f>IF(AB154&gt;AF154*1.05,AB154-AF154*1.05,IF(AB154&lt;AF154*0.95,AF154*0.95-AB154,0))</f>
        <v/>
      </c>
      <c r="AH154" s="34">
        <f>MAX(I154,J154,750)*0.05*AG154</f>
        <v/>
      </c>
      <c r="AI154" t="n">
        <v>9.18</v>
      </c>
      <c r="AJ154" t="n">
        <v>8</v>
      </c>
      <c r="AK154" s="34">
        <f>IF(AI154&gt;AJ154*1.05,AI154-AJ154*1.05,IF(AI154&lt;AJ154*0.95,AJ154*0.95-AI154,0))</f>
        <v/>
      </c>
      <c r="AL154" s="34">
        <f>MAX(F154,G154,750)*0.05*AK154</f>
        <v/>
      </c>
      <c r="AM154" s="39" t="n">
        <v>9</v>
      </c>
      <c r="AN154" s="34">
        <f>IF(AI154&gt;AM154*1.05,AI154-AM154*1.05,IF(AI154&lt;AM154*0.95,AM154*0.95-AI154,0))</f>
        <v/>
      </c>
      <c r="AO154" s="34">
        <f>MAX(F154,G154,750)*0.05*AN154</f>
        <v/>
      </c>
      <c r="AP154" s="34" t="n">
        <v>12.55</v>
      </c>
      <c r="AQ154" s="34" t="n">
        <v>11.4</v>
      </c>
      <c r="AR154" s="34">
        <f>IF(AP154&gt;AQ154*1.05,AP154-AQ154*1.05,IF(AP154&lt;AQ154*0.95,AQ154*0.95-AP154,0))</f>
        <v/>
      </c>
      <c r="AS154" s="34">
        <f>MAX(F154:G154,750)*0.05*AR154</f>
        <v/>
      </c>
      <c r="AT154" t="n">
        <v>12.4</v>
      </c>
      <c r="AU154" s="34">
        <f>IF(AP154&gt;AT154*1.05,AP154-AT154*1.05,IF(AP154&lt;AT154*0.95,AT154*0.95-AP154,0))</f>
        <v/>
      </c>
      <c r="AV154" s="34">
        <f>MAX(F154:G154,750)*0.05*AU154</f>
        <v/>
      </c>
      <c r="AW154" s="34">
        <f>AC154+AJ154+AQ154</f>
        <v/>
      </c>
      <c r="AX154" s="34">
        <f>AF154+AM154+AT154</f>
        <v/>
      </c>
      <c r="AY154" s="34">
        <f>AB154+AI154+AP154</f>
        <v/>
      </c>
      <c r="AZ154" s="34" t="n">
        <v>0</v>
      </c>
      <c r="BA154" s="34">
        <f>AD154+AK154+AR154</f>
        <v/>
      </c>
      <c r="BB154" s="34">
        <f>MAX(F154:G154,750)*0.05*BA154</f>
        <v/>
      </c>
      <c r="BC154" s="34">
        <f>AG154+AN154+AU154</f>
        <v/>
      </c>
      <c r="BD154" s="34">
        <f>MAX(F154:G154,750)*0.05*BC154</f>
        <v/>
      </c>
      <c r="BE154" s="34">
        <f>F154*AY154</f>
        <v/>
      </c>
      <c r="BF154" s="34">
        <f>K154-M154</f>
        <v/>
      </c>
      <c r="BG154" s="34">
        <f>P154-S154</f>
        <v/>
      </c>
      <c r="BH154" s="34">
        <f>W154-AA154</f>
        <v/>
      </c>
      <c r="BI154" s="34">
        <f>BF154+BG154+BL154-BN154</f>
        <v/>
      </c>
      <c r="BJ154" s="34">
        <f>ABS(BK154)</f>
        <v/>
      </c>
      <c r="BK154" s="34">
        <f>AY154-(J154-L154+N154-Q154)</f>
        <v/>
      </c>
      <c r="BL154" s="34">
        <f>IF(AND(BK154&gt;0,MIN($F154:$G154)&lt;150,$E154="Enerji Açığı"),-100*BK154*1.03,IF(AND(BK154&gt;0,MIN($F154:$G154)&lt;150,$E154="Enerji Fazlası"),-100*BK154*1.06,IF(AND(BK154&gt;0,MIN($F154:$G154)&gt;=150,$E154="Enerji Açığı"),BK154*MIN($F154:$G154)*0.97,IF(AND(BK154&gt;0,MIN($F154:$G154)&gt;=150,$E154="Enerji Fazlası"),BK154*MIN($F154:$G154)*0.94,IF(AND(BK154&lt;0,MAX($F154:$G154)=4500,$E154="Enerji Açığı"),4500*1.05*1.06*BK154,IF(AND(BK154&lt;0,MAX($F154:$G154)=4500,$E154="Enerji Fazlası"),4500*1.05*1.03*BK154,IF(AND(BK154&lt;0,$E154="Enerji Açığı"),MAX($F154,$G154,150)*BK154*1.06,IF(AND(BK154&lt;0,$E154="Enerji Fazlası"),MAX($F154,$G154,150)*BK154*1.03,IF(AND(BK154&lt;0,$E154="Dengede"),MAX($F154:$G154,150)*1.03*BK154,MIN($F154:$G154)*0.97*BK154)))))))))</f>
        <v/>
      </c>
      <c r="BM154" s="34">
        <f>BE154-BI154-BN154</f>
        <v/>
      </c>
      <c r="BN154" s="34">
        <f>BB154</f>
        <v/>
      </c>
      <c r="BO154" s="34">
        <f>BE154-BI154</f>
        <v/>
      </c>
      <c r="BP154" s="34">
        <f>IF(AY154=0,0,BO154/AY154)</f>
        <v/>
      </c>
      <c r="BQ154" s="34">
        <f>MAX((AY154+MAX((-J154+L154-N154+Q154),0)),(MAX((J154-L154+N154-Q154),0)))</f>
        <v/>
      </c>
      <c r="BR154" s="82">
        <f>IFERROR(ABS(BK154/BQ154),0)</f>
        <v/>
      </c>
      <c r="BS154" s="34">
        <f>IF(BR154&lt;=0.1,0,BK154/BR154*(BR154-0.1))</f>
        <v/>
      </c>
      <c r="BT154" s="34">
        <f>IF((BS154)&lt;0,MAX(F154:G154)*(BS154)*1.03,MIN(F154:G154)*(BS154)*0.97)</f>
        <v/>
      </c>
      <c r="BU154" s="34">
        <f>IF(BR154&gt;0.1,1,0)</f>
        <v/>
      </c>
      <c r="BV154" s="34">
        <f>BF154+BG154+BH154+BY154-CA154</f>
        <v/>
      </c>
      <c r="BW154" s="34">
        <f>ABS(BX154)</f>
        <v/>
      </c>
      <c r="BX154" s="34">
        <f>AY154-(J154-L154+N154-Q154+T154-X154)</f>
        <v/>
      </c>
      <c r="BY154" s="34">
        <f>IF(AND(BX154&gt;0,MIN($F154:$G154)&lt;150,$E154="Enerji Açığı"),-100*BX154*1.03,IF(AND(BX154&gt;0,MIN($F154:$G154)&lt;150,$E154="Enerji Fazlası"),-100*BX154*1.06,IF(AND(BX154&gt;0,MIN($F154:$G154)&gt;=150,$E154="Enerji Açığı"),BX154*MIN($F154:$G154)*0.97,IF(AND(BX154&gt;0,MIN($F154:$G154)&gt;=150,$E154="Enerji Fazlası"),BX154*MIN($F154:$G154)*0.94,IF(AND(BX154&lt;0,MAX($F154:$G154)=4500,$E154="Enerji Açığı"),4500*1.05*1.06*BX154,IF(AND(BX154&lt;0,MAX($F154:$G154)=4500,$E154="Enerji Fazlası"),4500*1.05*1.03*BX154,IF(AND(BX154&lt;0,$E154="Enerji Açığı"),MAX($F154,$G154,150)*BX154*1.06,IF(AND(BX154&lt;0,$E154="Enerji Fazlası"),MAX($F154,$G154,150)*BX154*1.03,IF(AND(BX154&lt;0,$E154="Dengede"),MAX($F154:$G154,150)*1.03*BX154,MIN($F154:$G154)*0.97*BX154)))))))))</f>
        <v/>
      </c>
      <c r="BZ154" s="34">
        <f>BE154-BV154-CA154</f>
        <v/>
      </c>
      <c r="CA154" s="34">
        <f>BD154</f>
        <v/>
      </c>
      <c r="CB154" s="33">
        <f>BE154-BV154</f>
        <v/>
      </c>
      <c r="CC154" s="34">
        <f>IF(AY154=0,0,CB154/AY154)</f>
        <v/>
      </c>
      <c r="CD154" s="34">
        <f>MAX((AY154+MAX((-J154+L154-N154+Q154-T154+X154),0)),(MAX((J154-L154+N154-Q154+T154-X154),0)))</f>
        <v/>
      </c>
      <c r="CE154" s="82">
        <f>IFERROR(ABS(BX154/CD154),0)</f>
        <v/>
      </c>
      <c r="CF154" s="34">
        <f>IF(CE154&lt;=0.1,0,BX154/CE154*(CE154-0.1))</f>
        <v/>
      </c>
      <c r="CG154" s="34">
        <f>IF((CF154)&lt;0,MAX(F154:G154)*(CF154)*1.03,MIN(F154:G154)*(CF154)*0.97)</f>
        <v/>
      </c>
      <c r="CH154" s="34">
        <f>IF(CE154&gt;0.1,1,0)</f>
        <v/>
      </c>
      <c r="CI154" s="34">
        <f>(F154*BX154)-BY154</f>
        <v/>
      </c>
      <c r="CJ154" s="34">
        <f>IF(AY154=0,0,CI154/AY154)</f>
        <v/>
      </c>
    </row>
    <row r="155">
      <c r="A155" s="29" t="n">
        <v>46210.33333333334</v>
      </c>
      <c r="B155" s="29" t="inlineStr">
        <is>
          <t>08:00</t>
        </is>
      </c>
      <c r="C155" s="35">
        <f>INT(A155)</f>
        <v/>
      </c>
      <c r="D155" s="36">
        <f>MONTH(A155)</f>
        <v/>
      </c>
      <c r="E155" s="147" t="inlineStr">
        <is>
          <t>Enerji Fazlası</t>
        </is>
      </c>
      <c r="F155" s="30" t="n">
        <v>2718.55</v>
      </c>
      <c r="G155" s="30" t="n">
        <v>490</v>
      </c>
      <c r="H155" s="30" t="n">
        <v>58.3</v>
      </c>
      <c r="I155" s="30" t="n">
        <v>1872.89</v>
      </c>
      <c r="J155" s="119" t="n">
        <v>0</v>
      </c>
      <c r="K155" s="34">
        <f>F155*J155</f>
        <v/>
      </c>
      <c r="L155" s="119" t="n">
        <v>0</v>
      </c>
      <c r="M155" s="34">
        <f>L155*F155</f>
        <v/>
      </c>
      <c r="N155" s="119" t="n">
        <v>20.8</v>
      </c>
      <c r="O155" s="34">
        <f>F155</f>
        <v/>
      </c>
      <c r="P155" s="34">
        <f>N155*O155</f>
        <v/>
      </c>
      <c r="Q155" s="117" t="n">
        <v>0</v>
      </c>
      <c r="R155" s="34">
        <f>F155</f>
        <v/>
      </c>
      <c r="S155" s="34">
        <f>R155*Q155</f>
        <v/>
      </c>
      <c r="T155" s="34" t="n"/>
      <c r="U155" s="34">
        <f>IFERROR(W155/T155,0)</f>
        <v/>
      </c>
      <c r="V155" s="34">
        <f>IF(U155=0,0,U155-F155)</f>
        <v/>
      </c>
      <c r="W155" s="34" t="n"/>
      <c r="X155" s="34" t="n"/>
      <c r="Y155" s="34">
        <f>IFERROR(AA155/X155,0)</f>
        <v/>
      </c>
      <c r="Z155" s="34">
        <f>IF(Y155=0,0,F155-Y155)</f>
        <v/>
      </c>
      <c r="AA155" s="34" t="n"/>
      <c r="AB155" s="34" t="n">
        <v>0</v>
      </c>
      <c r="AC155" s="34" t="n">
        <v>0</v>
      </c>
      <c r="AD155" s="34">
        <f>IF(AB155&gt;AC155*1.05,AB155-AC155*1.05,IF(AB155&lt;AC155*0.95,AC155*0.95-AB155,0))</f>
        <v/>
      </c>
      <c r="AE155" s="34">
        <f>MAX(F155,G155,750)*0.05*AD155</f>
        <v/>
      </c>
      <c r="AF155" s="34" t="n">
        <v>0</v>
      </c>
      <c r="AG155" s="34">
        <f>IF(AB155&gt;AF155*1.05,AB155-AF155*1.05,IF(AB155&lt;AF155*0.95,AF155*0.95-AB155,0))</f>
        <v/>
      </c>
      <c r="AH155" s="34">
        <f>MAX(I155,J155,750)*0.05*AG155</f>
        <v/>
      </c>
      <c r="AI155" t="n">
        <v>9.19</v>
      </c>
      <c r="AJ155" t="n">
        <v>8</v>
      </c>
      <c r="AK155" s="34">
        <f>IF(AI155&gt;AJ155*1.05,AI155-AJ155*1.05,IF(AI155&lt;AJ155*0.95,AJ155*0.95-AI155,0))</f>
        <v/>
      </c>
      <c r="AL155" s="34">
        <f>MAX(F155,G155,750)*0.05*AK155</f>
        <v/>
      </c>
      <c r="AM155" s="39" t="n">
        <v>9</v>
      </c>
      <c r="AN155" s="34">
        <f>IF(AI155&gt;AM155*1.05,AI155-AM155*1.05,IF(AI155&lt;AM155*0.95,AM155*0.95-AI155,0))</f>
        <v/>
      </c>
      <c r="AO155" s="34">
        <f>MAX(F155,G155,750)*0.05*AN155</f>
        <v/>
      </c>
      <c r="AP155" s="34" t="n">
        <v>13.84</v>
      </c>
      <c r="AQ155" s="34" t="n">
        <v>12.8</v>
      </c>
      <c r="AR155" s="34">
        <f>IF(AP155&gt;AQ155*1.05,AP155-AQ155*1.05,IF(AP155&lt;AQ155*0.95,AQ155*0.95-AP155,0))</f>
        <v/>
      </c>
      <c r="AS155" s="34">
        <f>MAX(F155:G155,750)*0.05*AR155</f>
        <v/>
      </c>
      <c r="AT155" t="n">
        <v>12.8</v>
      </c>
      <c r="AU155" s="34">
        <f>IF(AP155&gt;AT155*1.05,AP155-AT155*1.05,IF(AP155&lt;AT155*0.95,AT155*0.95-AP155,0))</f>
        <v/>
      </c>
      <c r="AV155" s="34">
        <f>MAX(F155:G155,750)*0.05*AU155</f>
        <v/>
      </c>
      <c r="AW155" s="34">
        <f>AC155+AJ155+AQ155</f>
        <v/>
      </c>
      <c r="AX155" s="34">
        <f>AF155+AM155+AT155</f>
        <v/>
      </c>
      <c r="AY155" s="34">
        <f>AB155+AI155+AP155</f>
        <v/>
      </c>
      <c r="AZ155" s="34" t="n">
        <v>0</v>
      </c>
      <c r="BA155" s="34">
        <f>AD155+AK155+AR155</f>
        <v/>
      </c>
      <c r="BB155" s="34">
        <f>MAX(F155:G155,750)*0.05*BA155</f>
        <v/>
      </c>
      <c r="BC155" s="34">
        <f>AG155+AN155+AU155</f>
        <v/>
      </c>
      <c r="BD155" s="34">
        <f>MAX(F155:G155,750)*0.05*BC155</f>
        <v/>
      </c>
      <c r="BE155" s="34">
        <f>F155*AY155</f>
        <v/>
      </c>
      <c r="BF155" s="34">
        <f>K155-M155</f>
        <v/>
      </c>
      <c r="BG155" s="34">
        <f>P155-S155</f>
        <v/>
      </c>
      <c r="BH155" s="34">
        <f>W155-AA155</f>
        <v/>
      </c>
      <c r="BI155" s="34">
        <f>BF155+BG155+BL155-BN155</f>
        <v/>
      </c>
      <c r="BJ155" s="34">
        <f>ABS(BK155)</f>
        <v/>
      </c>
      <c r="BK155" s="34">
        <f>AY155-(J155-L155+N155-Q155)</f>
        <v/>
      </c>
      <c r="BL155" s="34">
        <f>IF(AND(BK155&gt;0,MIN($F155:$G155)&lt;150,$E155="Enerji Açığı"),-100*BK155*1.03,IF(AND(BK155&gt;0,MIN($F155:$G155)&lt;150,$E155="Enerji Fazlası"),-100*BK155*1.06,IF(AND(BK155&gt;0,MIN($F155:$G155)&gt;=150,$E155="Enerji Açığı"),BK155*MIN($F155:$G155)*0.97,IF(AND(BK155&gt;0,MIN($F155:$G155)&gt;=150,$E155="Enerji Fazlası"),BK155*MIN($F155:$G155)*0.94,IF(AND(BK155&lt;0,MAX($F155:$G155)=4500,$E155="Enerji Açığı"),4500*1.05*1.06*BK155,IF(AND(BK155&lt;0,MAX($F155:$G155)=4500,$E155="Enerji Fazlası"),4500*1.05*1.03*BK155,IF(AND(BK155&lt;0,$E155="Enerji Açığı"),MAX($F155,$G155,150)*BK155*1.06,IF(AND(BK155&lt;0,$E155="Enerji Fazlası"),MAX($F155,$G155,150)*BK155*1.03,IF(AND(BK155&lt;0,$E155="Dengede"),MAX($F155:$G155,150)*1.03*BK155,MIN($F155:$G155)*0.97*BK155)))))))))</f>
        <v/>
      </c>
      <c r="BM155" s="34">
        <f>BE155-BI155-BN155</f>
        <v/>
      </c>
      <c r="BN155" s="34">
        <f>BB155</f>
        <v/>
      </c>
      <c r="BO155" s="34">
        <f>BE155-BI155</f>
        <v/>
      </c>
      <c r="BP155" s="34">
        <f>IF(AY155=0,0,BO155/AY155)</f>
        <v/>
      </c>
      <c r="BQ155" s="34">
        <f>MAX((AY155+MAX((-J155+L155-N155+Q155),0)),(MAX((J155-L155+N155-Q155),0)))</f>
        <v/>
      </c>
      <c r="BR155" s="82">
        <f>IFERROR(ABS(BK155/BQ155),0)</f>
        <v/>
      </c>
      <c r="BS155" s="34">
        <f>IF(BR155&lt;=0.1,0,BK155/BR155*(BR155-0.1))</f>
        <v/>
      </c>
      <c r="BT155" s="34">
        <f>IF((BS155)&lt;0,MAX(F155:G155)*(BS155)*1.03,MIN(F155:G155)*(BS155)*0.97)</f>
        <v/>
      </c>
      <c r="BU155" s="34">
        <f>IF(BR155&gt;0.1,1,0)</f>
        <v/>
      </c>
      <c r="BV155" s="34">
        <f>BF155+BG155+BH155+BY155-CA155</f>
        <v/>
      </c>
      <c r="BW155" s="34">
        <f>ABS(BX155)</f>
        <v/>
      </c>
      <c r="BX155" s="34">
        <f>AY155-(J155-L155+N155-Q155+T155-X155)</f>
        <v/>
      </c>
      <c r="BY155" s="34">
        <f>IF(AND(BX155&gt;0,MIN($F155:$G155)&lt;150,$E155="Enerji Açığı"),-100*BX155*1.03,IF(AND(BX155&gt;0,MIN($F155:$G155)&lt;150,$E155="Enerji Fazlası"),-100*BX155*1.06,IF(AND(BX155&gt;0,MIN($F155:$G155)&gt;=150,$E155="Enerji Açığı"),BX155*MIN($F155:$G155)*0.97,IF(AND(BX155&gt;0,MIN($F155:$G155)&gt;=150,$E155="Enerji Fazlası"),BX155*MIN($F155:$G155)*0.94,IF(AND(BX155&lt;0,MAX($F155:$G155)=4500,$E155="Enerji Açığı"),4500*1.05*1.06*BX155,IF(AND(BX155&lt;0,MAX($F155:$G155)=4500,$E155="Enerji Fazlası"),4500*1.05*1.03*BX155,IF(AND(BX155&lt;0,$E155="Enerji Açığı"),MAX($F155,$G155,150)*BX155*1.06,IF(AND(BX155&lt;0,$E155="Enerji Fazlası"),MAX($F155,$G155,150)*BX155*1.03,IF(AND(BX155&lt;0,$E155="Dengede"),MAX($F155:$G155,150)*1.03*BX155,MIN($F155:$G155)*0.97*BX155)))))))))</f>
        <v/>
      </c>
      <c r="BZ155" s="34">
        <f>BE155-BV155-CA155</f>
        <v/>
      </c>
      <c r="CA155" s="34">
        <f>BD155</f>
        <v/>
      </c>
      <c r="CB155" s="33">
        <f>BE155-BV155</f>
        <v/>
      </c>
      <c r="CC155" s="34">
        <f>IF(AY155=0,0,CB155/AY155)</f>
        <v/>
      </c>
      <c r="CD155" s="34">
        <f>MAX((AY155+MAX((-J155+L155-N155+Q155-T155+X155),0)),(MAX((J155-L155+N155-Q155+T155-X155),0)))</f>
        <v/>
      </c>
      <c r="CE155" s="82">
        <f>IFERROR(ABS(BX155/CD155),0)</f>
        <v/>
      </c>
      <c r="CF155" s="34">
        <f>IF(CE155&lt;=0.1,0,BX155/CE155*(CE155-0.1))</f>
        <v/>
      </c>
      <c r="CG155" s="34">
        <f>IF((CF155)&lt;0,MAX(F155:G155)*(CF155)*1.03,MIN(F155:G155)*(CF155)*0.97)</f>
        <v/>
      </c>
      <c r="CH155" s="34">
        <f>IF(CE155&gt;0.1,1,0)</f>
        <v/>
      </c>
      <c r="CI155" s="34">
        <f>(F155*BX155)-BY155</f>
        <v/>
      </c>
      <c r="CJ155" s="34">
        <f>IF(AY155=0,0,CI155/AY155)</f>
        <v/>
      </c>
    </row>
    <row r="156">
      <c r="A156" s="29" t="n">
        <v>46210.375</v>
      </c>
      <c r="B156" s="29" t="inlineStr">
        <is>
          <t>09:00</t>
        </is>
      </c>
      <c r="C156" s="35">
        <f>INT(A156)</f>
        <v/>
      </c>
      <c r="D156" s="36">
        <f>MONTH(A156)</f>
        <v/>
      </c>
      <c r="E156" s="147" t="inlineStr">
        <is>
          <t>Enerji Fazlası</t>
        </is>
      </c>
      <c r="F156" s="30" t="n">
        <v>2200.01</v>
      </c>
      <c r="G156" s="30" t="n">
        <v>390</v>
      </c>
      <c r="H156" s="30" t="n">
        <v>47.18</v>
      </c>
      <c r="I156" s="30" t="n">
        <v>1659.94</v>
      </c>
      <c r="J156" s="119" t="n">
        <v>0</v>
      </c>
      <c r="K156" s="34">
        <f>F156*J156</f>
        <v/>
      </c>
      <c r="L156" s="119" t="n">
        <v>0</v>
      </c>
      <c r="M156" s="34">
        <f>L156*F156</f>
        <v/>
      </c>
      <c r="N156" s="119" t="n">
        <v>21</v>
      </c>
      <c r="O156" s="34">
        <f>F156</f>
        <v/>
      </c>
      <c r="P156" s="34">
        <f>N156*O156</f>
        <v/>
      </c>
      <c r="Q156" s="117" t="n">
        <v>0</v>
      </c>
      <c r="R156" s="34">
        <f>F156</f>
        <v/>
      </c>
      <c r="S156" s="34">
        <f>R156*Q156</f>
        <v/>
      </c>
      <c r="T156" s="34" t="n"/>
      <c r="U156" s="34">
        <f>IFERROR(W156/T156,0)</f>
        <v/>
      </c>
      <c r="V156" s="34">
        <f>IF(U156=0,0,U156-F156)</f>
        <v/>
      </c>
      <c r="W156" s="34" t="n"/>
      <c r="X156" s="34" t="n"/>
      <c r="Y156" s="34">
        <f>IFERROR(AA156/X156,0)</f>
        <v/>
      </c>
      <c r="Z156" s="34">
        <f>IF(Y156=0,0,F156-Y156)</f>
        <v/>
      </c>
      <c r="AA156" s="34" t="n"/>
      <c r="AB156" s="34" t="n">
        <v>0</v>
      </c>
      <c r="AC156" s="34" t="n">
        <v>0</v>
      </c>
      <c r="AD156" s="34">
        <f>IF(AB156&gt;AC156*1.05,AB156-AC156*1.05,IF(AB156&lt;AC156*0.95,AC156*0.95-AB156,0))</f>
        <v/>
      </c>
      <c r="AE156" s="34">
        <f>MAX(F156,G156,750)*0.05*AD156</f>
        <v/>
      </c>
      <c r="AF156" s="34" t="n">
        <v>0</v>
      </c>
      <c r="AG156" s="34">
        <f>IF(AB156&gt;AF156*1.05,AB156-AF156*1.05,IF(AB156&lt;AF156*0.95,AF156*0.95-AB156,0))</f>
        <v/>
      </c>
      <c r="AH156" s="34">
        <f>MAX(I156,J156,750)*0.05*AG156</f>
        <v/>
      </c>
      <c r="AI156" t="n">
        <v>8.289999999999999</v>
      </c>
      <c r="AJ156" t="n">
        <v>8</v>
      </c>
      <c r="AK156" s="34">
        <f>IF(AI156&gt;AJ156*1.05,AI156-AJ156*1.05,IF(AI156&lt;AJ156*0.95,AJ156*0.95-AI156,0))</f>
        <v/>
      </c>
      <c r="AL156" s="34">
        <f>MAX(F156,G156,750)*0.05*AK156</f>
        <v/>
      </c>
      <c r="AM156" s="39" t="n">
        <v>9</v>
      </c>
      <c r="AN156" s="34">
        <f>IF(AI156&gt;AM156*1.05,AI156-AM156*1.05,IF(AI156&lt;AM156*0.95,AM156*0.95-AI156,0))</f>
        <v/>
      </c>
      <c r="AO156" s="34">
        <f>MAX(F156,G156,750)*0.05*AN156</f>
        <v/>
      </c>
      <c r="AP156" s="34" t="n">
        <v>14.72</v>
      </c>
      <c r="AQ156" s="34" t="n">
        <v>13</v>
      </c>
      <c r="AR156" s="34">
        <f>IF(AP156&gt;AQ156*1.05,AP156-AQ156*1.05,IF(AP156&lt;AQ156*0.95,AQ156*0.95-AP156,0))</f>
        <v/>
      </c>
      <c r="AS156" s="34">
        <f>MAX(F156:G156,750)*0.05*AR156</f>
        <v/>
      </c>
      <c r="AT156" t="n">
        <v>14</v>
      </c>
      <c r="AU156" s="34">
        <f>IF(AP156&gt;AT156*1.05,AP156-AT156*1.05,IF(AP156&lt;AT156*0.95,AT156*0.95-AP156,0))</f>
        <v/>
      </c>
      <c r="AV156" s="34">
        <f>MAX(F156:G156,750)*0.05*AU156</f>
        <v/>
      </c>
      <c r="AW156" s="34">
        <f>AC156+AJ156+AQ156</f>
        <v/>
      </c>
      <c r="AX156" s="34">
        <f>AF156+AM156+AT156</f>
        <v/>
      </c>
      <c r="AY156" s="34">
        <f>AB156+AI156+AP156</f>
        <v/>
      </c>
      <c r="AZ156" s="34" t="n">
        <v>0</v>
      </c>
      <c r="BA156" s="34">
        <f>AD156+AK156+AR156</f>
        <v/>
      </c>
      <c r="BB156" s="34">
        <f>MAX(F156:G156,750)*0.05*BA156</f>
        <v/>
      </c>
      <c r="BC156" s="34">
        <f>AG156+AN156+AU156</f>
        <v/>
      </c>
      <c r="BD156" s="34">
        <f>MAX(F156:G156,750)*0.05*BC156</f>
        <v/>
      </c>
      <c r="BE156" s="34">
        <f>F156*AY156</f>
        <v/>
      </c>
      <c r="BF156" s="34">
        <f>K156-M156</f>
        <v/>
      </c>
      <c r="BG156" s="34">
        <f>P156-S156</f>
        <v/>
      </c>
      <c r="BH156" s="34">
        <f>W156-AA156</f>
        <v/>
      </c>
      <c r="BI156" s="34">
        <f>BF156+BG156+BL156-BN156</f>
        <v/>
      </c>
      <c r="BJ156" s="34">
        <f>ABS(BK156)</f>
        <v/>
      </c>
      <c r="BK156" s="34">
        <f>AY156-(J156-L156+N156-Q156)</f>
        <v/>
      </c>
      <c r="BL156" s="34">
        <f>IF(AND(BK156&gt;0,MIN($F156:$G156)&lt;150,$E156="Enerji Açığı"),-100*BK156*1.03,IF(AND(BK156&gt;0,MIN($F156:$G156)&lt;150,$E156="Enerji Fazlası"),-100*BK156*1.06,IF(AND(BK156&gt;0,MIN($F156:$G156)&gt;=150,$E156="Enerji Açığı"),BK156*MIN($F156:$G156)*0.97,IF(AND(BK156&gt;0,MIN($F156:$G156)&gt;=150,$E156="Enerji Fazlası"),BK156*MIN($F156:$G156)*0.94,IF(AND(BK156&lt;0,MAX($F156:$G156)=4500,$E156="Enerji Açığı"),4500*1.05*1.06*BK156,IF(AND(BK156&lt;0,MAX($F156:$G156)=4500,$E156="Enerji Fazlası"),4500*1.05*1.03*BK156,IF(AND(BK156&lt;0,$E156="Enerji Açığı"),MAX($F156,$G156,150)*BK156*1.06,IF(AND(BK156&lt;0,$E156="Enerji Fazlası"),MAX($F156,$G156,150)*BK156*1.03,IF(AND(BK156&lt;0,$E156="Dengede"),MAX($F156:$G156,150)*1.03*BK156,MIN($F156:$G156)*0.97*BK156)))))))))</f>
        <v/>
      </c>
      <c r="BM156" s="34">
        <f>BE156-BI156-BN156</f>
        <v/>
      </c>
      <c r="BN156" s="34">
        <f>BB156</f>
        <v/>
      </c>
      <c r="BO156" s="34">
        <f>BE156-BI156</f>
        <v/>
      </c>
      <c r="BP156" s="34">
        <f>IF(AY156=0,0,BO156/AY156)</f>
        <v/>
      </c>
      <c r="BQ156" s="34">
        <f>MAX((AY156+MAX((-J156+L156-N156+Q156),0)),(MAX((J156-L156+N156-Q156),0)))</f>
        <v/>
      </c>
      <c r="BR156" s="82">
        <f>IFERROR(ABS(BK156/BQ156),0)</f>
        <v/>
      </c>
      <c r="BS156" s="34">
        <f>IF(BR156&lt;=0.1,0,BK156/BR156*(BR156-0.1))</f>
        <v/>
      </c>
      <c r="BT156" s="34">
        <f>IF((BS156)&lt;0,MAX(F156:G156)*(BS156)*1.03,MIN(F156:G156)*(BS156)*0.97)</f>
        <v/>
      </c>
      <c r="BU156" s="34">
        <f>IF(BR156&gt;0.1,1,0)</f>
        <v/>
      </c>
      <c r="BV156" s="34">
        <f>BF156+BG156+BH156+BY156-CA156</f>
        <v/>
      </c>
      <c r="BW156" s="34">
        <f>ABS(BX156)</f>
        <v/>
      </c>
      <c r="BX156" s="34">
        <f>AY156-(J156-L156+N156-Q156+T156-X156)</f>
        <v/>
      </c>
      <c r="BY156" s="34">
        <f>IF(AND(BX156&gt;0,MIN($F156:$G156)&lt;150,$E156="Enerji Açığı"),-100*BX156*1.03,IF(AND(BX156&gt;0,MIN($F156:$G156)&lt;150,$E156="Enerji Fazlası"),-100*BX156*1.06,IF(AND(BX156&gt;0,MIN($F156:$G156)&gt;=150,$E156="Enerji Açığı"),BX156*MIN($F156:$G156)*0.97,IF(AND(BX156&gt;0,MIN($F156:$G156)&gt;=150,$E156="Enerji Fazlası"),BX156*MIN($F156:$G156)*0.94,IF(AND(BX156&lt;0,MAX($F156:$G156)=4500,$E156="Enerji Açığı"),4500*1.05*1.06*BX156,IF(AND(BX156&lt;0,MAX($F156:$G156)=4500,$E156="Enerji Fazlası"),4500*1.05*1.03*BX156,IF(AND(BX156&lt;0,$E156="Enerji Açığı"),MAX($F156,$G156,150)*BX156*1.06,IF(AND(BX156&lt;0,$E156="Enerji Fazlası"),MAX($F156,$G156,150)*BX156*1.03,IF(AND(BX156&lt;0,$E156="Dengede"),MAX($F156:$G156,150)*1.03*BX156,MIN($F156:$G156)*0.97*BX156)))))))))</f>
        <v/>
      </c>
      <c r="BZ156" s="34">
        <f>BE156-BV156-CA156</f>
        <v/>
      </c>
      <c r="CA156" s="34">
        <f>BD156</f>
        <v/>
      </c>
      <c r="CB156" s="33">
        <f>BE156-BV156</f>
        <v/>
      </c>
      <c r="CC156" s="34">
        <f>IF(AY156=0,0,CB156/AY156)</f>
        <v/>
      </c>
      <c r="CD156" s="34">
        <f>MAX((AY156+MAX((-J156+L156-N156+Q156-T156+X156),0)),(MAX((J156-L156+N156-Q156+T156-X156),0)))</f>
        <v/>
      </c>
      <c r="CE156" s="82">
        <f>IFERROR(ABS(BX156/CD156),0)</f>
        <v/>
      </c>
      <c r="CF156" s="34">
        <f>IF(CE156&lt;=0.1,0,BX156/CE156*(CE156-0.1))</f>
        <v/>
      </c>
      <c r="CG156" s="34">
        <f>IF((CF156)&lt;0,MAX(F156:G156)*(CF156)*1.03,MIN(F156:G156)*(CF156)*0.97)</f>
        <v/>
      </c>
      <c r="CH156" s="34">
        <f>IF(CE156&gt;0.1,1,0)</f>
        <v/>
      </c>
      <c r="CI156" s="34">
        <f>(F156*BX156)-BY156</f>
        <v/>
      </c>
      <c r="CJ156" s="34">
        <f>IF(AY156=0,0,CI156/AY156)</f>
        <v/>
      </c>
    </row>
    <row r="157">
      <c r="A157" s="29" t="n">
        <v>46210.41666666666</v>
      </c>
      <c r="B157" s="29" t="inlineStr">
        <is>
          <t>10:00</t>
        </is>
      </c>
      <c r="C157" s="35">
        <f>INT(A157)</f>
        <v/>
      </c>
      <c r="D157" s="36">
        <f>MONTH(A157)</f>
        <v/>
      </c>
      <c r="E157" s="147" t="inlineStr">
        <is>
          <t>Enerji Fazlası</t>
        </is>
      </c>
      <c r="F157" s="30" t="n">
        <v>1500</v>
      </c>
      <c r="G157" s="30" t="n">
        <v>750</v>
      </c>
      <c r="H157" s="30" t="n">
        <v>32.17</v>
      </c>
      <c r="I157" s="30" t="n">
        <v>1555.05</v>
      </c>
      <c r="J157" s="119" t="n">
        <v>0</v>
      </c>
      <c r="K157" s="34">
        <f>F157*J157</f>
        <v/>
      </c>
      <c r="L157" s="119" t="n">
        <v>0</v>
      </c>
      <c r="M157" s="34">
        <f>L157*F157</f>
        <v/>
      </c>
      <c r="N157" s="119" t="n">
        <v>22.3</v>
      </c>
      <c r="O157" s="34">
        <f>F157</f>
        <v/>
      </c>
      <c r="P157" s="34">
        <f>N157*O157</f>
        <v/>
      </c>
      <c r="Q157" s="117" t="n">
        <v>0</v>
      </c>
      <c r="R157" s="34">
        <f>F157</f>
        <v/>
      </c>
      <c r="S157" s="34">
        <f>R157*Q157</f>
        <v/>
      </c>
      <c r="T157" s="34" t="n"/>
      <c r="U157" s="34">
        <f>IFERROR(W157/T157,0)</f>
        <v/>
      </c>
      <c r="V157" s="34">
        <f>IF(U157=0,0,U157-F157)</f>
        <v/>
      </c>
      <c r="W157" s="34" t="n"/>
      <c r="X157" s="34" t="n"/>
      <c r="Y157" s="34">
        <f>IFERROR(AA157/X157,0)</f>
        <v/>
      </c>
      <c r="Z157" s="34">
        <f>IF(Y157=0,0,F157-Y157)</f>
        <v/>
      </c>
      <c r="AA157" s="34" t="n"/>
      <c r="AB157" s="34" t="n">
        <v>0</v>
      </c>
      <c r="AC157" s="34" t="n">
        <v>0</v>
      </c>
      <c r="AD157" s="34">
        <f>IF(AB157&gt;AC157*1.05,AB157-AC157*1.05,IF(AB157&lt;AC157*0.95,AC157*0.95-AB157,0))</f>
        <v/>
      </c>
      <c r="AE157" s="34">
        <f>MAX(F157,G157,750)*0.05*AD157</f>
        <v/>
      </c>
      <c r="AF157" s="34" t="n">
        <v>0</v>
      </c>
      <c r="AG157" s="34">
        <f>IF(AB157&gt;AF157*1.05,AB157-AF157*1.05,IF(AB157&lt;AF157*0.95,AF157*0.95-AB157,0))</f>
        <v/>
      </c>
      <c r="AH157" s="34">
        <f>MAX(I157,J157,750)*0.05*AG157</f>
        <v/>
      </c>
      <c r="AI157" t="n">
        <v>10.25</v>
      </c>
      <c r="AJ157" t="n">
        <v>9</v>
      </c>
      <c r="AK157" s="34">
        <f>IF(AI157&gt;AJ157*1.05,AI157-AJ157*1.05,IF(AI157&lt;AJ157*0.95,AJ157*0.95-AI157,0))</f>
        <v/>
      </c>
      <c r="AL157" s="34">
        <f>MAX(F157,G157,750)*0.05*AK157</f>
        <v/>
      </c>
      <c r="AM157" s="39" t="n">
        <v>10</v>
      </c>
      <c r="AN157" s="34">
        <f>IF(AI157&gt;AM157*1.05,AI157-AM157*1.05,IF(AI157&lt;AM157*0.95,AM157*0.95-AI157,0))</f>
        <v/>
      </c>
      <c r="AO157" s="34">
        <f>MAX(F157,G157,750)*0.05*AN157</f>
        <v/>
      </c>
      <c r="AP157" s="34" t="n">
        <v>15.31</v>
      </c>
      <c r="AQ157" s="34" t="n">
        <v>13.3</v>
      </c>
      <c r="AR157" s="34">
        <f>IF(AP157&gt;AQ157*1.05,AP157-AQ157*1.05,IF(AP157&lt;AQ157*0.95,AQ157*0.95-AP157,0))</f>
        <v/>
      </c>
      <c r="AS157" s="34">
        <f>MAX(F157:G157,750)*0.05*AR157</f>
        <v/>
      </c>
      <c r="AT157" t="n">
        <v>15.3</v>
      </c>
      <c r="AU157" s="34">
        <f>IF(AP157&gt;AT157*1.05,AP157-AT157*1.05,IF(AP157&lt;AT157*0.95,AT157*0.95-AP157,0))</f>
        <v/>
      </c>
      <c r="AV157" s="34">
        <f>MAX(F157:G157,750)*0.05*AU157</f>
        <v/>
      </c>
      <c r="AW157" s="34">
        <f>AC157+AJ157+AQ157</f>
        <v/>
      </c>
      <c r="AX157" s="34">
        <f>AF157+AM157+AT157</f>
        <v/>
      </c>
      <c r="AY157" s="34">
        <f>AB157+AI157+AP157</f>
        <v/>
      </c>
      <c r="AZ157" s="34" t="n">
        <v>0</v>
      </c>
      <c r="BA157" s="34">
        <f>AD157+AK157+AR157</f>
        <v/>
      </c>
      <c r="BB157" s="34">
        <f>MAX(F157:G157,750)*0.05*BA157</f>
        <v/>
      </c>
      <c r="BC157" s="34">
        <f>AG157+AN157+AU157</f>
        <v/>
      </c>
      <c r="BD157" s="34">
        <f>MAX(F157:G157,750)*0.05*BC157</f>
        <v/>
      </c>
      <c r="BE157" s="34">
        <f>F157*AY157</f>
        <v/>
      </c>
      <c r="BF157" s="34">
        <f>K157-M157</f>
        <v/>
      </c>
      <c r="BG157" s="34">
        <f>P157-S157</f>
        <v/>
      </c>
      <c r="BH157" s="34">
        <f>W157-AA157</f>
        <v/>
      </c>
      <c r="BI157" s="34">
        <f>BF157+BG157+BL157-BN157</f>
        <v/>
      </c>
      <c r="BJ157" s="34">
        <f>ABS(BK157)</f>
        <v/>
      </c>
      <c r="BK157" s="34">
        <f>AY157-(J157-L157+N157-Q157)</f>
        <v/>
      </c>
      <c r="BL157" s="34">
        <f>IF(AND(BK157&gt;0,MIN($F157:$G157)&lt;150,$E157="Enerji Açığı"),-100*BK157*1.03,IF(AND(BK157&gt;0,MIN($F157:$G157)&lt;150,$E157="Enerji Fazlası"),-100*BK157*1.06,IF(AND(BK157&gt;0,MIN($F157:$G157)&gt;=150,$E157="Enerji Açığı"),BK157*MIN($F157:$G157)*0.97,IF(AND(BK157&gt;0,MIN($F157:$G157)&gt;=150,$E157="Enerji Fazlası"),BK157*MIN($F157:$G157)*0.94,IF(AND(BK157&lt;0,MAX($F157:$G157)=4500,$E157="Enerji Açığı"),4500*1.05*1.06*BK157,IF(AND(BK157&lt;0,MAX($F157:$G157)=4500,$E157="Enerji Fazlası"),4500*1.05*1.03*BK157,IF(AND(BK157&lt;0,$E157="Enerji Açığı"),MAX($F157,$G157,150)*BK157*1.06,IF(AND(BK157&lt;0,$E157="Enerji Fazlası"),MAX($F157,$G157,150)*BK157*1.03,IF(AND(BK157&lt;0,$E157="Dengede"),MAX($F157:$G157,150)*1.03*BK157,MIN($F157:$G157)*0.97*BK157)))))))))</f>
        <v/>
      </c>
      <c r="BM157" s="34">
        <f>BE157-BI157-BN157</f>
        <v/>
      </c>
      <c r="BN157" s="34">
        <f>BB157</f>
        <v/>
      </c>
      <c r="BO157" s="34">
        <f>BE157-BI157</f>
        <v/>
      </c>
      <c r="BP157" s="34">
        <f>IF(AY157=0,0,BO157/AY157)</f>
        <v/>
      </c>
      <c r="BQ157" s="34">
        <f>MAX((AY157+MAX((-J157+L157-N157+Q157),0)),(MAX((J157-L157+N157-Q157),0)))</f>
        <v/>
      </c>
      <c r="BR157" s="82">
        <f>IFERROR(ABS(BK157/BQ157),0)</f>
        <v/>
      </c>
      <c r="BS157" s="34">
        <f>IF(BR157&lt;=0.1,0,BK157/BR157*(BR157-0.1))</f>
        <v/>
      </c>
      <c r="BT157" s="34">
        <f>IF((BS157)&lt;0,MAX(F157:G157)*(BS157)*1.03,MIN(F157:G157)*(BS157)*0.97)</f>
        <v/>
      </c>
      <c r="BU157" s="34">
        <f>IF(BR157&gt;0.1,1,0)</f>
        <v/>
      </c>
      <c r="BV157" s="34">
        <f>BF157+BG157+BH157+BY157-CA157</f>
        <v/>
      </c>
      <c r="BW157" s="34">
        <f>ABS(BX157)</f>
        <v/>
      </c>
      <c r="BX157" s="34">
        <f>AY157-(J157-L157+N157-Q157+T157-X157)</f>
        <v/>
      </c>
      <c r="BY157" s="34">
        <f>IF(AND(BX157&gt;0,MIN($F157:$G157)&lt;150,$E157="Enerji Açığı"),-100*BX157*1.03,IF(AND(BX157&gt;0,MIN($F157:$G157)&lt;150,$E157="Enerji Fazlası"),-100*BX157*1.06,IF(AND(BX157&gt;0,MIN($F157:$G157)&gt;=150,$E157="Enerji Açığı"),BX157*MIN($F157:$G157)*0.97,IF(AND(BX157&gt;0,MIN($F157:$G157)&gt;=150,$E157="Enerji Fazlası"),BX157*MIN($F157:$G157)*0.94,IF(AND(BX157&lt;0,MAX($F157:$G157)=4500,$E157="Enerji Açığı"),4500*1.05*1.06*BX157,IF(AND(BX157&lt;0,MAX($F157:$G157)=4500,$E157="Enerji Fazlası"),4500*1.05*1.03*BX157,IF(AND(BX157&lt;0,$E157="Enerji Açığı"),MAX($F157,$G157,150)*BX157*1.06,IF(AND(BX157&lt;0,$E157="Enerji Fazlası"),MAX($F157,$G157,150)*BX157*1.03,IF(AND(BX157&lt;0,$E157="Dengede"),MAX($F157:$G157,150)*1.03*BX157,MIN($F157:$G157)*0.97*BX157)))))))))</f>
        <v/>
      </c>
      <c r="BZ157" s="34">
        <f>BE157-BV157-CA157</f>
        <v/>
      </c>
      <c r="CA157" s="34">
        <f>BD157</f>
        <v/>
      </c>
      <c r="CB157" s="33">
        <f>BE157-BV157</f>
        <v/>
      </c>
      <c r="CC157" s="34">
        <f>IF(AY157=0,0,CB157/AY157)</f>
        <v/>
      </c>
      <c r="CD157" s="34">
        <f>MAX((AY157+MAX((-J157+L157-N157+Q157-T157+X157),0)),(MAX((J157-L157+N157-Q157+T157-X157),0)))</f>
        <v/>
      </c>
      <c r="CE157" s="82">
        <f>IFERROR(ABS(BX157/CD157),0)</f>
        <v/>
      </c>
      <c r="CF157" s="34">
        <f>IF(CE157&lt;=0.1,0,BX157/CE157*(CE157-0.1))</f>
        <v/>
      </c>
      <c r="CG157" s="34">
        <f>IF((CF157)&lt;0,MAX(F157:G157)*(CF157)*1.03,MIN(F157:G157)*(CF157)*0.97)</f>
        <v/>
      </c>
      <c r="CH157" s="34">
        <f>IF(CE157&gt;0.1,1,0)</f>
        <v/>
      </c>
      <c r="CI157" s="34">
        <f>(F157*BX157)-BY157</f>
        <v/>
      </c>
      <c r="CJ157" s="34">
        <f>IF(AY157=0,0,CI157/AY157)</f>
        <v/>
      </c>
    </row>
    <row r="158">
      <c r="A158" s="29" t="n">
        <v>46210.45833333334</v>
      </c>
      <c r="B158" s="29" t="inlineStr">
        <is>
          <t>11:00</t>
        </is>
      </c>
      <c r="C158" s="35">
        <f>INT(A158)</f>
        <v/>
      </c>
      <c r="D158" s="36">
        <f>MONTH(A158)</f>
        <v/>
      </c>
      <c r="E158" s="147" t="inlineStr">
        <is>
          <t>Enerji Fazlası</t>
        </is>
      </c>
      <c r="F158" s="30" t="n">
        <v>1807.04</v>
      </c>
      <c r="G158" s="30" t="n">
        <v>900</v>
      </c>
      <c r="H158" s="30" t="n">
        <v>38.75</v>
      </c>
      <c r="I158" s="30" t="n">
        <v>1633.66</v>
      </c>
      <c r="J158" s="119" t="n">
        <v>0</v>
      </c>
      <c r="K158" s="34">
        <f>F158*J158</f>
        <v/>
      </c>
      <c r="L158" s="119" t="n">
        <v>0</v>
      </c>
      <c r="M158" s="34">
        <f>L158*F158</f>
        <v/>
      </c>
      <c r="N158" s="119" t="n">
        <v>22.5</v>
      </c>
      <c r="O158" s="34">
        <f>F158</f>
        <v/>
      </c>
      <c r="P158" s="34">
        <f>N158*O158</f>
        <v/>
      </c>
      <c r="Q158" s="117" t="n">
        <v>0</v>
      </c>
      <c r="R158" s="34">
        <f>F158</f>
        <v/>
      </c>
      <c r="S158" s="34">
        <f>R158*Q158</f>
        <v/>
      </c>
      <c r="T158" s="34" t="n"/>
      <c r="U158" s="34">
        <f>IFERROR(W158/T158,0)</f>
        <v/>
      </c>
      <c r="V158" s="34">
        <f>IF(U158=0,0,U158-F158)</f>
        <v/>
      </c>
      <c r="W158" s="34" t="n"/>
      <c r="X158" s="34" t="n"/>
      <c r="Y158" s="34">
        <f>IFERROR(AA158/X158,0)</f>
        <v/>
      </c>
      <c r="Z158" s="34">
        <f>IF(Y158=0,0,F158-Y158)</f>
        <v/>
      </c>
      <c r="AA158" s="34" t="n"/>
      <c r="AB158" s="34" t="n">
        <v>0</v>
      </c>
      <c r="AC158" s="34" t="n">
        <v>0</v>
      </c>
      <c r="AD158" s="34">
        <f>IF(AB158&gt;AC158*1.05,AB158-AC158*1.05,IF(AB158&lt;AC158*0.95,AC158*0.95-AB158,0))</f>
        <v/>
      </c>
      <c r="AE158" s="34">
        <f>MAX(F158,G158,750)*0.05*AD158</f>
        <v/>
      </c>
      <c r="AF158" s="34" t="n">
        <v>0</v>
      </c>
      <c r="AG158" s="34">
        <f>IF(AB158&gt;AF158*1.05,AB158-AF158*1.05,IF(AB158&lt;AF158*0.95,AF158*0.95-AB158,0))</f>
        <v/>
      </c>
      <c r="AH158" s="34">
        <f>MAX(I158,J158,750)*0.05*AG158</f>
        <v/>
      </c>
      <c r="AI158" t="n">
        <v>9.140000000000001</v>
      </c>
      <c r="AJ158" t="n">
        <v>9</v>
      </c>
      <c r="AK158" s="34">
        <f>IF(AI158&gt;AJ158*1.05,AI158-AJ158*1.05,IF(AI158&lt;AJ158*0.95,AJ158*0.95-AI158,0))</f>
        <v/>
      </c>
      <c r="AL158" s="34">
        <f>MAX(F158,G158,750)*0.05*AK158</f>
        <v/>
      </c>
      <c r="AM158" s="39" t="n">
        <v>9</v>
      </c>
      <c r="AN158" s="34">
        <f>IF(AI158&gt;AM158*1.05,AI158-AM158*1.05,IF(AI158&lt;AM158*0.95,AM158*0.95-AI158,0))</f>
        <v/>
      </c>
      <c r="AO158" s="34">
        <f>MAX(F158,G158,750)*0.05*AN158</f>
        <v/>
      </c>
      <c r="AP158" s="34" t="n">
        <v>15.6</v>
      </c>
      <c r="AQ158" s="34" t="n">
        <v>13.5</v>
      </c>
      <c r="AR158" s="34">
        <f>IF(AP158&gt;AQ158*1.05,AP158-AQ158*1.05,IF(AP158&lt;AQ158*0.95,AQ158*0.95-AP158,0))</f>
        <v/>
      </c>
      <c r="AS158" s="34">
        <f>MAX(F158:G158,750)*0.05*AR158</f>
        <v/>
      </c>
      <c r="AT158" t="n">
        <v>15.5</v>
      </c>
      <c r="AU158" s="34">
        <f>IF(AP158&gt;AT158*1.05,AP158-AT158*1.05,IF(AP158&lt;AT158*0.95,AT158*0.95-AP158,0))</f>
        <v/>
      </c>
      <c r="AV158" s="34">
        <f>MAX(F158:G158,750)*0.05*AU158</f>
        <v/>
      </c>
      <c r="AW158" s="34">
        <f>AC158+AJ158+AQ158</f>
        <v/>
      </c>
      <c r="AX158" s="34">
        <f>AF158+AM158+AT158</f>
        <v/>
      </c>
      <c r="AY158" s="34">
        <f>AB158+AI158+AP158</f>
        <v/>
      </c>
      <c r="AZ158" s="34" t="n">
        <v>0</v>
      </c>
      <c r="BA158" s="34">
        <f>AD158+AK158+AR158</f>
        <v/>
      </c>
      <c r="BB158" s="34">
        <f>MAX(F158:G158,750)*0.05*BA158</f>
        <v/>
      </c>
      <c r="BC158" s="34">
        <f>AG158+AN158+AU158</f>
        <v/>
      </c>
      <c r="BD158" s="34">
        <f>MAX(F158:G158,750)*0.05*BC158</f>
        <v/>
      </c>
      <c r="BE158" s="34">
        <f>F158*AY158</f>
        <v/>
      </c>
      <c r="BF158" s="34">
        <f>K158-M158</f>
        <v/>
      </c>
      <c r="BG158" s="34">
        <f>P158-S158</f>
        <v/>
      </c>
      <c r="BH158" s="34">
        <f>W158-AA158</f>
        <v/>
      </c>
      <c r="BI158" s="34">
        <f>BF158+BG158+BL158-BN158</f>
        <v/>
      </c>
      <c r="BJ158" s="34">
        <f>ABS(BK158)</f>
        <v/>
      </c>
      <c r="BK158" s="34">
        <f>AY158-(J158-L158+N158-Q158)</f>
        <v/>
      </c>
      <c r="BL158" s="34">
        <f>IF(AND(BK158&gt;0,MIN($F158:$G158)&lt;150,$E158="Enerji Açığı"),-100*BK158*1.03,IF(AND(BK158&gt;0,MIN($F158:$G158)&lt;150,$E158="Enerji Fazlası"),-100*BK158*1.06,IF(AND(BK158&gt;0,MIN($F158:$G158)&gt;=150,$E158="Enerji Açığı"),BK158*MIN($F158:$G158)*0.97,IF(AND(BK158&gt;0,MIN($F158:$G158)&gt;=150,$E158="Enerji Fazlası"),BK158*MIN($F158:$G158)*0.94,IF(AND(BK158&lt;0,MAX($F158:$G158)=4500,$E158="Enerji Açığı"),4500*1.05*1.06*BK158,IF(AND(BK158&lt;0,MAX($F158:$G158)=4500,$E158="Enerji Fazlası"),4500*1.05*1.03*BK158,IF(AND(BK158&lt;0,$E158="Enerji Açığı"),MAX($F158,$G158,150)*BK158*1.06,IF(AND(BK158&lt;0,$E158="Enerji Fazlası"),MAX($F158,$G158,150)*BK158*1.03,IF(AND(BK158&lt;0,$E158="Dengede"),MAX($F158:$G158,150)*1.03*BK158,MIN($F158:$G158)*0.97*BK158)))))))))</f>
        <v/>
      </c>
      <c r="BM158" s="34">
        <f>BE158-BI158-BN158</f>
        <v/>
      </c>
      <c r="BN158" s="34">
        <f>BB158</f>
        <v/>
      </c>
      <c r="BO158" s="34">
        <f>BE158-BI158</f>
        <v/>
      </c>
      <c r="BP158" s="34">
        <f>IF(AY158=0,0,BO158/AY158)</f>
        <v/>
      </c>
      <c r="BQ158" s="34">
        <f>MAX((AY158+MAX((-J158+L158-N158+Q158),0)),(MAX((J158-L158+N158-Q158),0)))</f>
        <v/>
      </c>
      <c r="BR158" s="82">
        <f>IFERROR(ABS(BK158/BQ158),0)</f>
        <v/>
      </c>
      <c r="BS158" s="34">
        <f>IF(BR158&lt;=0.1,0,BK158/BR158*(BR158-0.1))</f>
        <v/>
      </c>
      <c r="BT158" s="34">
        <f>IF((BS158)&lt;0,MAX(F158:G158)*(BS158)*1.03,MIN(F158:G158)*(BS158)*0.97)</f>
        <v/>
      </c>
      <c r="BU158" s="34">
        <f>IF(BR158&gt;0.1,1,0)</f>
        <v/>
      </c>
      <c r="BV158" s="34">
        <f>BF158+BG158+BH158+BY158-CA158</f>
        <v/>
      </c>
      <c r="BW158" s="34">
        <f>ABS(BX158)</f>
        <v/>
      </c>
      <c r="BX158" s="34">
        <f>AY158-(J158-L158+N158-Q158+T158-X158)</f>
        <v/>
      </c>
      <c r="BY158" s="34">
        <f>IF(AND(BX158&gt;0,MIN($F158:$G158)&lt;150,$E158="Enerji Açığı"),-100*BX158*1.03,IF(AND(BX158&gt;0,MIN($F158:$G158)&lt;150,$E158="Enerji Fazlası"),-100*BX158*1.06,IF(AND(BX158&gt;0,MIN($F158:$G158)&gt;=150,$E158="Enerji Açığı"),BX158*MIN($F158:$G158)*0.97,IF(AND(BX158&gt;0,MIN($F158:$G158)&gt;=150,$E158="Enerji Fazlası"),BX158*MIN($F158:$G158)*0.94,IF(AND(BX158&lt;0,MAX($F158:$G158)=4500,$E158="Enerji Açığı"),4500*1.05*1.06*BX158,IF(AND(BX158&lt;0,MAX($F158:$G158)=4500,$E158="Enerji Fazlası"),4500*1.05*1.03*BX158,IF(AND(BX158&lt;0,$E158="Enerji Açığı"),MAX($F158,$G158,150)*BX158*1.06,IF(AND(BX158&lt;0,$E158="Enerji Fazlası"),MAX($F158,$G158,150)*BX158*1.03,IF(AND(BX158&lt;0,$E158="Dengede"),MAX($F158:$G158,150)*1.03*BX158,MIN($F158:$G158)*0.97*BX158)))))))))</f>
        <v/>
      </c>
      <c r="BZ158" s="34">
        <f>BE158-BV158-CA158</f>
        <v/>
      </c>
      <c r="CA158" s="34">
        <f>BD158</f>
        <v/>
      </c>
      <c r="CB158" s="33">
        <f>BE158-BV158</f>
        <v/>
      </c>
      <c r="CC158" s="34">
        <f>IF(AY158=0,0,CB158/AY158)</f>
        <v/>
      </c>
      <c r="CD158" s="34">
        <f>MAX((AY158+MAX((-J158+L158-N158+Q158-T158+X158),0)),(MAX((J158-L158+N158-Q158+T158-X158),0)))</f>
        <v/>
      </c>
      <c r="CE158" s="82">
        <f>IFERROR(ABS(BX158/CD158),0)</f>
        <v/>
      </c>
      <c r="CF158" s="34">
        <f>IF(CE158&lt;=0.1,0,BX158/CE158*(CE158-0.1))</f>
        <v/>
      </c>
      <c r="CG158" s="34">
        <f>IF((CF158)&lt;0,MAX(F158:G158)*(CF158)*1.03,MIN(F158:G158)*(CF158)*0.97)</f>
        <v/>
      </c>
      <c r="CH158" s="34">
        <f>IF(CE158&gt;0.1,1,0)</f>
        <v/>
      </c>
      <c r="CI158" s="34">
        <f>(F158*BX158)-BY158</f>
        <v/>
      </c>
      <c r="CJ158" s="34">
        <f>IF(AY158=0,0,CI158/AY158)</f>
        <v/>
      </c>
    </row>
    <row r="159">
      <c r="A159" s="29" t="n">
        <v>46210.5</v>
      </c>
      <c r="B159" s="29" t="inlineStr">
        <is>
          <t>12:00</t>
        </is>
      </c>
      <c r="C159" s="35">
        <f>INT(A159)</f>
        <v/>
      </c>
      <c r="D159" s="36">
        <f>MONTH(A159)</f>
        <v/>
      </c>
      <c r="E159" s="147" t="inlineStr">
        <is>
          <t>Enerji Fazlası</t>
        </is>
      </c>
      <c r="F159" s="30" t="n">
        <v>1400</v>
      </c>
      <c r="G159" s="30" t="n">
        <v>780</v>
      </c>
      <c r="H159" s="30" t="n">
        <v>30.02</v>
      </c>
      <c r="I159" s="30" t="n">
        <v>914.59</v>
      </c>
      <c r="J159" s="119" t="n">
        <v>0</v>
      </c>
      <c r="K159" s="34">
        <f>F159*J159</f>
        <v/>
      </c>
      <c r="L159" s="119" t="n">
        <v>0</v>
      </c>
      <c r="M159" s="34">
        <f>L159*F159</f>
        <v/>
      </c>
      <c r="N159" s="119" t="n">
        <v>20.6</v>
      </c>
      <c r="O159" s="34">
        <f>F159</f>
        <v/>
      </c>
      <c r="P159" s="34">
        <f>N159*O159</f>
        <v/>
      </c>
      <c r="Q159" s="117" t="n">
        <v>0</v>
      </c>
      <c r="R159" s="34">
        <f>F159</f>
        <v/>
      </c>
      <c r="S159" s="34">
        <f>R159*Q159</f>
        <v/>
      </c>
      <c r="T159" s="34" t="n"/>
      <c r="U159" s="34">
        <f>IFERROR(W159/T159,0)</f>
        <v/>
      </c>
      <c r="V159" s="34">
        <f>IF(U159=0,0,U159-F159)</f>
        <v/>
      </c>
      <c r="W159" s="34" t="n"/>
      <c r="X159" s="34" t="n"/>
      <c r="Y159" s="34">
        <f>IFERROR(AA159/X159,0)</f>
        <v/>
      </c>
      <c r="Z159" s="34">
        <f>IF(Y159=0,0,F159-Y159)</f>
        <v/>
      </c>
      <c r="AA159" s="34" t="n"/>
      <c r="AB159" s="34" t="n">
        <v>0</v>
      </c>
      <c r="AC159" s="34" t="n">
        <v>0</v>
      </c>
      <c r="AD159" s="34">
        <f>IF(AB159&gt;AC159*1.05,AB159-AC159*1.05,IF(AB159&lt;AC159*0.95,AC159*0.95-AB159,0))</f>
        <v/>
      </c>
      <c r="AE159" s="34">
        <f>MAX(F159,G159,750)*0.05*AD159</f>
        <v/>
      </c>
      <c r="AF159" s="34" t="n">
        <v>0</v>
      </c>
      <c r="AG159" s="34">
        <f>IF(AB159&gt;AF159*1.05,AB159-AF159*1.05,IF(AB159&lt;AF159*0.95,AF159*0.95-AB159,0))</f>
        <v/>
      </c>
      <c r="AH159" s="34">
        <f>MAX(I159,J159,750)*0.05*AG159</f>
        <v/>
      </c>
      <c r="AI159" t="n">
        <v>11.08</v>
      </c>
      <c r="AJ159" t="n">
        <v>8</v>
      </c>
      <c r="AK159" s="34">
        <f>IF(AI159&gt;AJ159*1.05,AI159-AJ159*1.05,IF(AI159&lt;AJ159*0.95,AJ159*0.95-AI159,0))</f>
        <v/>
      </c>
      <c r="AL159" s="34">
        <f>MAX(F159,G159,750)*0.05*AK159</f>
        <v/>
      </c>
      <c r="AM159" s="39" t="n">
        <v>11</v>
      </c>
      <c r="AN159" s="34">
        <f>IF(AI159&gt;AM159*1.05,AI159-AM159*1.05,IF(AI159&lt;AM159*0.95,AM159*0.95-AI159,0))</f>
        <v/>
      </c>
      <c r="AO159" s="34">
        <f>MAX(F159,G159,750)*0.05*AN159</f>
        <v/>
      </c>
      <c r="AP159" s="34" t="n">
        <v>15.68</v>
      </c>
      <c r="AQ159" s="34" t="n">
        <v>12.6</v>
      </c>
      <c r="AR159" s="34">
        <f>IF(AP159&gt;AQ159*1.05,AP159-AQ159*1.05,IF(AP159&lt;AQ159*0.95,AQ159*0.95-AP159,0))</f>
        <v/>
      </c>
      <c r="AS159" s="34">
        <f>MAX(F159:G159,750)*0.05*AR159</f>
        <v/>
      </c>
      <c r="AT159" t="n">
        <v>15.6</v>
      </c>
      <c r="AU159" s="34">
        <f>IF(AP159&gt;AT159*1.05,AP159-AT159*1.05,IF(AP159&lt;AT159*0.95,AT159*0.95-AP159,0))</f>
        <v/>
      </c>
      <c r="AV159" s="34">
        <f>MAX(F159:G159,750)*0.05*AU159</f>
        <v/>
      </c>
      <c r="AW159" s="34">
        <f>AC159+AJ159+AQ159</f>
        <v/>
      </c>
      <c r="AX159" s="34">
        <f>AF159+AM159+AT159</f>
        <v/>
      </c>
      <c r="AY159" s="34">
        <f>AB159+AI159+AP159</f>
        <v/>
      </c>
      <c r="AZ159" s="34" t="n">
        <v>0</v>
      </c>
      <c r="BA159" s="34">
        <f>AD159+AK159+AR159</f>
        <v/>
      </c>
      <c r="BB159" s="34">
        <f>MAX(F159:G159,750)*0.05*BA159</f>
        <v/>
      </c>
      <c r="BC159" s="34">
        <f>AG159+AN159+AU159</f>
        <v/>
      </c>
      <c r="BD159" s="34">
        <f>MAX(F159:G159,750)*0.05*BC159</f>
        <v/>
      </c>
      <c r="BE159" s="34">
        <f>F159*AY159</f>
        <v/>
      </c>
      <c r="BF159" s="34">
        <f>K159-M159</f>
        <v/>
      </c>
      <c r="BG159" s="34">
        <f>P159-S159</f>
        <v/>
      </c>
      <c r="BH159" s="34">
        <f>W159-AA159</f>
        <v/>
      </c>
      <c r="BI159" s="34">
        <f>BF159+BG159+BL159-BN159</f>
        <v/>
      </c>
      <c r="BJ159" s="34">
        <f>ABS(BK159)</f>
        <v/>
      </c>
      <c r="BK159" s="34">
        <f>AY159-(J159-L159+N159-Q159)</f>
        <v/>
      </c>
      <c r="BL159" s="34">
        <f>IF(AND(BK159&gt;0,MIN($F159:$G159)&lt;150,$E159="Enerji Açığı"),-100*BK159*1.03,IF(AND(BK159&gt;0,MIN($F159:$G159)&lt;150,$E159="Enerji Fazlası"),-100*BK159*1.06,IF(AND(BK159&gt;0,MIN($F159:$G159)&gt;=150,$E159="Enerji Açığı"),BK159*MIN($F159:$G159)*0.97,IF(AND(BK159&gt;0,MIN($F159:$G159)&gt;=150,$E159="Enerji Fazlası"),BK159*MIN($F159:$G159)*0.94,IF(AND(BK159&lt;0,MAX($F159:$G159)=4500,$E159="Enerji Açığı"),4500*1.05*1.06*BK159,IF(AND(BK159&lt;0,MAX($F159:$G159)=4500,$E159="Enerji Fazlası"),4500*1.05*1.03*BK159,IF(AND(BK159&lt;0,$E159="Enerji Açığı"),MAX($F159,$G159,150)*BK159*1.06,IF(AND(BK159&lt;0,$E159="Enerji Fazlası"),MAX($F159,$G159,150)*BK159*1.03,IF(AND(BK159&lt;0,$E159="Dengede"),MAX($F159:$G159,150)*1.03*BK159,MIN($F159:$G159)*0.97*BK159)))))))))</f>
        <v/>
      </c>
      <c r="BM159" s="34">
        <f>BE159-BI159-BN159</f>
        <v/>
      </c>
      <c r="BN159" s="34">
        <f>BB159</f>
        <v/>
      </c>
      <c r="BO159" s="34">
        <f>BE159-BI159</f>
        <v/>
      </c>
      <c r="BP159" s="34">
        <f>IF(AY159=0,0,BO159/AY159)</f>
        <v/>
      </c>
      <c r="BQ159" s="34">
        <f>MAX((AY159+MAX((-J159+L159-N159+Q159),0)),(MAX((J159-L159+N159-Q159),0)))</f>
        <v/>
      </c>
      <c r="BR159" s="82">
        <f>IFERROR(ABS(BK159/BQ159),0)</f>
        <v/>
      </c>
      <c r="BS159" s="34">
        <f>IF(BR159&lt;=0.1,0,BK159/BR159*(BR159-0.1))</f>
        <v/>
      </c>
      <c r="BT159" s="34">
        <f>IF((BS159)&lt;0,MAX(F159:G159)*(BS159)*1.03,MIN(F159:G159)*(BS159)*0.97)</f>
        <v/>
      </c>
      <c r="BU159" s="34">
        <f>IF(BR159&gt;0.1,1,0)</f>
        <v/>
      </c>
      <c r="BV159" s="34">
        <f>BF159+BG159+BH159+BY159-CA159</f>
        <v/>
      </c>
      <c r="BW159" s="34">
        <f>ABS(BX159)</f>
        <v/>
      </c>
      <c r="BX159" s="34">
        <f>AY159-(J159-L159+N159-Q159+T159-X159)</f>
        <v/>
      </c>
      <c r="BY159" s="34">
        <f>IF(AND(BX159&gt;0,MIN($F159:$G159)&lt;150,$E159="Enerji Açığı"),-100*BX159*1.03,IF(AND(BX159&gt;0,MIN($F159:$G159)&lt;150,$E159="Enerji Fazlası"),-100*BX159*1.06,IF(AND(BX159&gt;0,MIN($F159:$G159)&gt;=150,$E159="Enerji Açığı"),BX159*MIN($F159:$G159)*0.97,IF(AND(BX159&gt;0,MIN($F159:$G159)&gt;=150,$E159="Enerji Fazlası"),BX159*MIN($F159:$G159)*0.94,IF(AND(BX159&lt;0,MAX($F159:$G159)=4500,$E159="Enerji Açığı"),4500*1.05*1.06*BX159,IF(AND(BX159&lt;0,MAX($F159:$G159)=4500,$E159="Enerji Fazlası"),4500*1.05*1.03*BX159,IF(AND(BX159&lt;0,$E159="Enerji Açığı"),MAX($F159,$G159,150)*BX159*1.06,IF(AND(BX159&lt;0,$E159="Enerji Fazlası"),MAX($F159,$G159,150)*BX159*1.03,IF(AND(BX159&lt;0,$E159="Dengede"),MAX($F159:$G159,150)*1.03*BX159,MIN($F159:$G159)*0.97*BX159)))))))))</f>
        <v/>
      </c>
      <c r="BZ159" s="34">
        <f>BE159-BV159-CA159</f>
        <v/>
      </c>
      <c r="CA159" s="34">
        <f>BD159</f>
        <v/>
      </c>
      <c r="CB159" s="33">
        <f>BE159-BV159</f>
        <v/>
      </c>
      <c r="CC159" s="34">
        <f>IF(AY159=0,0,CB159/AY159)</f>
        <v/>
      </c>
      <c r="CD159" s="34">
        <f>MAX((AY159+MAX((-J159+L159-N159+Q159-T159+X159),0)),(MAX((J159-L159+N159-Q159+T159-X159),0)))</f>
        <v/>
      </c>
      <c r="CE159" s="82">
        <f>IFERROR(ABS(BX159/CD159),0)</f>
        <v/>
      </c>
      <c r="CF159" s="34">
        <f>IF(CE159&lt;=0.1,0,BX159/CE159*(CE159-0.1))</f>
        <v/>
      </c>
      <c r="CG159" s="34">
        <f>IF((CF159)&lt;0,MAX(F159:G159)*(CF159)*1.03,MIN(F159:G159)*(CF159)*0.97)</f>
        <v/>
      </c>
      <c r="CH159" s="34">
        <f>IF(CE159&gt;0.1,1,0)</f>
        <v/>
      </c>
      <c r="CI159" s="34">
        <f>(F159*BX159)-BY159</f>
        <v/>
      </c>
      <c r="CJ159" s="34">
        <f>IF(AY159=0,0,CI159/AY159)</f>
        <v/>
      </c>
    </row>
    <row r="160">
      <c r="A160" s="29" t="n">
        <v>46210.54166666666</v>
      </c>
      <c r="B160" s="29" t="inlineStr">
        <is>
          <t>13:00</t>
        </is>
      </c>
      <c r="C160" s="35">
        <f>INT(A160)</f>
        <v/>
      </c>
      <c r="D160" s="36">
        <f>MONTH(A160)</f>
        <v/>
      </c>
      <c r="E160" s="147" t="inlineStr">
        <is>
          <t>Enerji Fazlası</t>
        </is>
      </c>
      <c r="F160" s="30" t="n">
        <v>1999.98</v>
      </c>
      <c r="G160" s="30" t="n">
        <v>1049.98</v>
      </c>
      <c r="H160" s="30" t="n">
        <v>42.89</v>
      </c>
      <c r="I160" s="30" t="n">
        <v>1534.26</v>
      </c>
      <c r="J160" s="119" t="n">
        <v>0</v>
      </c>
      <c r="K160" s="34">
        <f>F160*J160</f>
        <v/>
      </c>
      <c r="L160" s="119" t="n">
        <v>0</v>
      </c>
      <c r="M160" s="34">
        <f>L160*F160</f>
        <v/>
      </c>
      <c r="N160" s="119" t="n">
        <v>22.6</v>
      </c>
      <c r="O160" s="34">
        <f>F160</f>
        <v/>
      </c>
      <c r="P160" s="34">
        <f>N160*O160</f>
        <v/>
      </c>
      <c r="Q160" s="117" t="n">
        <v>0</v>
      </c>
      <c r="R160" s="34">
        <f>F160</f>
        <v/>
      </c>
      <c r="S160" s="34">
        <f>R160*Q160</f>
        <v/>
      </c>
      <c r="T160" s="34" t="n"/>
      <c r="U160" s="34">
        <f>IFERROR(W160/T160,0)</f>
        <v/>
      </c>
      <c r="V160" s="34">
        <f>IF(U160=0,0,U160-F160)</f>
        <v/>
      </c>
      <c r="W160" s="34" t="n"/>
      <c r="X160" s="34" t="n"/>
      <c r="Y160" s="34">
        <f>IFERROR(AA160/X160,0)</f>
        <v/>
      </c>
      <c r="Z160" s="34">
        <f>IF(Y160=0,0,F160-Y160)</f>
        <v/>
      </c>
      <c r="AA160" s="34" t="n"/>
      <c r="AB160" s="34" t="n">
        <v>0</v>
      </c>
      <c r="AC160" s="34" t="n">
        <v>0</v>
      </c>
      <c r="AD160" s="34">
        <f>IF(AB160&gt;AC160*1.05,AB160-AC160*1.05,IF(AB160&lt;AC160*0.95,AC160*0.95-AB160,0))</f>
        <v/>
      </c>
      <c r="AE160" s="34">
        <f>MAX(F160,G160,750)*0.05*AD160</f>
        <v/>
      </c>
      <c r="AF160" s="34" t="n">
        <v>0</v>
      </c>
      <c r="AG160" s="34">
        <f>IF(AB160&gt;AF160*1.05,AB160-AF160*1.05,IF(AB160&lt;AF160*0.95,AF160*0.95-AB160,0))</f>
        <v/>
      </c>
      <c r="AH160" s="34">
        <f>MAX(I160,J160,750)*0.05*AG160</f>
        <v/>
      </c>
      <c r="AI160" t="n">
        <v>10.13</v>
      </c>
      <c r="AJ160" t="n">
        <v>9</v>
      </c>
      <c r="AK160" s="34">
        <f>IF(AI160&gt;AJ160*1.05,AI160-AJ160*1.05,IF(AI160&lt;AJ160*0.95,AJ160*0.95-AI160,0))</f>
        <v/>
      </c>
      <c r="AL160" s="34">
        <f>MAX(F160,G160,750)*0.05*AK160</f>
        <v/>
      </c>
      <c r="AM160" s="39" t="n">
        <v>10</v>
      </c>
      <c r="AN160" s="34">
        <f>IF(AI160&gt;AM160*1.05,AI160-AM160*1.05,IF(AI160&lt;AM160*0.95,AM160*0.95-AI160,0))</f>
        <v/>
      </c>
      <c r="AO160" s="34">
        <f>MAX(F160,G160,750)*0.05*AN160</f>
        <v/>
      </c>
      <c r="AP160" s="34" t="n">
        <v>16.13</v>
      </c>
      <c r="AQ160" s="34" t="n">
        <v>13.6</v>
      </c>
      <c r="AR160" s="34">
        <f>IF(AP160&gt;AQ160*1.05,AP160-AQ160*1.05,IF(AP160&lt;AQ160*0.95,AQ160*0.95-AP160,0))</f>
        <v/>
      </c>
      <c r="AS160" s="34">
        <f>MAX(F160:G160,750)*0.05*AR160</f>
        <v/>
      </c>
      <c r="AT160" t="n">
        <v>16</v>
      </c>
      <c r="AU160" s="34">
        <f>IF(AP160&gt;AT160*1.05,AP160-AT160*1.05,IF(AP160&lt;AT160*0.95,AT160*0.95-AP160,0))</f>
        <v/>
      </c>
      <c r="AV160" s="34">
        <f>MAX(F160:G160,750)*0.05*AU160</f>
        <v/>
      </c>
      <c r="AW160" s="34">
        <f>AC160+AJ160+AQ160</f>
        <v/>
      </c>
      <c r="AX160" s="34">
        <f>AF160+AM160+AT160</f>
        <v/>
      </c>
      <c r="AY160" s="34">
        <f>AB160+AI160+AP160</f>
        <v/>
      </c>
      <c r="AZ160" s="34" t="n">
        <v>0</v>
      </c>
      <c r="BA160" s="34">
        <f>AD160+AK160+AR160</f>
        <v/>
      </c>
      <c r="BB160" s="34">
        <f>MAX(F160:G160,750)*0.05*BA160</f>
        <v/>
      </c>
      <c r="BC160" s="34">
        <f>AG160+AN160+AU160</f>
        <v/>
      </c>
      <c r="BD160" s="34">
        <f>MAX(F160:G160,750)*0.05*BC160</f>
        <v/>
      </c>
      <c r="BE160" s="34">
        <f>F160*AY160</f>
        <v/>
      </c>
      <c r="BF160" s="34">
        <f>K160-M160</f>
        <v/>
      </c>
      <c r="BG160" s="34">
        <f>P160-S160</f>
        <v/>
      </c>
      <c r="BH160" s="34">
        <f>W160-AA160</f>
        <v/>
      </c>
      <c r="BI160" s="34">
        <f>BF160+BG160+BL160-BN160</f>
        <v/>
      </c>
      <c r="BJ160" s="34">
        <f>ABS(BK160)</f>
        <v/>
      </c>
      <c r="BK160" s="34">
        <f>AY160-(J160-L160+N160-Q160)</f>
        <v/>
      </c>
      <c r="BL160" s="34">
        <f>IF(AND(BK160&gt;0,MIN($F160:$G160)&lt;150,$E160="Enerji Açığı"),-100*BK160*1.03,IF(AND(BK160&gt;0,MIN($F160:$G160)&lt;150,$E160="Enerji Fazlası"),-100*BK160*1.06,IF(AND(BK160&gt;0,MIN($F160:$G160)&gt;=150,$E160="Enerji Açığı"),BK160*MIN($F160:$G160)*0.97,IF(AND(BK160&gt;0,MIN($F160:$G160)&gt;=150,$E160="Enerji Fazlası"),BK160*MIN($F160:$G160)*0.94,IF(AND(BK160&lt;0,MAX($F160:$G160)=4500,$E160="Enerji Açığı"),4500*1.05*1.06*BK160,IF(AND(BK160&lt;0,MAX($F160:$G160)=4500,$E160="Enerji Fazlası"),4500*1.05*1.03*BK160,IF(AND(BK160&lt;0,$E160="Enerji Açığı"),MAX($F160,$G160,150)*BK160*1.06,IF(AND(BK160&lt;0,$E160="Enerji Fazlası"),MAX($F160,$G160,150)*BK160*1.03,IF(AND(BK160&lt;0,$E160="Dengede"),MAX($F160:$G160,150)*1.03*BK160,MIN($F160:$G160)*0.97*BK160)))))))))</f>
        <v/>
      </c>
      <c r="BM160" s="34">
        <f>BE160-BI160-BN160</f>
        <v/>
      </c>
      <c r="BN160" s="34">
        <f>BB160</f>
        <v/>
      </c>
      <c r="BO160" s="34">
        <f>BE160-BI160</f>
        <v/>
      </c>
      <c r="BP160" s="34">
        <f>IF(AY160=0,0,BO160/AY160)</f>
        <v/>
      </c>
      <c r="BQ160" s="34">
        <f>MAX((AY160+MAX((-J160+L160-N160+Q160),0)),(MAX((J160-L160+N160-Q160),0)))</f>
        <v/>
      </c>
      <c r="BR160" s="82">
        <f>IFERROR(ABS(BK160/BQ160),0)</f>
        <v/>
      </c>
      <c r="BS160" s="34">
        <f>IF(BR160&lt;=0.1,0,BK160/BR160*(BR160-0.1))</f>
        <v/>
      </c>
      <c r="BT160" s="34">
        <f>IF((BS160)&lt;0,MAX(F160:G160)*(BS160)*1.03,MIN(F160:G160)*(BS160)*0.97)</f>
        <v/>
      </c>
      <c r="BU160" s="34">
        <f>IF(BR160&gt;0.1,1,0)</f>
        <v/>
      </c>
      <c r="BV160" s="34">
        <f>BF160+BG160+BH160+BY160-CA160</f>
        <v/>
      </c>
      <c r="BW160" s="34">
        <f>ABS(BX160)</f>
        <v/>
      </c>
      <c r="BX160" s="34">
        <f>AY160-(J160-L160+N160-Q160+T160-X160)</f>
        <v/>
      </c>
      <c r="BY160" s="34">
        <f>IF(AND(BX160&gt;0,MIN($F160:$G160)&lt;150,$E160="Enerji Açığı"),-100*BX160*1.03,IF(AND(BX160&gt;0,MIN($F160:$G160)&lt;150,$E160="Enerji Fazlası"),-100*BX160*1.06,IF(AND(BX160&gt;0,MIN($F160:$G160)&gt;=150,$E160="Enerji Açığı"),BX160*MIN($F160:$G160)*0.97,IF(AND(BX160&gt;0,MIN($F160:$G160)&gt;=150,$E160="Enerji Fazlası"),BX160*MIN($F160:$G160)*0.94,IF(AND(BX160&lt;0,MAX($F160:$G160)=4500,$E160="Enerji Açığı"),4500*1.05*1.06*BX160,IF(AND(BX160&lt;0,MAX($F160:$G160)=4500,$E160="Enerji Fazlası"),4500*1.05*1.03*BX160,IF(AND(BX160&lt;0,$E160="Enerji Açığı"),MAX($F160,$G160,150)*BX160*1.06,IF(AND(BX160&lt;0,$E160="Enerji Fazlası"),MAX($F160,$G160,150)*BX160*1.03,IF(AND(BX160&lt;0,$E160="Dengede"),MAX($F160:$G160,150)*1.03*BX160,MIN($F160:$G160)*0.97*BX160)))))))))</f>
        <v/>
      </c>
      <c r="BZ160" s="34">
        <f>BE160-BV160-CA160</f>
        <v/>
      </c>
      <c r="CA160" s="34">
        <f>BD160</f>
        <v/>
      </c>
      <c r="CB160" s="33">
        <f>BE160-BV160</f>
        <v/>
      </c>
      <c r="CC160" s="34">
        <f>IF(AY160=0,0,CB160/AY160)</f>
        <v/>
      </c>
      <c r="CD160" s="34">
        <f>MAX((AY160+MAX((-J160+L160-N160+Q160-T160+X160),0)),(MAX((J160-L160+N160-Q160+T160-X160),0)))</f>
        <v/>
      </c>
      <c r="CE160" s="82">
        <f>IFERROR(ABS(BX160/CD160),0)</f>
        <v/>
      </c>
      <c r="CF160" s="34">
        <f>IF(CE160&lt;=0.1,0,BX160/CE160*(CE160-0.1))</f>
        <v/>
      </c>
      <c r="CG160" s="34">
        <f>IF((CF160)&lt;0,MAX(F160:G160)*(CF160)*1.03,MIN(F160:G160)*(CF160)*0.97)</f>
        <v/>
      </c>
      <c r="CH160" s="34">
        <f>IF(CE160&gt;0.1,1,0)</f>
        <v/>
      </c>
      <c r="CI160" s="34">
        <f>(F160*BX160)-BY160</f>
        <v/>
      </c>
      <c r="CJ160" s="34">
        <f>IF(AY160=0,0,CI160/AY160)</f>
        <v/>
      </c>
    </row>
    <row r="161">
      <c r="A161" s="29" t="n">
        <v>46210.58333333334</v>
      </c>
      <c r="B161" s="29" t="inlineStr">
        <is>
          <t>14:00</t>
        </is>
      </c>
      <c r="C161" s="35">
        <f>INT(A161)</f>
        <v/>
      </c>
      <c r="D161" s="36">
        <f>MONTH(A161)</f>
        <v/>
      </c>
      <c r="E161" s="147" t="inlineStr">
        <is>
          <t>Enerji Açığı</t>
        </is>
      </c>
      <c r="F161" s="30" t="n">
        <v>1999.99</v>
      </c>
      <c r="G161" s="30" t="n">
        <v>2500</v>
      </c>
      <c r="H161" s="30" t="n">
        <v>42.89</v>
      </c>
      <c r="I161" s="30" t="n">
        <v>1508.11</v>
      </c>
      <c r="J161" s="119" t="n">
        <v>0</v>
      </c>
      <c r="K161" s="34">
        <f>F161*J161</f>
        <v/>
      </c>
      <c r="L161" s="119" t="n">
        <v>0</v>
      </c>
      <c r="M161" s="34">
        <f>L161*F161</f>
        <v/>
      </c>
      <c r="N161" s="119" t="n">
        <v>22.6</v>
      </c>
      <c r="O161" s="34">
        <f>F161</f>
        <v/>
      </c>
      <c r="P161" s="34">
        <f>N161*O161</f>
        <v/>
      </c>
      <c r="Q161" s="117" t="n">
        <v>0</v>
      </c>
      <c r="R161" s="34">
        <f>F161</f>
        <v/>
      </c>
      <c r="S161" s="34">
        <f>R161*Q161</f>
        <v/>
      </c>
      <c r="T161" s="34" t="n"/>
      <c r="U161" s="34">
        <f>IFERROR(W161/T161,0)</f>
        <v/>
      </c>
      <c r="V161" s="34">
        <f>IF(U161=0,0,U161-F161)</f>
        <v/>
      </c>
      <c r="W161" s="34" t="n"/>
      <c r="X161" s="34" t="n"/>
      <c r="Y161" s="34">
        <f>IFERROR(AA161/X161,0)</f>
        <v/>
      </c>
      <c r="Z161" s="34">
        <f>IF(Y161=0,0,F161-Y161)</f>
        <v/>
      </c>
      <c r="AA161" s="34" t="n"/>
      <c r="AB161" s="34" t="n">
        <v>0</v>
      </c>
      <c r="AC161" s="34" t="n">
        <v>0</v>
      </c>
      <c r="AD161" s="34">
        <f>IF(AB161&gt;AC161*1.05,AB161-AC161*1.05,IF(AB161&lt;AC161*0.95,AC161*0.95-AB161,0))</f>
        <v/>
      </c>
      <c r="AE161" s="34">
        <f>MAX(F161,G161,750)*0.05*AD161</f>
        <v/>
      </c>
      <c r="AF161" s="34" t="n">
        <v>0</v>
      </c>
      <c r="AG161" s="34">
        <f>IF(AB161&gt;AF161*1.05,AB161-AF161*1.05,IF(AB161&lt;AF161*0.95,AF161*0.95-AB161,0))</f>
        <v/>
      </c>
      <c r="AH161" s="34">
        <f>MAX(I161,J161,750)*0.05*AG161</f>
        <v/>
      </c>
      <c r="AI161" t="n">
        <v>10.99</v>
      </c>
      <c r="AJ161" t="n">
        <v>9</v>
      </c>
      <c r="AK161" s="34">
        <f>IF(AI161&gt;AJ161*1.05,AI161-AJ161*1.05,IF(AI161&lt;AJ161*0.95,AJ161*0.95-AI161,0))</f>
        <v/>
      </c>
      <c r="AL161" s="34">
        <f>MAX(F161,G161,750)*0.05*AK161</f>
        <v/>
      </c>
      <c r="AM161" s="39" t="n">
        <v>10.5</v>
      </c>
      <c r="AN161" s="34">
        <f>IF(AI161&gt;AM161*1.05,AI161-AM161*1.05,IF(AI161&lt;AM161*0.95,AM161*0.95-AI161,0))</f>
        <v/>
      </c>
      <c r="AO161" s="34">
        <f>MAX(F161,G161,750)*0.05*AN161</f>
        <v/>
      </c>
      <c r="AP161" s="34" t="n">
        <v>15.06</v>
      </c>
      <c r="AQ161" s="34" t="n">
        <v>13.6</v>
      </c>
      <c r="AR161" s="34">
        <f>IF(AP161&gt;AQ161*1.05,AP161-AQ161*1.05,IF(AP161&lt;AQ161*0.95,AQ161*0.95-AP161,0))</f>
        <v/>
      </c>
      <c r="AS161" s="34">
        <f>MAX(F161:G161,750)*0.05*AR161</f>
        <v/>
      </c>
      <c r="AT161" t="n">
        <v>15</v>
      </c>
      <c r="AU161" s="34">
        <f>IF(AP161&gt;AT161*1.05,AP161-AT161*1.05,IF(AP161&lt;AT161*0.95,AT161*0.95-AP161,0))</f>
        <v/>
      </c>
      <c r="AV161" s="34">
        <f>MAX(F161:G161,750)*0.05*AU161</f>
        <v/>
      </c>
      <c r="AW161" s="34">
        <f>AC161+AJ161+AQ161</f>
        <v/>
      </c>
      <c r="AX161" s="34">
        <f>AF161+AM161+AT161</f>
        <v/>
      </c>
      <c r="AY161" s="34">
        <f>AB161+AI161+AP161</f>
        <v/>
      </c>
      <c r="AZ161" s="34" t="n">
        <v>0</v>
      </c>
      <c r="BA161" s="34">
        <f>AD161+AK161+AR161</f>
        <v/>
      </c>
      <c r="BB161" s="34">
        <f>MAX(F161:G161,750)*0.05*BA161</f>
        <v/>
      </c>
      <c r="BC161" s="34">
        <f>AG161+AN161+AU161</f>
        <v/>
      </c>
      <c r="BD161" s="34">
        <f>MAX(F161:G161,750)*0.05*BC161</f>
        <v/>
      </c>
      <c r="BE161" s="34">
        <f>F161*AY161</f>
        <v/>
      </c>
      <c r="BF161" s="34">
        <f>K161-M161</f>
        <v/>
      </c>
      <c r="BG161" s="34">
        <f>P161-S161</f>
        <v/>
      </c>
      <c r="BH161" s="34">
        <f>W161-AA161</f>
        <v/>
      </c>
      <c r="BI161" s="34">
        <f>BF161+BG161+BL161-BN161</f>
        <v/>
      </c>
      <c r="BJ161" s="34">
        <f>ABS(BK161)</f>
        <v/>
      </c>
      <c r="BK161" s="34">
        <f>AY161-(J161-L161+N161-Q161)</f>
        <v/>
      </c>
      <c r="BL161" s="34">
        <f>IF(AND(BK161&gt;0,MIN($F161:$G161)&lt;150,$E161="Enerji Açığı"),-100*BK161*1.03,IF(AND(BK161&gt;0,MIN($F161:$G161)&lt;150,$E161="Enerji Fazlası"),-100*BK161*1.06,IF(AND(BK161&gt;0,MIN($F161:$G161)&gt;=150,$E161="Enerji Açığı"),BK161*MIN($F161:$G161)*0.97,IF(AND(BK161&gt;0,MIN($F161:$G161)&gt;=150,$E161="Enerji Fazlası"),BK161*MIN($F161:$G161)*0.94,IF(AND(BK161&lt;0,MAX($F161:$G161)=4500,$E161="Enerji Açığı"),4500*1.05*1.06*BK161,IF(AND(BK161&lt;0,MAX($F161:$G161)=4500,$E161="Enerji Fazlası"),4500*1.05*1.03*BK161,IF(AND(BK161&lt;0,$E161="Enerji Açığı"),MAX($F161,$G161,150)*BK161*1.06,IF(AND(BK161&lt;0,$E161="Enerji Fazlası"),MAX($F161,$G161,150)*BK161*1.03,IF(AND(BK161&lt;0,$E161="Dengede"),MAX($F161:$G161,150)*1.03*BK161,MIN($F161:$G161)*0.97*BK161)))))))))</f>
        <v/>
      </c>
      <c r="BM161" s="34">
        <f>BE161-BI161-BN161</f>
        <v/>
      </c>
      <c r="BN161" s="34">
        <f>BB161</f>
        <v/>
      </c>
      <c r="BO161" s="34">
        <f>BE161-BI161</f>
        <v/>
      </c>
      <c r="BP161" s="34">
        <f>IF(AY161=0,0,BO161/AY161)</f>
        <v/>
      </c>
      <c r="BQ161" s="34">
        <f>MAX((AY161+MAX((-J161+L161-N161+Q161),0)),(MAX((J161-L161+N161-Q161),0)))</f>
        <v/>
      </c>
      <c r="BR161" s="82">
        <f>IFERROR(ABS(BK161/BQ161),0)</f>
        <v/>
      </c>
      <c r="BS161" s="34">
        <f>IF(BR161&lt;=0.1,0,BK161/BR161*(BR161-0.1))</f>
        <v/>
      </c>
      <c r="BT161" s="34">
        <f>IF((BS161)&lt;0,MAX(F161:G161)*(BS161)*1.03,MIN(F161:G161)*(BS161)*0.97)</f>
        <v/>
      </c>
      <c r="BU161" s="34">
        <f>IF(BR161&gt;0.1,1,0)</f>
        <v/>
      </c>
      <c r="BV161" s="34">
        <f>BF161+BG161+BH161+BY161-CA161</f>
        <v/>
      </c>
      <c r="BW161" s="34">
        <f>ABS(BX161)</f>
        <v/>
      </c>
      <c r="BX161" s="34">
        <f>AY161-(J161-L161+N161-Q161+T161-X161)</f>
        <v/>
      </c>
      <c r="BY161" s="34">
        <f>IF(AND(BX161&gt;0,MIN($F161:$G161)&lt;150,$E161="Enerji Açığı"),-100*BX161*1.03,IF(AND(BX161&gt;0,MIN($F161:$G161)&lt;150,$E161="Enerji Fazlası"),-100*BX161*1.06,IF(AND(BX161&gt;0,MIN($F161:$G161)&gt;=150,$E161="Enerji Açığı"),BX161*MIN($F161:$G161)*0.97,IF(AND(BX161&gt;0,MIN($F161:$G161)&gt;=150,$E161="Enerji Fazlası"),BX161*MIN($F161:$G161)*0.94,IF(AND(BX161&lt;0,MAX($F161:$G161)=4500,$E161="Enerji Açığı"),4500*1.05*1.06*BX161,IF(AND(BX161&lt;0,MAX($F161:$G161)=4500,$E161="Enerji Fazlası"),4500*1.05*1.03*BX161,IF(AND(BX161&lt;0,$E161="Enerji Açığı"),MAX($F161,$G161,150)*BX161*1.06,IF(AND(BX161&lt;0,$E161="Enerji Fazlası"),MAX($F161,$G161,150)*BX161*1.03,IF(AND(BX161&lt;0,$E161="Dengede"),MAX($F161:$G161,150)*1.03*BX161,MIN($F161:$G161)*0.97*BX161)))))))))</f>
        <v/>
      </c>
      <c r="BZ161" s="34">
        <f>BE161-BV161-CA161</f>
        <v/>
      </c>
      <c r="CA161" s="34">
        <f>BD161</f>
        <v/>
      </c>
      <c r="CB161" s="33">
        <f>BE161-BV161</f>
        <v/>
      </c>
      <c r="CC161" s="34">
        <f>IF(AY161=0,0,CB161/AY161)</f>
        <v/>
      </c>
      <c r="CD161" s="34">
        <f>MAX((AY161+MAX((-J161+L161-N161+Q161-T161+X161),0)),(MAX((J161-L161+N161-Q161+T161-X161),0)))</f>
        <v/>
      </c>
      <c r="CE161" s="82">
        <f>IFERROR(ABS(BX161/CD161),0)</f>
        <v/>
      </c>
      <c r="CF161" s="34">
        <f>IF(CE161&lt;=0.1,0,BX161/CE161*(CE161-0.1))</f>
        <v/>
      </c>
      <c r="CG161" s="34">
        <f>IF((CF161)&lt;0,MAX(F161:G161)*(CF161)*1.03,MIN(F161:G161)*(CF161)*0.97)</f>
        <v/>
      </c>
      <c r="CH161" s="34">
        <f>IF(CE161&gt;0.1,1,0)</f>
        <v/>
      </c>
      <c r="CI161" s="34">
        <f>(F161*BX161)-BY161</f>
        <v/>
      </c>
      <c r="CJ161" s="34">
        <f>IF(AY161=0,0,CI161/AY161)</f>
        <v/>
      </c>
    </row>
    <row r="162">
      <c r="A162" s="29" t="n">
        <v>46210.625</v>
      </c>
      <c r="B162" s="29" t="inlineStr">
        <is>
          <t>15:00</t>
        </is>
      </c>
      <c r="C162" s="35">
        <f>INT(A162)</f>
        <v/>
      </c>
      <c r="D162" s="36">
        <f>MONTH(A162)</f>
        <v/>
      </c>
      <c r="E162" s="147" t="inlineStr">
        <is>
          <t>Enerji Fazlası</t>
        </is>
      </c>
      <c r="F162" s="30" t="n">
        <v>1987.57</v>
      </c>
      <c r="G162" s="30" t="n">
        <v>800</v>
      </c>
      <c r="H162" s="30" t="n">
        <v>42.62</v>
      </c>
      <c r="I162" s="30" t="n">
        <v>1455.26</v>
      </c>
      <c r="J162" s="119" t="n">
        <v>0</v>
      </c>
      <c r="K162" s="34">
        <f>F162*J162</f>
        <v/>
      </c>
      <c r="L162" s="119" t="n">
        <v>0</v>
      </c>
      <c r="M162" s="34">
        <f>L162*F162</f>
        <v/>
      </c>
      <c r="N162" s="119" t="n">
        <v>22.3</v>
      </c>
      <c r="O162" s="34">
        <f>F162</f>
        <v/>
      </c>
      <c r="P162" s="34">
        <f>N162*O162</f>
        <v/>
      </c>
      <c r="Q162" s="117" t="n">
        <v>0</v>
      </c>
      <c r="R162" s="34">
        <f>F162</f>
        <v/>
      </c>
      <c r="S162" s="34">
        <f>R162*Q162</f>
        <v/>
      </c>
      <c r="T162" s="34" t="n"/>
      <c r="U162" s="34">
        <f>IFERROR(W162/T162,0)</f>
        <v/>
      </c>
      <c r="V162" s="34">
        <f>IF(U162=0,0,U162-F162)</f>
        <v/>
      </c>
      <c r="W162" s="34" t="n"/>
      <c r="X162" s="34" t="n"/>
      <c r="Y162" s="34">
        <f>IFERROR(AA162/X162,0)</f>
        <v/>
      </c>
      <c r="Z162" s="34">
        <f>IF(Y162=0,0,F162-Y162)</f>
        <v/>
      </c>
      <c r="AA162" s="34" t="n"/>
      <c r="AB162" s="34" t="n">
        <v>0</v>
      </c>
      <c r="AC162" s="34" t="n">
        <v>0</v>
      </c>
      <c r="AD162" s="34">
        <f>IF(AB162&gt;AC162*1.05,AB162-AC162*1.05,IF(AB162&lt;AC162*0.95,AC162*0.95-AB162,0))</f>
        <v/>
      </c>
      <c r="AE162" s="34">
        <f>MAX(F162,G162,750)*0.05*AD162</f>
        <v/>
      </c>
      <c r="AF162" s="34" t="n">
        <v>0</v>
      </c>
      <c r="AG162" s="34">
        <f>IF(AB162&gt;AF162*1.05,AB162-AF162*1.05,IF(AB162&lt;AF162*0.95,AF162*0.95-AB162,0))</f>
        <v/>
      </c>
      <c r="AH162" s="34">
        <f>MAX(I162,J162,750)*0.05*AG162</f>
        <v/>
      </c>
      <c r="AI162" t="n">
        <v>10.74</v>
      </c>
      <c r="AJ162" t="n">
        <v>9</v>
      </c>
      <c r="AK162" s="34">
        <f>IF(AI162&gt;AJ162*1.05,AI162-AJ162*1.05,IF(AI162&lt;AJ162*0.95,AJ162*0.95-AI162,0))</f>
        <v/>
      </c>
      <c r="AL162" s="34">
        <f>MAX(F162,G162,750)*0.05*AK162</f>
        <v/>
      </c>
      <c r="AM162" s="39" t="n">
        <v>10</v>
      </c>
      <c r="AN162" s="34">
        <f>IF(AI162&gt;AM162*1.05,AI162-AM162*1.05,IF(AI162&lt;AM162*0.95,AM162*0.95-AI162,0))</f>
        <v/>
      </c>
      <c r="AO162" s="34">
        <f>MAX(F162,G162,750)*0.05*AN162</f>
        <v/>
      </c>
      <c r="AP162" s="34" t="n">
        <v>13.47</v>
      </c>
      <c r="AQ162" s="34" t="n">
        <v>13.3</v>
      </c>
      <c r="AR162" s="34">
        <f>IF(AP162&gt;AQ162*1.05,AP162-AQ162*1.05,IF(AP162&lt;AQ162*0.95,AQ162*0.95-AP162,0))</f>
        <v/>
      </c>
      <c r="AS162" s="34">
        <f>MAX(F162:G162,750)*0.05*AR162</f>
        <v/>
      </c>
      <c r="AT162" t="n">
        <v>13.3</v>
      </c>
      <c r="AU162" s="34">
        <f>IF(AP162&gt;AT162*1.05,AP162-AT162*1.05,IF(AP162&lt;AT162*0.95,AT162*0.95-AP162,0))</f>
        <v/>
      </c>
      <c r="AV162" s="34">
        <f>MAX(F162:G162,750)*0.05*AU162</f>
        <v/>
      </c>
      <c r="AW162" s="34">
        <f>AC162+AJ162+AQ162</f>
        <v/>
      </c>
      <c r="AX162" s="34">
        <f>AF162+AM162+AT162</f>
        <v/>
      </c>
      <c r="AY162" s="34">
        <f>AB162+AI162+AP162</f>
        <v/>
      </c>
      <c r="AZ162" s="34" t="n">
        <v>0</v>
      </c>
      <c r="BA162" s="34">
        <f>AD162+AK162+AR162</f>
        <v/>
      </c>
      <c r="BB162" s="34">
        <f>MAX(F162:G162,750)*0.05*BA162</f>
        <v/>
      </c>
      <c r="BC162" s="34">
        <f>AG162+AN162+AU162</f>
        <v/>
      </c>
      <c r="BD162" s="34">
        <f>MAX(F162:G162,750)*0.05*BC162</f>
        <v/>
      </c>
      <c r="BE162" s="34">
        <f>F162*AY162</f>
        <v/>
      </c>
      <c r="BF162" s="34">
        <f>K162-M162</f>
        <v/>
      </c>
      <c r="BG162" s="34">
        <f>P162-S162</f>
        <v/>
      </c>
      <c r="BH162" s="34">
        <f>W162-AA162</f>
        <v/>
      </c>
      <c r="BI162" s="34">
        <f>BF162+BG162+BL162-BN162</f>
        <v/>
      </c>
      <c r="BJ162" s="34">
        <f>ABS(BK162)</f>
        <v/>
      </c>
      <c r="BK162" s="34">
        <f>AY162-(J162-L162+N162-Q162)</f>
        <v/>
      </c>
      <c r="BL162" s="34">
        <f>IF(AND(BK162&gt;0,MIN($F162:$G162)&lt;150,$E162="Enerji Açığı"),-100*BK162*1.03,IF(AND(BK162&gt;0,MIN($F162:$G162)&lt;150,$E162="Enerji Fazlası"),-100*BK162*1.06,IF(AND(BK162&gt;0,MIN($F162:$G162)&gt;=150,$E162="Enerji Açığı"),BK162*MIN($F162:$G162)*0.97,IF(AND(BK162&gt;0,MIN($F162:$G162)&gt;=150,$E162="Enerji Fazlası"),BK162*MIN($F162:$G162)*0.94,IF(AND(BK162&lt;0,MAX($F162:$G162)=4500,$E162="Enerji Açığı"),4500*1.05*1.06*BK162,IF(AND(BK162&lt;0,MAX($F162:$G162)=4500,$E162="Enerji Fazlası"),4500*1.05*1.03*BK162,IF(AND(BK162&lt;0,$E162="Enerji Açığı"),MAX($F162,$G162,150)*BK162*1.06,IF(AND(BK162&lt;0,$E162="Enerji Fazlası"),MAX($F162,$G162,150)*BK162*1.03,IF(AND(BK162&lt;0,$E162="Dengede"),MAX($F162:$G162,150)*1.03*BK162,MIN($F162:$G162)*0.97*BK162)))))))))</f>
        <v/>
      </c>
      <c r="BM162" s="34">
        <f>BE162-BI162-BN162</f>
        <v/>
      </c>
      <c r="BN162" s="34">
        <f>BB162</f>
        <v/>
      </c>
      <c r="BO162" s="34">
        <f>BE162-BI162</f>
        <v/>
      </c>
      <c r="BP162" s="34">
        <f>IF(AY162=0,0,BO162/AY162)</f>
        <v/>
      </c>
      <c r="BQ162" s="34">
        <f>MAX((AY162+MAX((-J162+L162-N162+Q162),0)),(MAX((J162-L162+N162-Q162),0)))</f>
        <v/>
      </c>
      <c r="BR162" s="82">
        <f>IFERROR(ABS(BK162/BQ162),0)</f>
        <v/>
      </c>
      <c r="BS162" s="34">
        <f>IF(BR162&lt;=0.1,0,BK162/BR162*(BR162-0.1))</f>
        <v/>
      </c>
      <c r="BT162" s="34">
        <f>IF((BS162)&lt;0,MAX(F162:G162)*(BS162)*1.03,MIN(F162:G162)*(BS162)*0.97)</f>
        <v/>
      </c>
      <c r="BU162" s="34">
        <f>IF(BR162&gt;0.1,1,0)</f>
        <v/>
      </c>
      <c r="BV162" s="34">
        <f>BF162+BG162+BH162+BY162-CA162</f>
        <v/>
      </c>
      <c r="BW162" s="34">
        <f>ABS(BX162)</f>
        <v/>
      </c>
      <c r="BX162" s="34">
        <f>AY162-(J162-L162+N162-Q162+T162-X162)</f>
        <v/>
      </c>
      <c r="BY162" s="34">
        <f>IF(AND(BX162&gt;0,MIN($F162:$G162)&lt;150,$E162="Enerji Açığı"),-100*BX162*1.03,IF(AND(BX162&gt;0,MIN($F162:$G162)&lt;150,$E162="Enerji Fazlası"),-100*BX162*1.06,IF(AND(BX162&gt;0,MIN($F162:$G162)&gt;=150,$E162="Enerji Açığı"),BX162*MIN($F162:$G162)*0.97,IF(AND(BX162&gt;0,MIN($F162:$G162)&gt;=150,$E162="Enerji Fazlası"),BX162*MIN($F162:$G162)*0.94,IF(AND(BX162&lt;0,MAX($F162:$G162)=4500,$E162="Enerji Açığı"),4500*1.05*1.06*BX162,IF(AND(BX162&lt;0,MAX($F162:$G162)=4500,$E162="Enerji Fazlası"),4500*1.05*1.03*BX162,IF(AND(BX162&lt;0,$E162="Enerji Açığı"),MAX($F162,$G162,150)*BX162*1.06,IF(AND(BX162&lt;0,$E162="Enerji Fazlası"),MAX($F162,$G162,150)*BX162*1.03,IF(AND(BX162&lt;0,$E162="Dengede"),MAX($F162:$G162,150)*1.03*BX162,MIN($F162:$G162)*0.97*BX162)))))))))</f>
        <v/>
      </c>
      <c r="BZ162" s="34">
        <f>BE162-BV162-CA162</f>
        <v/>
      </c>
      <c r="CA162" s="34">
        <f>BD162</f>
        <v/>
      </c>
      <c r="CB162" s="33">
        <f>BE162-BV162</f>
        <v/>
      </c>
      <c r="CC162" s="34">
        <f>IF(AY162=0,0,CB162/AY162)</f>
        <v/>
      </c>
      <c r="CD162" s="34">
        <f>MAX((AY162+MAX((-J162+L162-N162+Q162-T162+X162),0)),(MAX((J162-L162+N162-Q162+T162-X162),0)))</f>
        <v/>
      </c>
      <c r="CE162" s="82">
        <f>IFERROR(ABS(BX162/CD162),0)</f>
        <v/>
      </c>
      <c r="CF162" s="34">
        <f>IF(CE162&lt;=0.1,0,BX162/CE162*(CE162-0.1))</f>
        <v/>
      </c>
      <c r="CG162" s="34">
        <f>IF((CF162)&lt;0,MAX(F162:G162)*(CF162)*1.03,MIN(F162:G162)*(CF162)*0.97)</f>
        <v/>
      </c>
      <c r="CH162" s="34">
        <f>IF(CE162&gt;0.1,1,0)</f>
        <v/>
      </c>
      <c r="CI162" s="34">
        <f>(F162*BX162)-BY162</f>
        <v/>
      </c>
      <c r="CJ162" s="34">
        <f>IF(AY162=0,0,CI162/AY162)</f>
        <v/>
      </c>
    </row>
    <row r="163">
      <c r="A163" s="29" t="n">
        <v>46210.66666666666</v>
      </c>
      <c r="B163" s="29" t="inlineStr">
        <is>
          <t>16:00</t>
        </is>
      </c>
      <c r="C163" s="35">
        <f>INT(A163)</f>
        <v/>
      </c>
      <c r="D163" s="36">
        <f>MONTH(A163)</f>
        <v/>
      </c>
      <c r="E163" s="147" t="inlineStr">
        <is>
          <t>Enerji Açığı</t>
        </is>
      </c>
      <c r="F163" s="30" t="n">
        <v>2395.31</v>
      </c>
      <c r="G163" s="30" t="n">
        <v>3500</v>
      </c>
      <c r="H163" s="30" t="n">
        <v>51.36</v>
      </c>
      <c r="I163" s="30" t="n">
        <v>2041.72</v>
      </c>
      <c r="J163" s="119" t="n">
        <v>0</v>
      </c>
      <c r="K163" s="34">
        <f>F163*J163</f>
        <v/>
      </c>
      <c r="L163" s="119" t="n">
        <v>0</v>
      </c>
      <c r="M163" s="34">
        <f>L163*F163</f>
        <v/>
      </c>
      <c r="N163" s="119" t="n">
        <v>20</v>
      </c>
      <c r="O163" s="34">
        <f>F163</f>
        <v/>
      </c>
      <c r="P163" s="34">
        <f>N163*O163</f>
        <v/>
      </c>
      <c r="Q163" s="117" t="n">
        <v>0</v>
      </c>
      <c r="R163" s="34">
        <f>F163</f>
        <v/>
      </c>
      <c r="S163" s="34">
        <f>R163*Q163</f>
        <v/>
      </c>
      <c r="T163" s="34" t="n"/>
      <c r="U163" s="34">
        <f>IFERROR(W163/T163,0)</f>
        <v/>
      </c>
      <c r="V163" s="34">
        <f>IF(U163=0,0,U163-F163)</f>
        <v/>
      </c>
      <c r="W163" s="34" t="n"/>
      <c r="X163" s="34" t="n"/>
      <c r="Y163" s="34">
        <f>IFERROR(AA163/X163,0)</f>
        <v/>
      </c>
      <c r="Z163" s="34">
        <f>IF(Y163=0,0,F163-Y163)</f>
        <v/>
      </c>
      <c r="AA163" s="34" t="n"/>
      <c r="AB163" s="34" t="n">
        <v>0</v>
      </c>
      <c r="AC163" s="34" t="n">
        <v>0</v>
      </c>
      <c r="AD163" s="34">
        <f>IF(AB163&gt;AC163*1.05,AB163-AC163*1.05,IF(AB163&lt;AC163*0.95,AC163*0.95-AB163,0))</f>
        <v/>
      </c>
      <c r="AE163" s="34">
        <f>MAX(F163,G163,750)*0.05*AD163</f>
        <v/>
      </c>
      <c r="AF163" s="34" t="n">
        <v>0</v>
      </c>
      <c r="AG163" s="34">
        <f>IF(AB163&gt;AF163*1.05,AB163-AF163*1.05,IF(AB163&lt;AF163*0.95,AF163*0.95-AB163,0))</f>
        <v/>
      </c>
      <c r="AH163" s="34">
        <f>MAX(I163,J163,750)*0.05*AG163</f>
        <v/>
      </c>
      <c r="AI163" t="n">
        <v>11.2</v>
      </c>
      <c r="AJ163" t="n">
        <v>8</v>
      </c>
      <c r="AK163" s="34">
        <f>IF(AI163&gt;AJ163*1.05,AI163-AJ163*1.05,IF(AI163&lt;AJ163*0.95,AJ163*0.95-AI163,0))</f>
        <v/>
      </c>
      <c r="AL163" s="34">
        <f>MAX(F163,G163,750)*0.05*AK163</f>
        <v/>
      </c>
      <c r="AM163" s="39" t="n">
        <v>11</v>
      </c>
      <c r="AN163" s="34">
        <f>IF(AI163&gt;AM163*1.05,AI163-AM163*1.05,IF(AI163&lt;AM163*0.95,AM163*0.95-AI163,0))</f>
        <v/>
      </c>
      <c r="AO163" s="34">
        <f>MAX(F163,G163,750)*0.05*AN163</f>
        <v/>
      </c>
      <c r="AP163" s="34" t="n">
        <v>14.12</v>
      </c>
      <c r="AQ163" s="34" t="n">
        <v>12</v>
      </c>
      <c r="AR163" s="34">
        <f>IF(AP163&gt;AQ163*1.05,AP163-AQ163*1.05,IF(AP163&lt;AQ163*0.95,AQ163*0.95-AP163,0))</f>
        <v/>
      </c>
      <c r="AS163" s="34">
        <f>MAX(F163:G163,750)*0.05*AR163</f>
        <v/>
      </c>
      <c r="AT163" t="n">
        <v>14</v>
      </c>
      <c r="AU163" s="34">
        <f>IF(AP163&gt;AT163*1.05,AP163-AT163*1.05,IF(AP163&lt;AT163*0.95,AT163*0.95-AP163,0))</f>
        <v/>
      </c>
      <c r="AV163" s="34">
        <f>MAX(F163:G163,750)*0.05*AU163</f>
        <v/>
      </c>
      <c r="AW163" s="34">
        <f>AC163+AJ163+AQ163</f>
        <v/>
      </c>
      <c r="AX163" s="34">
        <f>AF163+AM163+AT163</f>
        <v/>
      </c>
      <c r="AY163" s="34">
        <f>AB163+AI163+AP163</f>
        <v/>
      </c>
      <c r="AZ163" s="34" t="n">
        <v>0</v>
      </c>
      <c r="BA163" s="34">
        <f>AD163+AK163+AR163</f>
        <v/>
      </c>
      <c r="BB163" s="34">
        <f>MAX(F163:G163,750)*0.05*BA163</f>
        <v/>
      </c>
      <c r="BC163" s="34">
        <f>AG163+AN163+AU163</f>
        <v/>
      </c>
      <c r="BD163" s="34">
        <f>MAX(F163:G163,750)*0.05*BC163</f>
        <v/>
      </c>
      <c r="BE163" s="34">
        <f>F163*AY163</f>
        <v/>
      </c>
      <c r="BF163" s="34">
        <f>K163-M163</f>
        <v/>
      </c>
      <c r="BG163" s="34">
        <f>P163-S163</f>
        <v/>
      </c>
      <c r="BH163" s="34">
        <f>W163-AA163</f>
        <v/>
      </c>
      <c r="BI163" s="34">
        <f>BF163+BG163+BL163-BN163</f>
        <v/>
      </c>
      <c r="BJ163" s="34">
        <f>ABS(BK163)</f>
        <v/>
      </c>
      <c r="BK163" s="34">
        <f>AY163-(J163-L163+N163-Q163)</f>
        <v/>
      </c>
      <c r="BL163" s="34">
        <f>IF(AND(BK163&gt;0,MIN($F163:$G163)&lt;150,$E163="Enerji Açığı"),-100*BK163*1.03,IF(AND(BK163&gt;0,MIN($F163:$G163)&lt;150,$E163="Enerji Fazlası"),-100*BK163*1.06,IF(AND(BK163&gt;0,MIN($F163:$G163)&gt;=150,$E163="Enerji Açığı"),BK163*MIN($F163:$G163)*0.97,IF(AND(BK163&gt;0,MIN($F163:$G163)&gt;=150,$E163="Enerji Fazlası"),BK163*MIN($F163:$G163)*0.94,IF(AND(BK163&lt;0,MAX($F163:$G163)=4500,$E163="Enerji Açığı"),4500*1.05*1.06*BK163,IF(AND(BK163&lt;0,MAX($F163:$G163)=4500,$E163="Enerji Fazlası"),4500*1.05*1.03*BK163,IF(AND(BK163&lt;0,$E163="Enerji Açığı"),MAX($F163,$G163,150)*BK163*1.06,IF(AND(BK163&lt;0,$E163="Enerji Fazlası"),MAX($F163,$G163,150)*BK163*1.03,IF(AND(BK163&lt;0,$E163="Dengede"),MAX($F163:$G163,150)*1.03*BK163,MIN($F163:$G163)*0.97*BK163)))))))))</f>
        <v/>
      </c>
      <c r="BM163" s="34">
        <f>BE163-BI163-BN163</f>
        <v/>
      </c>
      <c r="BN163" s="34">
        <f>BB163</f>
        <v/>
      </c>
      <c r="BO163" s="34">
        <f>BE163-BI163</f>
        <v/>
      </c>
      <c r="BP163" s="34">
        <f>IF(AY163=0,0,BO163/AY163)</f>
        <v/>
      </c>
      <c r="BQ163" s="34">
        <f>MAX((AY163+MAX((-J163+L163-N163+Q163),0)),(MAX((J163-L163+N163-Q163),0)))</f>
        <v/>
      </c>
      <c r="BR163" s="82">
        <f>IFERROR(ABS(BK163/BQ163),0)</f>
        <v/>
      </c>
      <c r="BS163" s="34">
        <f>IF(BR163&lt;=0.1,0,BK163/BR163*(BR163-0.1))</f>
        <v/>
      </c>
      <c r="BT163" s="34">
        <f>IF((BS163)&lt;0,MAX(F163:G163)*(BS163)*1.03,MIN(F163:G163)*(BS163)*0.97)</f>
        <v/>
      </c>
      <c r="BU163" s="34">
        <f>IF(BR163&gt;0.1,1,0)</f>
        <v/>
      </c>
      <c r="BV163" s="34">
        <f>BF163+BG163+BH163+BY163-CA163</f>
        <v/>
      </c>
      <c r="BW163" s="34">
        <f>ABS(BX163)</f>
        <v/>
      </c>
      <c r="BX163" s="34">
        <f>AY163-(J163-L163+N163-Q163+T163-X163)</f>
        <v/>
      </c>
      <c r="BY163" s="34">
        <f>IF(AND(BX163&gt;0,MIN($F163:$G163)&lt;150,$E163="Enerji Açığı"),-100*BX163*1.03,IF(AND(BX163&gt;0,MIN($F163:$G163)&lt;150,$E163="Enerji Fazlası"),-100*BX163*1.06,IF(AND(BX163&gt;0,MIN($F163:$G163)&gt;=150,$E163="Enerji Açığı"),BX163*MIN($F163:$G163)*0.97,IF(AND(BX163&gt;0,MIN($F163:$G163)&gt;=150,$E163="Enerji Fazlası"),BX163*MIN($F163:$G163)*0.94,IF(AND(BX163&lt;0,MAX($F163:$G163)=4500,$E163="Enerji Açığı"),4500*1.05*1.06*BX163,IF(AND(BX163&lt;0,MAX($F163:$G163)=4500,$E163="Enerji Fazlası"),4500*1.05*1.03*BX163,IF(AND(BX163&lt;0,$E163="Enerji Açığı"),MAX($F163,$G163,150)*BX163*1.06,IF(AND(BX163&lt;0,$E163="Enerji Fazlası"),MAX($F163,$G163,150)*BX163*1.03,IF(AND(BX163&lt;0,$E163="Dengede"),MAX($F163:$G163,150)*1.03*BX163,MIN($F163:$G163)*0.97*BX163)))))))))</f>
        <v/>
      </c>
      <c r="BZ163" s="34">
        <f>BE163-BV163-CA163</f>
        <v/>
      </c>
      <c r="CA163" s="34">
        <f>BD163</f>
        <v/>
      </c>
      <c r="CB163" s="33">
        <f>BE163-BV163</f>
        <v/>
      </c>
      <c r="CC163" s="34">
        <f>IF(AY163=0,0,CB163/AY163)</f>
        <v/>
      </c>
      <c r="CD163" s="34">
        <f>MAX((AY163+MAX((-J163+L163-N163+Q163-T163+X163),0)),(MAX((J163-L163+N163-Q163+T163-X163),0)))</f>
        <v/>
      </c>
      <c r="CE163" s="82">
        <f>IFERROR(ABS(BX163/CD163),0)</f>
        <v/>
      </c>
      <c r="CF163" s="34">
        <f>IF(CE163&lt;=0.1,0,BX163/CE163*(CE163-0.1))</f>
        <v/>
      </c>
      <c r="CG163" s="34">
        <f>IF((CF163)&lt;0,MAX(F163:G163)*(CF163)*1.03,MIN(F163:G163)*(CF163)*0.97)</f>
        <v/>
      </c>
      <c r="CH163" s="34">
        <f>IF(CE163&gt;0.1,1,0)</f>
        <v/>
      </c>
      <c r="CI163" s="34">
        <f>(F163*BX163)-BY163</f>
        <v/>
      </c>
      <c r="CJ163" s="34">
        <f>IF(AY163=0,0,CI163/AY163)</f>
        <v/>
      </c>
    </row>
    <row r="164">
      <c r="A164" s="29" t="n">
        <v>46210.70833333334</v>
      </c>
      <c r="B164" s="29" t="inlineStr">
        <is>
          <t>17:00</t>
        </is>
      </c>
      <c r="C164" s="35">
        <f>INT(A164)</f>
        <v/>
      </c>
      <c r="D164" s="36">
        <f>MONTH(A164)</f>
        <v/>
      </c>
      <c r="E164" s="147" t="inlineStr">
        <is>
          <t>Enerji Açığı</t>
        </is>
      </c>
      <c r="F164" s="30" t="n">
        <v>2865.59</v>
      </c>
      <c r="G164" s="30" t="n">
        <v>4029</v>
      </c>
      <c r="H164" s="30" t="n">
        <v>61.45</v>
      </c>
      <c r="I164" s="30" t="n">
        <v>2746.02</v>
      </c>
      <c r="J164" s="119" t="n">
        <v>0</v>
      </c>
      <c r="K164" s="34">
        <f>F164*J164</f>
        <v/>
      </c>
      <c r="L164" s="119" t="n">
        <v>0</v>
      </c>
      <c r="M164" s="34">
        <f>L164*F164</f>
        <v/>
      </c>
      <c r="N164" s="119" t="n">
        <v>19.5</v>
      </c>
      <c r="O164" s="34">
        <f>F164</f>
        <v/>
      </c>
      <c r="P164" s="34">
        <f>N164*O164</f>
        <v/>
      </c>
      <c r="Q164" s="117" t="n">
        <v>0</v>
      </c>
      <c r="R164" s="34">
        <f>F164</f>
        <v/>
      </c>
      <c r="S164" s="34">
        <f>R164*Q164</f>
        <v/>
      </c>
      <c r="T164" s="34" t="n"/>
      <c r="U164" s="34">
        <f>IFERROR(W164/T164,0)</f>
        <v/>
      </c>
      <c r="V164" s="34">
        <f>IF(U164=0,0,U164-F164)</f>
        <v/>
      </c>
      <c r="W164" s="34" t="n"/>
      <c r="X164" s="34" t="n"/>
      <c r="Y164" s="34">
        <f>IFERROR(AA164/X164,0)</f>
        <v/>
      </c>
      <c r="Z164" s="34">
        <f>IF(Y164=0,0,F164-Y164)</f>
        <v/>
      </c>
      <c r="AA164" s="34" t="n"/>
      <c r="AB164" s="34" t="n">
        <v>0</v>
      </c>
      <c r="AC164" s="34" t="n">
        <v>0</v>
      </c>
      <c r="AD164" s="34">
        <f>IF(AB164&gt;AC164*1.05,AB164-AC164*1.05,IF(AB164&lt;AC164*0.95,AC164*0.95-AB164,0))</f>
        <v/>
      </c>
      <c r="AE164" s="34">
        <f>MAX(F164,G164,750)*0.05*AD164</f>
        <v/>
      </c>
      <c r="AF164" s="34" t="n">
        <v>0</v>
      </c>
      <c r="AG164" s="34">
        <f>IF(AB164&gt;AF164*1.05,AB164-AF164*1.05,IF(AB164&lt;AF164*0.95,AF164*0.95-AB164,0))</f>
        <v/>
      </c>
      <c r="AH164" s="34">
        <f>MAX(I164,J164,750)*0.05*AG164</f>
        <v/>
      </c>
      <c r="AI164" t="n">
        <v>11.18</v>
      </c>
      <c r="AJ164" t="n">
        <v>8</v>
      </c>
      <c r="AK164" s="34">
        <f>IF(AI164&gt;AJ164*1.05,AI164-AJ164*1.05,IF(AI164&lt;AJ164*0.95,AJ164*0.95-AI164,0))</f>
        <v/>
      </c>
      <c r="AL164" s="34">
        <f>MAX(F164,G164,750)*0.05*AK164</f>
        <v/>
      </c>
      <c r="AM164" s="39" t="n">
        <v>11</v>
      </c>
      <c r="AN164" s="34">
        <f>IF(AI164&gt;AM164*1.05,AI164-AM164*1.05,IF(AI164&lt;AM164*0.95,AM164*0.95-AI164,0))</f>
        <v/>
      </c>
      <c r="AO164" s="34">
        <f>MAX(F164,G164,750)*0.05*AN164</f>
        <v/>
      </c>
      <c r="AP164" s="34" t="n">
        <v>13.48</v>
      </c>
      <c r="AQ164" s="34" t="n">
        <v>11.5</v>
      </c>
      <c r="AR164" s="34">
        <f>IF(AP164&gt;AQ164*1.05,AP164-AQ164*1.05,IF(AP164&lt;AQ164*0.95,AQ164*0.95-AP164,0))</f>
        <v/>
      </c>
      <c r="AS164" s="34">
        <f>MAX(F164:G164,750)*0.05*AR164</f>
        <v/>
      </c>
      <c r="AT164" t="n">
        <v>13.5</v>
      </c>
      <c r="AU164" s="34">
        <f>IF(AP164&gt;AT164*1.05,AP164-AT164*1.05,IF(AP164&lt;AT164*0.95,AT164*0.95-AP164,0))</f>
        <v/>
      </c>
      <c r="AV164" s="34">
        <f>MAX(F164:G164,750)*0.05*AU164</f>
        <v/>
      </c>
      <c r="AW164" s="34">
        <f>AC164+AJ164+AQ164</f>
        <v/>
      </c>
      <c r="AX164" s="34">
        <f>AF164+AM164+AT164</f>
        <v/>
      </c>
      <c r="AY164" s="34">
        <f>AB164+AI164+AP164</f>
        <v/>
      </c>
      <c r="AZ164" s="34" t="n">
        <v>0</v>
      </c>
      <c r="BA164" s="34">
        <f>AD164+AK164+AR164</f>
        <v/>
      </c>
      <c r="BB164" s="34">
        <f>MAX(F164:G164,750)*0.05*BA164</f>
        <v/>
      </c>
      <c r="BC164" s="34">
        <f>AG164+AN164+AU164</f>
        <v/>
      </c>
      <c r="BD164" s="34">
        <f>MAX(F164:G164,750)*0.05*BC164</f>
        <v/>
      </c>
      <c r="BE164" s="34">
        <f>F164*AY164</f>
        <v/>
      </c>
      <c r="BF164" s="34">
        <f>K164-M164</f>
        <v/>
      </c>
      <c r="BG164" s="34">
        <f>P164-S164</f>
        <v/>
      </c>
      <c r="BH164" s="34">
        <f>W164-AA164</f>
        <v/>
      </c>
      <c r="BI164" s="34">
        <f>BF164+BG164+BL164-BN164</f>
        <v/>
      </c>
      <c r="BJ164" s="34">
        <f>ABS(BK164)</f>
        <v/>
      </c>
      <c r="BK164" s="34">
        <f>AY164-(J164-L164+N164-Q164)</f>
        <v/>
      </c>
      <c r="BL164" s="34">
        <f>IF(AND(BK164&gt;0,MIN($F164:$G164)&lt;150,$E164="Enerji Açığı"),-100*BK164*1.03,IF(AND(BK164&gt;0,MIN($F164:$G164)&lt;150,$E164="Enerji Fazlası"),-100*BK164*1.06,IF(AND(BK164&gt;0,MIN($F164:$G164)&gt;=150,$E164="Enerji Açığı"),BK164*MIN($F164:$G164)*0.97,IF(AND(BK164&gt;0,MIN($F164:$G164)&gt;=150,$E164="Enerji Fazlası"),BK164*MIN($F164:$G164)*0.94,IF(AND(BK164&lt;0,MAX($F164:$G164)=4500,$E164="Enerji Açığı"),4500*1.05*1.06*BK164,IF(AND(BK164&lt;0,MAX($F164:$G164)=4500,$E164="Enerji Fazlası"),4500*1.05*1.03*BK164,IF(AND(BK164&lt;0,$E164="Enerji Açığı"),MAX($F164,$G164,150)*BK164*1.06,IF(AND(BK164&lt;0,$E164="Enerji Fazlası"),MAX($F164,$G164,150)*BK164*1.03,IF(AND(BK164&lt;0,$E164="Dengede"),MAX($F164:$G164,150)*1.03*BK164,MIN($F164:$G164)*0.97*BK164)))))))))</f>
        <v/>
      </c>
      <c r="BM164" s="34">
        <f>BE164-BI164-BN164</f>
        <v/>
      </c>
      <c r="BN164" s="34">
        <f>BB164</f>
        <v/>
      </c>
      <c r="BO164" s="34">
        <f>BE164-BI164</f>
        <v/>
      </c>
      <c r="BP164" s="34">
        <f>IF(AY164=0,0,BO164/AY164)</f>
        <v/>
      </c>
      <c r="BQ164" s="34">
        <f>MAX((AY164+MAX((-J164+L164-N164+Q164),0)),(MAX((J164-L164+N164-Q164),0)))</f>
        <v/>
      </c>
      <c r="BR164" s="82">
        <f>IFERROR(ABS(BK164/BQ164),0)</f>
        <v/>
      </c>
      <c r="BS164" s="34">
        <f>IF(BR164&lt;=0.1,0,BK164/BR164*(BR164-0.1))</f>
        <v/>
      </c>
      <c r="BT164" s="34">
        <f>IF((BS164)&lt;0,MAX(F164:G164)*(BS164)*1.03,MIN(F164:G164)*(BS164)*0.97)</f>
        <v/>
      </c>
      <c r="BU164" s="34">
        <f>IF(BR164&gt;0.1,1,0)</f>
        <v/>
      </c>
      <c r="BV164" s="34">
        <f>BF164+BG164+BH164+BY164-CA164</f>
        <v/>
      </c>
      <c r="BW164" s="34">
        <f>ABS(BX164)</f>
        <v/>
      </c>
      <c r="BX164" s="34">
        <f>AY164-(J164-L164+N164-Q164+T164-X164)</f>
        <v/>
      </c>
      <c r="BY164" s="34">
        <f>IF(AND(BX164&gt;0,MIN($F164:$G164)&lt;150,$E164="Enerji Açığı"),-100*BX164*1.03,IF(AND(BX164&gt;0,MIN($F164:$G164)&lt;150,$E164="Enerji Fazlası"),-100*BX164*1.06,IF(AND(BX164&gt;0,MIN($F164:$G164)&gt;=150,$E164="Enerji Açığı"),BX164*MIN($F164:$G164)*0.97,IF(AND(BX164&gt;0,MIN($F164:$G164)&gt;=150,$E164="Enerji Fazlası"),BX164*MIN($F164:$G164)*0.94,IF(AND(BX164&lt;0,MAX($F164:$G164)=4500,$E164="Enerji Açığı"),4500*1.05*1.06*BX164,IF(AND(BX164&lt;0,MAX($F164:$G164)=4500,$E164="Enerji Fazlası"),4500*1.05*1.03*BX164,IF(AND(BX164&lt;0,$E164="Enerji Açığı"),MAX($F164,$G164,150)*BX164*1.06,IF(AND(BX164&lt;0,$E164="Enerji Fazlası"),MAX($F164,$G164,150)*BX164*1.03,IF(AND(BX164&lt;0,$E164="Dengede"),MAX($F164:$G164,150)*1.03*BX164,MIN($F164:$G164)*0.97*BX164)))))))))</f>
        <v/>
      </c>
      <c r="BZ164" s="34">
        <f>BE164-BV164-CA164</f>
        <v/>
      </c>
      <c r="CA164" s="34">
        <f>BD164</f>
        <v/>
      </c>
      <c r="CB164" s="33">
        <f>BE164-BV164</f>
        <v/>
      </c>
      <c r="CC164" s="34">
        <f>IF(AY164=0,0,CB164/AY164)</f>
        <v/>
      </c>
      <c r="CD164" s="34">
        <f>MAX((AY164+MAX((-J164+L164-N164+Q164-T164+X164),0)),(MAX((J164-L164+N164-Q164+T164-X164),0)))</f>
        <v/>
      </c>
      <c r="CE164" s="82">
        <f>IFERROR(ABS(BX164/CD164),0)</f>
        <v/>
      </c>
      <c r="CF164" s="34">
        <f>IF(CE164&lt;=0.1,0,BX164/CE164*(CE164-0.1))</f>
        <v/>
      </c>
      <c r="CG164" s="34">
        <f>IF((CF164)&lt;0,MAX(F164:G164)*(CF164)*1.03,MIN(F164:G164)*(CF164)*0.97)</f>
        <v/>
      </c>
      <c r="CH164" s="34">
        <f>IF(CE164&gt;0.1,1,0)</f>
        <v/>
      </c>
      <c r="CI164" s="34">
        <f>(F164*BX164)-BY164</f>
        <v/>
      </c>
      <c r="CJ164" s="34">
        <f>IF(AY164=0,0,CI164/AY164)</f>
        <v/>
      </c>
    </row>
    <row r="165">
      <c r="A165" s="29" t="n">
        <v>46210.75</v>
      </c>
      <c r="B165" s="29" t="inlineStr">
        <is>
          <t>18:00</t>
        </is>
      </c>
      <c r="C165" s="35">
        <f>INT(A165)</f>
        <v/>
      </c>
      <c r="D165" s="36">
        <f>MONTH(A165)</f>
        <v/>
      </c>
      <c r="E165" s="147" t="inlineStr">
        <is>
          <t>Enerji Açığı</t>
        </is>
      </c>
      <c r="F165" s="30" t="n">
        <v>2451</v>
      </c>
      <c r="G165" s="30" t="n">
        <v>4100</v>
      </c>
      <c r="H165" s="30" t="n">
        <v>52.56</v>
      </c>
      <c r="I165" s="30" t="n">
        <v>2687.07</v>
      </c>
      <c r="J165" s="119" t="n">
        <v>0</v>
      </c>
      <c r="K165" s="34">
        <f>F165*J165</f>
        <v/>
      </c>
      <c r="L165" s="119" t="n">
        <v>0</v>
      </c>
      <c r="M165" s="34">
        <f>L165*F165</f>
        <v/>
      </c>
      <c r="N165" s="119" t="n">
        <v>20.3</v>
      </c>
      <c r="O165" s="34">
        <f>F165</f>
        <v/>
      </c>
      <c r="P165" s="34">
        <f>N165*O165</f>
        <v/>
      </c>
      <c r="Q165" s="117" t="n">
        <v>0</v>
      </c>
      <c r="R165" s="34">
        <f>F165</f>
        <v/>
      </c>
      <c r="S165" s="34">
        <f>R165*Q165</f>
        <v/>
      </c>
      <c r="T165" s="34" t="n"/>
      <c r="U165" s="34">
        <f>IFERROR(W165/T165,0)</f>
        <v/>
      </c>
      <c r="V165" s="34">
        <f>IF(U165=0,0,U165-F165)</f>
        <v/>
      </c>
      <c r="W165" s="34" t="n"/>
      <c r="X165" s="34" t="n"/>
      <c r="Y165" s="34">
        <f>IFERROR(AA165/X165,0)</f>
        <v/>
      </c>
      <c r="Z165" s="34">
        <f>IF(Y165=0,0,F165-Y165)</f>
        <v/>
      </c>
      <c r="AA165" s="34" t="n"/>
      <c r="AB165" s="34" t="n">
        <v>0</v>
      </c>
      <c r="AC165" s="34" t="n">
        <v>0</v>
      </c>
      <c r="AD165" s="34">
        <f>IF(AB165&gt;AC165*1.05,AB165-AC165*1.05,IF(AB165&lt;AC165*0.95,AC165*0.95-AB165,0))</f>
        <v/>
      </c>
      <c r="AE165" s="34">
        <f>MAX(F165,G165,750)*0.05*AD165</f>
        <v/>
      </c>
      <c r="AF165" s="34" t="n">
        <v>0</v>
      </c>
      <c r="AG165" s="34">
        <f>IF(AB165&gt;AF165*1.05,AB165-AF165*1.05,IF(AB165&lt;AF165*0.95,AF165*0.95-AB165,0))</f>
        <v/>
      </c>
      <c r="AH165" s="34">
        <f>MAX(I165,J165,750)*0.05*AG165</f>
        <v/>
      </c>
      <c r="AI165" t="n">
        <v>10.12</v>
      </c>
      <c r="AJ165" t="n">
        <v>9</v>
      </c>
      <c r="AK165" s="34">
        <f>IF(AI165&gt;AJ165*1.05,AI165-AJ165*1.05,IF(AI165&lt;AJ165*0.95,AJ165*0.95-AI165,0))</f>
        <v/>
      </c>
      <c r="AL165" s="34">
        <f>MAX(F165,G165,750)*0.05*AK165</f>
        <v/>
      </c>
      <c r="AM165" s="39" t="n">
        <v>10</v>
      </c>
      <c r="AN165" s="34">
        <f>IF(AI165&gt;AM165*1.05,AI165-AM165*1.05,IF(AI165&lt;AM165*0.95,AM165*0.95-AI165,0))</f>
        <v/>
      </c>
      <c r="AO165" s="34">
        <f>MAX(F165,G165,750)*0.05*AN165</f>
        <v/>
      </c>
      <c r="AP165" s="34" t="n">
        <v>13.57</v>
      </c>
      <c r="AQ165" s="34" t="n">
        <v>11.3</v>
      </c>
      <c r="AR165" s="34">
        <f>IF(AP165&gt;AQ165*1.05,AP165-AQ165*1.05,IF(AP165&lt;AQ165*0.95,AQ165*0.95-AP165,0))</f>
        <v/>
      </c>
      <c r="AS165" s="34">
        <f>MAX(F165:G165,750)*0.05*AR165</f>
        <v/>
      </c>
      <c r="AT165" t="n">
        <v>13.5</v>
      </c>
      <c r="AU165" s="34">
        <f>IF(AP165&gt;AT165*1.05,AP165-AT165*1.05,IF(AP165&lt;AT165*0.95,AT165*0.95-AP165,0))</f>
        <v/>
      </c>
      <c r="AV165" s="34">
        <f>MAX(F165:G165,750)*0.05*AU165</f>
        <v/>
      </c>
      <c r="AW165" s="34">
        <f>AC165+AJ165+AQ165</f>
        <v/>
      </c>
      <c r="AX165" s="34">
        <f>AF165+AM165+AT165</f>
        <v/>
      </c>
      <c r="AY165" s="34">
        <f>AB165+AI165+AP165</f>
        <v/>
      </c>
      <c r="AZ165" s="34" t="n">
        <v>0</v>
      </c>
      <c r="BA165" s="34">
        <f>AD165+AK165+AR165</f>
        <v/>
      </c>
      <c r="BB165" s="34">
        <f>MAX(F165:G165,750)*0.05*BA165</f>
        <v/>
      </c>
      <c r="BC165" s="34">
        <f>AG165+AN165+AU165</f>
        <v/>
      </c>
      <c r="BD165" s="34">
        <f>MAX(F165:G165,750)*0.05*BC165</f>
        <v/>
      </c>
      <c r="BE165" s="34">
        <f>F165*AY165</f>
        <v/>
      </c>
      <c r="BF165" s="34">
        <f>K165-M165</f>
        <v/>
      </c>
      <c r="BG165" s="34">
        <f>P165-S165</f>
        <v/>
      </c>
      <c r="BH165" s="34">
        <f>W165-AA165</f>
        <v/>
      </c>
      <c r="BI165" s="34">
        <f>BF165+BG165+BL165-BN165</f>
        <v/>
      </c>
      <c r="BJ165" s="34">
        <f>ABS(BK165)</f>
        <v/>
      </c>
      <c r="BK165" s="34">
        <f>AY165-(J165-L165+N165-Q165)</f>
        <v/>
      </c>
      <c r="BL165" s="34">
        <f>IF(AND(BK165&gt;0,MIN($F165:$G165)&lt;150,$E165="Enerji Açığı"),-100*BK165*1.03,IF(AND(BK165&gt;0,MIN($F165:$G165)&lt;150,$E165="Enerji Fazlası"),-100*BK165*1.06,IF(AND(BK165&gt;0,MIN($F165:$G165)&gt;=150,$E165="Enerji Açığı"),BK165*MIN($F165:$G165)*0.97,IF(AND(BK165&gt;0,MIN($F165:$G165)&gt;=150,$E165="Enerji Fazlası"),BK165*MIN($F165:$G165)*0.94,IF(AND(BK165&lt;0,MAX($F165:$G165)=4500,$E165="Enerji Açığı"),4500*1.05*1.06*BK165,IF(AND(BK165&lt;0,MAX($F165:$G165)=4500,$E165="Enerji Fazlası"),4500*1.05*1.03*BK165,IF(AND(BK165&lt;0,$E165="Enerji Açığı"),MAX($F165,$G165,150)*BK165*1.06,IF(AND(BK165&lt;0,$E165="Enerji Fazlası"),MAX($F165,$G165,150)*BK165*1.03,IF(AND(BK165&lt;0,$E165="Dengede"),MAX($F165:$G165,150)*1.03*BK165,MIN($F165:$G165)*0.97*BK165)))))))))</f>
        <v/>
      </c>
      <c r="BM165" s="34">
        <f>BE165-BI165-BN165</f>
        <v/>
      </c>
      <c r="BN165" s="34">
        <f>BB165</f>
        <v/>
      </c>
      <c r="BO165" s="34">
        <f>BE165-BI165</f>
        <v/>
      </c>
      <c r="BP165" s="34">
        <f>IF(AY165=0,0,BO165/AY165)</f>
        <v/>
      </c>
      <c r="BQ165" s="34">
        <f>MAX((AY165+MAX((-J165+L165-N165+Q165),0)),(MAX((J165-L165+N165-Q165),0)))</f>
        <v/>
      </c>
      <c r="BR165" s="82">
        <f>IFERROR(ABS(BK165/BQ165),0)</f>
        <v/>
      </c>
      <c r="BS165" s="34">
        <f>IF(BR165&lt;=0.1,0,BK165/BR165*(BR165-0.1))</f>
        <v/>
      </c>
      <c r="BT165" s="34">
        <f>IF((BS165)&lt;0,MAX(F165:G165)*(BS165)*1.03,MIN(F165:G165)*(BS165)*0.97)</f>
        <v/>
      </c>
      <c r="BU165" s="34">
        <f>IF(BR165&gt;0.1,1,0)</f>
        <v/>
      </c>
      <c r="BV165" s="34">
        <f>BF165+BG165+BH165+BY165-CA165</f>
        <v/>
      </c>
      <c r="BW165" s="34">
        <f>ABS(BX165)</f>
        <v/>
      </c>
      <c r="BX165" s="34">
        <f>AY165-(J165-L165+N165-Q165+T165-X165)</f>
        <v/>
      </c>
      <c r="BY165" s="34">
        <f>IF(AND(BX165&gt;0,MIN($F165:$G165)&lt;150,$E165="Enerji Açığı"),-100*BX165*1.03,IF(AND(BX165&gt;0,MIN($F165:$G165)&lt;150,$E165="Enerji Fazlası"),-100*BX165*1.06,IF(AND(BX165&gt;0,MIN($F165:$G165)&gt;=150,$E165="Enerji Açığı"),BX165*MIN($F165:$G165)*0.97,IF(AND(BX165&gt;0,MIN($F165:$G165)&gt;=150,$E165="Enerji Fazlası"),BX165*MIN($F165:$G165)*0.94,IF(AND(BX165&lt;0,MAX($F165:$G165)=4500,$E165="Enerji Açığı"),4500*1.05*1.06*BX165,IF(AND(BX165&lt;0,MAX($F165:$G165)=4500,$E165="Enerji Fazlası"),4500*1.05*1.03*BX165,IF(AND(BX165&lt;0,$E165="Enerji Açığı"),MAX($F165,$G165,150)*BX165*1.06,IF(AND(BX165&lt;0,$E165="Enerji Fazlası"),MAX($F165,$G165,150)*BX165*1.03,IF(AND(BX165&lt;0,$E165="Dengede"),MAX($F165:$G165,150)*1.03*BX165,MIN($F165:$G165)*0.97*BX165)))))))))</f>
        <v/>
      </c>
      <c r="BZ165" s="34">
        <f>BE165-BV165-CA165</f>
        <v/>
      </c>
      <c r="CA165" s="34">
        <f>BD165</f>
        <v/>
      </c>
      <c r="CB165" s="33">
        <f>BE165-BV165</f>
        <v/>
      </c>
      <c r="CC165" s="34">
        <f>IF(AY165=0,0,CB165/AY165)</f>
        <v/>
      </c>
      <c r="CD165" s="34">
        <f>MAX((AY165+MAX((-J165+L165-N165+Q165-T165+X165),0)),(MAX((J165-L165+N165-Q165+T165-X165),0)))</f>
        <v/>
      </c>
      <c r="CE165" s="82">
        <f>IFERROR(ABS(BX165/CD165),0)</f>
        <v/>
      </c>
      <c r="CF165" s="34">
        <f>IF(CE165&lt;=0.1,0,BX165/CE165*(CE165-0.1))</f>
        <v/>
      </c>
      <c r="CG165" s="34">
        <f>IF((CF165)&lt;0,MAX(F165:G165)*(CF165)*1.03,MIN(F165:G165)*(CF165)*0.97)</f>
        <v/>
      </c>
      <c r="CH165" s="34">
        <f>IF(CE165&gt;0.1,1,0)</f>
        <v/>
      </c>
      <c r="CI165" s="34">
        <f>(F165*BX165)-BY165</f>
        <v/>
      </c>
      <c r="CJ165" s="34">
        <f>IF(AY165=0,0,CI165/AY165)</f>
        <v/>
      </c>
    </row>
    <row r="166">
      <c r="A166" s="29" t="n">
        <v>46210.79166666666</v>
      </c>
      <c r="B166" s="29" t="inlineStr">
        <is>
          <t>19:00</t>
        </is>
      </c>
      <c r="C166" s="35">
        <f>INT(A166)</f>
        <v/>
      </c>
      <c r="D166" s="36">
        <f>MONTH(A166)</f>
        <v/>
      </c>
      <c r="E166" s="147" t="inlineStr">
        <is>
          <t>Enerji Açığı</t>
        </is>
      </c>
      <c r="F166" s="30" t="n">
        <v>2874.99</v>
      </c>
      <c r="G166" s="30" t="n">
        <v>4100</v>
      </c>
      <c r="H166" s="30" t="n">
        <v>61.65</v>
      </c>
      <c r="I166" s="30" t="n">
        <v>3250.98</v>
      </c>
      <c r="J166" s="119" t="n">
        <v>0</v>
      </c>
      <c r="K166" s="34">
        <f>F166*J166</f>
        <v/>
      </c>
      <c r="L166" s="119" t="n">
        <v>0</v>
      </c>
      <c r="M166" s="34">
        <f>L166*F166</f>
        <v/>
      </c>
      <c r="N166" s="119" t="n">
        <v>20.2</v>
      </c>
      <c r="O166" s="34">
        <f>F166</f>
        <v/>
      </c>
      <c r="P166" s="34">
        <f>N166*O166</f>
        <v/>
      </c>
      <c r="Q166" s="117" t="n">
        <v>0</v>
      </c>
      <c r="R166" s="34">
        <f>F166</f>
        <v/>
      </c>
      <c r="S166" s="34">
        <f>R166*Q166</f>
        <v/>
      </c>
      <c r="T166" s="34" t="n"/>
      <c r="U166" s="34">
        <f>IFERROR(W166/T166,0)</f>
        <v/>
      </c>
      <c r="V166" s="34">
        <f>IF(U166=0,0,U166-F166)</f>
        <v/>
      </c>
      <c r="W166" s="34" t="n"/>
      <c r="X166" s="34" t="n"/>
      <c r="Y166" s="34">
        <f>IFERROR(AA166/X166,0)</f>
        <v/>
      </c>
      <c r="Z166" s="34">
        <f>IF(Y166=0,0,F166-Y166)</f>
        <v/>
      </c>
      <c r="AA166" s="34" t="n"/>
      <c r="AB166" s="34" t="n">
        <v>0</v>
      </c>
      <c r="AC166" s="34" t="n">
        <v>0</v>
      </c>
      <c r="AD166" s="34">
        <f>IF(AB166&gt;AC166*1.05,AB166-AC166*1.05,IF(AB166&lt;AC166*0.95,AC166*0.95-AB166,0))</f>
        <v/>
      </c>
      <c r="AE166" s="34">
        <f>MAX(F166,G166,750)*0.05*AD166</f>
        <v/>
      </c>
      <c r="AF166" s="34" t="n">
        <v>0</v>
      </c>
      <c r="AG166" s="34">
        <f>IF(AB166&gt;AF166*1.05,AB166-AF166*1.05,IF(AB166&lt;AF166*0.95,AF166*0.95-AB166,0))</f>
        <v/>
      </c>
      <c r="AH166" s="34">
        <f>MAX(I166,J166,750)*0.05*AG166</f>
        <v/>
      </c>
      <c r="AI166" t="n">
        <v>10.16</v>
      </c>
      <c r="AJ166" t="n">
        <v>9</v>
      </c>
      <c r="AK166" s="34">
        <f>IF(AI166&gt;AJ166*1.05,AI166-AJ166*1.05,IF(AI166&lt;AJ166*0.95,AJ166*0.95-AI166,0))</f>
        <v/>
      </c>
      <c r="AL166" s="34">
        <f>MAX(F166,G166,750)*0.05*AK166</f>
        <v/>
      </c>
      <c r="AM166" s="39" t="n">
        <v>10</v>
      </c>
      <c r="AN166" s="34">
        <f>IF(AI166&gt;AM166*1.05,AI166-AM166*1.05,IF(AI166&lt;AM166*0.95,AM166*0.95-AI166,0))</f>
        <v/>
      </c>
      <c r="AO166" s="34">
        <f>MAX(F166,G166,750)*0.05*AN166</f>
        <v/>
      </c>
      <c r="AP166" s="34" t="n">
        <v>13.11</v>
      </c>
      <c r="AQ166" s="34" t="n">
        <v>11.2</v>
      </c>
      <c r="AR166" s="34">
        <f>IF(AP166&gt;AQ166*1.05,AP166-AQ166*1.05,IF(AP166&lt;AQ166*0.95,AQ166*0.95-AP166,0))</f>
        <v/>
      </c>
      <c r="AS166" s="34">
        <f>MAX(F166:G166,750)*0.05*AR166</f>
        <v/>
      </c>
      <c r="AT166" t="n">
        <v>13</v>
      </c>
      <c r="AU166" s="34">
        <f>IF(AP166&gt;AT166*1.05,AP166-AT166*1.05,IF(AP166&lt;AT166*0.95,AT166*0.95-AP166,0))</f>
        <v/>
      </c>
      <c r="AV166" s="34">
        <f>MAX(F166:G166,750)*0.05*AU166</f>
        <v/>
      </c>
      <c r="AW166" s="34">
        <f>AC166+AJ166+AQ166</f>
        <v/>
      </c>
      <c r="AX166" s="34">
        <f>AF166+AM166+AT166</f>
        <v/>
      </c>
      <c r="AY166" s="34">
        <f>AB166+AI166+AP166</f>
        <v/>
      </c>
      <c r="AZ166" s="34" t="n">
        <v>0</v>
      </c>
      <c r="BA166" s="34">
        <f>AD166+AK166+AR166</f>
        <v/>
      </c>
      <c r="BB166" s="34">
        <f>MAX(F166:G166,750)*0.05*BA166</f>
        <v/>
      </c>
      <c r="BC166" s="34">
        <f>AG166+AN166+AU166</f>
        <v/>
      </c>
      <c r="BD166" s="34">
        <f>MAX(F166:G166,750)*0.05*BC166</f>
        <v/>
      </c>
      <c r="BE166" s="34">
        <f>F166*AY166</f>
        <v/>
      </c>
      <c r="BF166" s="34">
        <f>K166-M166</f>
        <v/>
      </c>
      <c r="BG166" s="34">
        <f>P166-S166</f>
        <v/>
      </c>
      <c r="BH166" s="34">
        <f>W166-AA166</f>
        <v/>
      </c>
      <c r="BI166" s="34">
        <f>BF166+BG166+BL166-BN166</f>
        <v/>
      </c>
      <c r="BJ166" s="34">
        <f>ABS(BK166)</f>
        <v/>
      </c>
      <c r="BK166" s="34">
        <f>AY166-(J166-L166+N166-Q166)</f>
        <v/>
      </c>
      <c r="BL166" s="34">
        <f>IF(AND(BK166&gt;0,MIN($F166:$G166)&lt;150,$E166="Enerji Açığı"),-100*BK166*1.03,IF(AND(BK166&gt;0,MIN($F166:$G166)&lt;150,$E166="Enerji Fazlası"),-100*BK166*1.06,IF(AND(BK166&gt;0,MIN($F166:$G166)&gt;=150,$E166="Enerji Açığı"),BK166*MIN($F166:$G166)*0.97,IF(AND(BK166&gt;0,MIN($F166:$G166)&gt;=150,$E166="Enerji Fazlası"),BK166*MIN($F166:$G166)*0.94,IF(AND(BK166&lt;0,MAX($F166:$G166)=4500,$E166="Enerji Açığı"),4500*1.05*1.06*BK166,IF(AND(BK166&lt;0,MAX($F166:$G166)=4500,$E166="Enerji Fazlası"),4500*1.05*1.03*BK166,IF(AND(BK166&lt;0,$E166="Enerji Açığı"),MAX($F166,$G166,150)*BK166*1.06,IF(AND(BK166&lt;0,$E166="Enerji Fazlası"),MAX($F166,$G166,150)*BK166*1.03,IF(AND(BK166&lt;0,$E166="Dengede"),MAX($F166:$G166,150)*1.03*BK166,MIN($F166:$G166)*0.97*BK166)))))))))</f>
        <v/>
      </c>
      <c r="BM166" s="34">
        <f>BE166-BI166-BN166</f>
        <v/>
      </c>
      <c r="BN166" s="34">
        <f>BB166</f>
        <v/>
      </c>
      <c r="BO166" s="34">
        <f>BE166-BI166</f>
        <v/>
      </c>
      <c r="BP166" s="34">
        <f>IF(AY166=0,0,BO166/AY166)</f>
        <v/>
      </c>
      <c r="BQ166" s="34">
        <f>MAX((AY166+MAX((-J166+L166-N166+Q166),0)),(MAX((J166-L166+N166-Q166),0)))</f>
        <v/>
      </c>
      <c r="BR166" s="82">
        <f>IFERROR(ABS(BK166/BQ166),0)</f>
        <v/>
      </c>
      <c r="BS166" s="34">
        <f>IF(BR166&lt;=0.1,0,BK166/BR166*(BR166-0.1))</f>
        <v/>
      </c>
      <c r="BT166" s="34">
        <f>IF((BS166)&lt;0,MAX(F166:G166)*(BS166)*1.03,MIN(F166:G166)*(BS166)*0.97)</f>
        <v/>
      </c>
      <c r="BU166" s="34">
        <f>IF(BR166&gt;0.1,1,0)</f>
        <v/>
      </c>
      <c r="BV166" s="34">
        <f>BF166+BG166+BH166+BY166-CA166</f>
        <v/>
      </c>
      <c r="BW166" s="34">
        <f>ABS(BX166)</f>
        <v/>
      </c>
      <c r="BX166" s="34">
        <f>AY166-(J166-L166+N166-Q166+T166-X166)</f>
        <v/>
      </c>
      <c r="BY166" s="34">
        <f>IF(AND(BX166&gt;0,MIN($F166:$G166)&lt;150,$E166="Enerji Açığı"),-100*BX166*1.03,IF(AND(BX166&gt;0,MIN($F166:$G166)&lt;150,$E166="Enerji Fazlası"),-100*BX166*1.06,IF(AND(BX166&gt;0,MIN($F166:$G166)&gt;=150,$E166="Enerji Açığı"),BX166*MIN($F166:$G166)*0.97,IF(AND(BX166&gt;0,MIN($F166:$G166)&gt;=150,$E166="Enerji Fazlası"),BX166*MIN($F166:$G166)*0.94,IF(AND(BX166&lt;0,MAX($F166:$G166)=4500,$E166="Enerji Açığı"),4500*1.05*1.06*BX166,IF(AND(BX166&lt;0,MAX($F166:$G166)=4500,$E166="Enerji Fazlası"),4500*1.05*1.03*BX166,IF(AND(BX166&lt;0,$E166="Enerji Açığı"),MAX($F166,$G166,150)*BX166*1.06,IF(AND(BX166&lt;0,$E166="Enerji Fazlası"),MAX($F166,$G166,150)*BX166*1.03,IF(AND(BX166&lt;0,$E166="Dengede"),MAX($F166:$G166,150)*1.03*BX166,MIN($F166:$G166)*0.97*BX166)))))))))</f>
        <v/>
      </c>
      <c r="BZ166" s="34">
        <f>BE166-BV166-CA166</f>
        <v/>
      </c>
      <c r="CA166" s="34">
        <f>BD166</f>
        <v/>
      </c>
      <c r="CB166" s="33">
        <f>BE166-BV166</f>
        <v/>
      </c>
      <c r="CC166" s="34">
        <f>IF(AY166=0,0,CB166/AY166)</f>
        <v/>
      </c>
      <c r="CD166" s="34">
        <f>MAX((AY166+MAX((-J166+L166-N166+Q166-T166+X166),0)),(MAX((J166-L166+N166-Q166+T166-X166),0)))</f>
        <v/>
      </c>
      <c r="CE166" s="82">
        <f>IFERROR(ABS(BX166/CD166),0)</f>
        <v/>
      </c>
      <c r="CF166" s="34">
        <f>IF(CE166&lt;=0.1,0,BX166/CE166*(CE166-0.1))</f>
        <v/>
      </c>
      <c r="CG166" s="34">
        <f>IF((CF166)&lt;0,MAX(F166:G166)*(CF166)*1.03,MIN(F166:G166)*(CF166)*0.97)</f>
        <v/>
      </c>
      <c r="CH166" s="34">
        <f>IF(CE166&gt;0.1,1,0)</f>
        <v/>
      </c>
      <c r="CI166" s="34">
        <f>(F166*BX166)-BY166</f>
        <v/>
      </c>
      <c r="CJ166" s="34">
        <f>IF(AY166=0,0,CI166/AY166)</f>
        <v/>
      </c>
    </row>
    <row r="167">
      <c r="A167" s="29" t="n">
        <v>46210.83333333334</v>
      </c>
      <c r="B167" s="29" t="inlineStr">
        <is>
          <t>20:00</t>
        </is>
      </c>
      <c r="C167" s="35">
        <f>INT(A167)</f>
        <v/>
      </c>
      <c r="D167" s="36">
        <f>MONTH(A167)</f>
        <v/>
      </c>
      <c r="E167" s="147" t="inlineStr">
        <is>
          <t>Enerji Açığı</t>
        </is>
      </c>
      <c r="F167" s="30" t="n">
        <v>4245</v>
      </c>
      <c r="G167" s="30" t="n">
        <v>4245</v>
      </c>
      <c r="H167" s="30" t="n">
        <v>91.03</v>
      </c>
      <c r="I167" s="30" t="n">
        <v>4303.33</v>
      </c>
      <c r="J167" s="119" t="n">
        <v>0</v>
      </c>
      <c r="K167" s="34">
        <f>F167*J167</f>
        <v/>
      </c>
      <c r="L167" s="119" t="n">
        <v>0</v>
      </c>
      <c r="M167" s="34">
        <f>L167*F167</f>
        <v/>
      </c>
      <c r="N167" s="119" t="n">
        <v>20</v>
      </c>
      <c r="O167" s="34">
        <f>F167</f>
        <v/>
      </c>
      <c r="P167" s="34">
        <f>N167*O167</f>
        <v/>
      </c>
      <c r="Q167" s="117" t="n">
        <v>0</v>
      </c>
      <c r="R167" s="34">
        <f>F167</f>
        <v/>
      </c>
      <c r="S167" s="34">
        <f>R167*Q167</f>
        <v/>
      </c>
      <c r="T167" s="34" t="n"/>
      <c r="U167" s="34">
        <f>IFERROR(W167/T167,0)</f>
        <v/>
      </c>
      <c r="V167" s="34">
        <f>IF(U167=0,0,U167-F167)</f>
        <v/>
      </c>
      <c r="W167" s="34" t="n"/>
      <c r="X167" s="34" t="n"/>
      <c r="Y167" s="34">
        <f>IFERROR(AA167/X167,0)</f>
        <v/>
      </c>
      <c r="Z167" s="34">
        <f>IF(Y167=0,0,F167-Y167)</f>
        <v/>
      </c>
      <c r="AA167" s="34" t="n"/>
      <c r="AB167" s="34" t="n">
        <v>0</v>
      </c>
      <c r="AC167" s="34" t="n">
        <v>0</v>
      </c>
      <c r="AD167" s="34">
        <f>IF(AB167&gt;AC167*1.05,AB167-AC167*1.05,IF(AB167&lt;AC167*0.95,AC167*0.95-AB167,0))</f>
        <v/>
      </c>
      <c r="AE167" s="34">
        <f>MAX(F167,G167,750)*0.05*AD167</f>
        <v/>
      </c>
      <c r="AF167" s="34" t="n">
        <v>0</v>
      </c>
      <c r="AG167" s="34">
        <f>IF(AB167&gt;AF167*1.05,AB167-AF167*1.05,IF(AB167&lt;AF167*0.95,AF167*0.95-AB167,0))</f>
        <v/>
      </c>
      <c r="AH167" s="34">
        <f>MAX(I167,J167,750)*0.05*AG167</f>
        <v/>
      </c>
      <c r="AI167" t="n">
        <v>9.09</v>
      </c>
      <c r="AJ167" t="n">
        <v>9</v>
      </c>
      <c r="AK167" s="34">
        <f>IF(AI167&gt;AJ167*1.05,AI167-AJ167*1.05,IF(AI167&lt;AJ167*0.95,AJ167*0.95-AI167,0))</f>
        <v/>
      </c>
      <c r="AL167" s="34">
        <f>MAX(F167,G167,750)*0.05*AK167</f>
        <v/>
      </c>
      <c r="AM167" s="39" t="n">
        <v>9</v>
      </c>
      <c r="AN167" s="34">
        <f>IF(AI167&gt;AM167*1.05,AI167-AM167*1.05,IF(AI167&lt;AM167*0.95,AM167*0.95-AI167,0))</f>
        <v/>
      </c>
      <c r="AO167" s="34">
        <f>MAX(F167,G167,750)*0.05*AN167</f>
        <v/>
      </c>
      <c r="AP167" s="34" t="n">
        <v>13.08</v>
      </c>
      <c r="AQ167" s="34" t="n">
        <v>11</v>
      </c>
      <c r="AR167" s="34">
        <f>IF(AP167&gt;AQ167*1.05,AP167-AQ167*1.05,IF(AP167&lt;AQ167*0.95,AQ167*0.95-AP167,0))</f>
        <v/>
      </c>
      <c r="AS167" s="34">
        <f>MAX(F167:G167,750)*0.05*AR167</f>
        <v/>
      </c>
      <c r="AT167" t="n">
        <v>13</v>
      </c>
      <c r="AU167" s="34">
        <f>IF(AP167&gt;AT167*1.05,AP167-AT167*1.05,IF(AP167&lt;AT167*0.95,AT167*0.95-AP167,0))</f>
        <v/>
      </c>
      <c r="AV167" s="34">
        <f>MAX(F167:G167,750)*0.05*AU167</f>
        <v/>
      </c>
      <c r="AW167" s="34">
        <f>AC167+AJ167+AQ167</f>
        <v/>
      </c>
      <c r="AX167" s="34">
        <f>AF167+AM167+AT167</f>
        <v/>
      </c>
      <c r="AY167" s="34">
        <f>AB167+AI167+AP167</f>
        <v/>
      </c>
      <c r="AZ167" s="34" t="n">
        <v>0</v>
      </c>
      <c r="BA167" s="34">
        <f>AD167+AK167+AR167</f>
        <v/>
      </c>
      <c r="BB167" s="34">
        <f>MAX(F167:G167,750)*0.05*BA167</f>
        <v/>
      </c>
      <c r="BC167" s="34">
        <f>AG167+AN167+AU167</f>
        <v/>
      </c>
      <c r="BD167" s="34">
        <f>MAX(F167:G167,750)*0.05*BC167</f>
        <v/>
      </c>
      <c r="BE167" s="34">
        <f>F167*AY167</f>
        <v/>
      </c>
      <c r="BF167" s="34">
        <f>K167-M167</f>
        <v/>
      </c>
      <c r="BG167" s="34">
        <f>P167-S167</f>
        <v/>
      </c>
      <c r="BH167" s="34">
        <f>W167-AA167</f>
        <v/>
      </c>
      <c r="BI167" s="34">
        <f>BF167+BG167+BL167-BN167</f>
        <v/>
      </c>
      <c r="BJ167" s="34">
        <f>ABS(BK167)</f>
        <v/>
      </c>
      <c r="BK167" s="34">
        <f>AY167-(J167-L167+N167-Q167)</f>
        <v/>
      </c>
      <c r="BL167" s="34">
        <f>IF(AND(BK167&gt;0,MIN($F167:$G167)&lt;150,$E167="Enerji Açığı"),-100*BK167*1.03,IF(AND(BK167&gt;0,MIN($F167:$G167)&lt;150,$E167="Enerji Fazlası"),-100*BK167*1.06,IF(AND(BK167&gt;0,MIN($F167:$G167)&gt;=150,$E167="Enerji Açığı"),BK167*MIN($F167:$G167)*0.97,IF(AND(BK167&gt;0,MIN($F167:$G167)&gt;=150,$E167="Enerji Fazlası"),BK167*MIN($F167:$G167)*0.94,IF(AND(BK167&lt;0,MAX($F167:$G167)=4500,$E167="Enerji Açığı"),4500*1.05*1.06*BK167,IF(AND(BK167&lt;0,MAX($F167:$G167)=4500,$E167="Enerji Fazlası"),4500*1.05*1.03*BK167,IF(AND(BK167&lt;0,$E167="Enerji Açığı"),MAX($F167,$G167,150)*BK167*1.06,IF(AND(BK167&lt;0,$E167="Enerji Fazlası"),MAX($F167,$G167,150)*BK167*1.03,IF(AND(BK167&lt;0,$E167="Dengede"),MAX($F167:$G167,150)*1.03*BK167,MIN($F167:$G167)*0.97*BK167)))))))))</f>
        <v/>
      </c>
      <c r="BM167" s="34">
        <f>BE167-BI167-BN167</f>
        <v/>
      </c>
      <c r="BN167" s="34">
        <f>BB167</f>
        <v/>
      </c>
      <c r="BO167" s="34">
        <f>BE167-BI167</f>
        <v/>
      </c>
      <c r="BP167" s="34">
        <f>IF(AY167=0,0,BO167/AY167)</f>
        <v/>
      </c>
      <c r="BQ167" s="34">
        <f>MAX((AY167+MAX((-J167+L167-N167+Q167),0)),(MAX((J167-L167+N167-Q167),0)))</f>
        <v/>
      </c>
      <c r="BR167" s="82">
        <f>IFERROR(ABS(BK167/BQ167),0)</f>
        <v/>
      </c>
      <c r="BS167" s="34">
        <f>IF(BR167&lt;=0.1,0,BK167/BR167*(BR167-0.1))</f>
        <v/>
      </c>
      <c r="BT167" s="34">
        <f>IF((BS167)&lt;0,MAX(F167:G167)*(BS167)*1.03,MIN(F167:G167)*(BS167)*0.97)</f>
        <v/>
      </c>
      <c r="BU167" s="34">
        <f>IF(BR167&gt;0.1,1,0)</f>
        <v/>
      </c>
      <c r="BV167" s="34">
        <f>BF167+BG167+BH167+BY167-CA167</f>
        <v/>
      </c>
      <c r="BW167" s="34">
        <f>ABS(BX167)</f>
        <v/>
      </c>
      <c r="BX167" s="34">
        <f>AY167-(J167-L167+N167-Q167+T167-X167)</f>
        <v/>
      </c>
      <c r="BY167" s="34">
        <f>IF(AND(BX167&gt;0,MIN($F167:$G167)&lt;150,$E167="Enerji Açığı"),-100*BX167*1.03,IF(AND(BX167&gt;0,MIN($F167:$G167)&lt;150,$E167="Enerji Fazlası"),-100*BX167*1.06,IF(AND(BX167&gt;0,MIN($F167:$G167)&gt;=150,$E167="Enerji Açığı"),BX167*MIN($F167:$G167)*0.97,IF(AND(BX167&gt;0,MIN($F167:$G167)&gt;=150,$E167="Enerji Fazlası"),BX167*MIN($F167:$G167)*0.94,IF(AND(BX167&lt;0,MAX($F167:$G167)=4500,$E167="Enerji Açığı"),4500*1.05*1.06*BX167,IF(AND(BX167&lt;0,MAX($F167:$G167)=4500,$E167="Enerji Fazlası"),4500*1.05*1.03*BX167,IF(AND(BX167&lt;0,$E167="Enerji Açığı"),MAX($F167,$G167,150)*BX167*1.06,IF(AND(BX167&lt;0,$E167="Enerji Fazlası"),MAX($F167,$G167,150)*BX167*1.03,IF(AND(BX167&lt;0,$E167="Dengede"),MAX($F167:$G167,150)*1.03*BX167,MIN($F167:$G167)*0.97*BX167)))))))))</f>
        <v/>
      </c>
      <c r="BZ167" s="34">
        <f>BE167-BV167-CA167</f>
        <v/>
      </c>
      <c r="CA167" s="34">
        <f>BD167</f>
        <v/>
      </c>
      <c r="CB167" s="33">
        <f>BE167-BV167</f>
        <v/>
      </c>
      <c r="CC167" s="34">
        <f>IF(AY167=0,0,CB167/AY167)</f>
        <v/>
      </c>
      <c r="CD167" s="34">
        <f>MAX((AY167+MAX((-J167+L167-N167+Q167-T167+X167),0)),(MAX((J167-L167+N167-Q167+T167-X167),0)))</f>
        <v/>
      </c>
      <c r="CE167" s="82">
        <f>IFERROR(ABS(BX167/CD167),0)</f>
        <v/>
      </c>
      <c r="CF167" s="34">
        <f>IF(CE167&lt;=0.1,0,BX167/CE167*(CE167-0.1))</f>
        <v/>
      </c>
      <c r="CG167" s="34">
        <f>IF((CF167)&lt;0,MAX(F167:G167)*(CF167)*1.03,MIN(F167:G167)*(CF167)*0.97)</f>
        <v/>
      </c>
      <c r="CH167" s="34">
        <f>IF(CE167&gt;0.1,1,0)</f>
        <v/>
      </c>
      <c r="CI167" s="34">
        <f>(F167*BX167)-BY167</f>
        <v/>
      </c>
      <c r="CJ167" s="34">
        <f>IF(AY167=0,0,CI167/AY167)</f>
        <v/>
      </c>
    </row>
    <row r="168">
      <c r="A168" s="29" t="n">
        <v>46210.875</v>
      </c>
      <c r="B168" s="29" t="inlineStr">
        <is>
          <t>21:00</t>
        </is>
      </c>
      <c r="C168" s="35">
        <f>INT(A168)</f>
        <v/>
      </c>
      <c r="D168" s="36">
        <f>MONTH(A168)</f>
        <v/>
      </c>
      <c r="E168" s="147" t="inlineStr">
        <is>
          <t>Enerji Açığı</t>
        </is>
      </c>
      <c r="F168" s="30" t="n">
        <v>4435.01</v>
      </c>
      <c r="G168" s="30" t="n">
        <v>4435.01</v>
      </c>
      <c r="H168" s="30" t="n">
        <v>95.09999999999999</v>
      </c>
      <c r="I168" s="30" t="n">
        <v>4466.71</v>
      </c>
      <c r="J168" s="119" t="n">
        <v>0</v>
      </c>
      <c r="K168" s="34">
        <f>F168*J168</f>
        <v/>
      </c>
      <c r="L168" s="119" t="n">
        <v>0</v>
      </c>
      <c r="M168" s="34">
        <f>L168*F168</f>
        <v/>
      </c>
      <c r="N168" s="119" t="n">
        <v>20</v>
      </c>
      <c r="O168" s="34">
        <f>F168</f>
        <v/>
      </c>
      <c r="P168" s="34">
        <f>N168*O168</f>
        <v/>
      </c>
      <c r="Q168" s="117" t="n">
        <v>0</v>
      </c>
      <c r="R168" s="34">
        <f>F168</f>
        <v/>
      </c>
      <c r="S168" s="34">
        <f>R168*Q168</f>
        <v/>
      </c>
      <c r="T168" s="34" t="n"/>
      <c r="U168" s="34">
        <f>IFERROR(W168/T168,0)</f>
        <v/>
      </c>
      <c r="V168" s="34">
        <f>IF(U168=0,0,U168-F168)</f>
        <v/>
      </c>
      <c r="W168" s="34" t="n"/>
      <c r="X168" s="34" t="n"/>
      <c r="Y168" s="34">
        <f>IFERROR(AA168/X168,0)</f>
        <v/>
      </c>
      <c r="Z168" s="34">
        <f>IF(Y168=0,0,F168-Y168)</f>
        <v/>
      </c>
      <c r="AA168" s="34" t="n"/>
      <c r="AB168" s="34" t="n">
        <v>0</v>
      </c>
      <c r="AC168" s="34" t="n">
        <v>0</v>
      </c>
      <c r="AD168" s="34">
        <f>IF(AB168&gt;AC168*1.05,AB168-AC168*1.05,IF(AB168&lt;AC168*0.95,AC168*0.95-AB168,0))</f>
        <v/>
      </c>
      <c r="AE168" s="34">
        <f>MAX(F168,G168,750)*0.05*AD168</f>
        <v/>
      </c>
      <c r="AF168" s="34" t="n">
        <v>0</v>
      </c>
      <c r="AG168" s="34">
        <f>IF(AB168&gt;AF168*1.05,AB168-AF168*1.05,IF(AB168&lt;AF168*0.95,AF168*0.95-AB168,0))</f>
        <v/>
      </c>
      <c r="AH168" s="34">
        <f>MAX(I168,J168,750)*0.05*AG168</f>
        <v/>
      </c>
      <c r="AI168" t="n">
        <v>9.19</v>
      </c>
      <c r="AJ168" t="n">
        <v>9</v>
      </c>
      <c r="AK168" s="34">
        <f>IF(AI168&gt;AJ168*1.05,AI168-AJ168*1.05,IF(AI168&lt;AJ168*0.95,AJ168*0.95-AI168,0))</f>
        <v/>
      </c>
      <c r="AL168" s="34">
        <f>MAX(F168,G168,750)*0.05*AK168</f>
        <v/>
      </c>
      <c r="AM168" s="39" t="n">
        <v>9</v>
      </c>
      <c r="AN168" s="34">
        <f>IF(AI168&gt;AM168*1.05,AI168-AM168*1.05,IF(AI168&lt;AM168*0.95,AM168*0.95-AI168,0))</f>
        <v/>
      </c>
      <c r="AO168" s="34">
        <f>MAX(F168,G168,750)*0.05*AN168</f>
        <v/>
      </c>
      <c r="AP168" s="34" t="n">
        <v>13.09</v>
      </c>
      <c r="AQ168" s="34" t="n">
        <v>11</v>
      </c>
      <c r="AR168" s="34">
        <f>IF(AP168&gt;AQ168*1.05,AP168-AQ168*1.05,IF(AP168&lt;AQ168*0.95,AQ168*0.95-AP168,0))</f>
        <v/>
      </c>
      <c r="AS168" s="34">
        <f>MAX(F168:G168,750)*0.05*AR168</f>
        <v/>
      </c>
      <c r="AT168" t="n">
        <v>13</v>
      </c>
      <c r="AU168" s="34">
        <f>IF(AP168&gt;AT168*1.05,AP168-AT168*1.05,IF(AP168&lt;AT168*0.95,AT168*0.95-AP168,0))</f>
        <v/>
      </c>
      <c r="AV168" s="34">
        <f>MAX(F168:G168,750)*0.05*AU168</f>
        <v/>
      </c>
      <c r="AW168" s="34">
        <f>AC168+AJ168+AQ168</f>
        <v/>
      </c>
      <c r="AX168" s="34">
        <f>AF168+AM168+AT168</f>
        <v/>
      </c>
      <c r="AY168" s="34">
        <f>AB168+AI168+AP168</f>
        <v/>
      </c>
      <c r="AZ168" s="34" t="n">
        <v>0</v>
      </c>
      <c r="BA168" s="34">
        <f>AD168+AK168+AR168</f>
        <v/>
      </c>
      <c r="BB168" s="34">
        <f>MAX(F168:G168,750)*0.05*BA168</f>
        <v/>
      </c>
      <c r="BC168" s="34">
        <f>AG168+AN168+AU168</f>
        <v/>
      </c>
      <c r="BD168" s="34">
        <f>MAX(F168:G168,750)*0.05*BC168</f>
        <v/>
      </c>
      <c r="BE168" s="34">
        <f>F168*AY168</f>
        <v/>
      </c>
      <c r="BF168" s="34">
        <f>K168-M168</f>
        <v/>
      </c>
      <c r="BG168" s="34">
        <f>P168-S168</f>
        <v/>
      </c>
      <c r="BH168" s="34">
        <f>W168-AA168</f>
        <v/>
      </c>
      <c r="BI168" s="34">
        <f>BF168+BG168+BL168-BN168</f>
        <v/>
      </c>
      <c r="BJ168" s="34">
        <f>ABS(BK168)</f>
        <v/>
      </c>
      <c r="BK168" s="34">
        <f>AY168-(J168-L168+N168-Q168)</f>
        <v/>
      </c>
      <c r="BL168" s="34">
        <f>IF(AND(BK168&gt;0,MIN($F168:$G168)&lt;150,$E168="Enerji Açığı"),-100*BK168*1.03,IF(AND(BK168&gt;0,MIN($F168:$G168)&lt;150,$E168="Enerji Fazlası"),-100*BK168*1.06,IF(AND(BK168&gt;0,MIN($F168:$G168)&gt;=150,$E168="Enerji Açığı"),BK168*MIN($F168:$G168)*0.97,IF(AND(BK168&gt;0,MIN($F168:$G168)&gt;=150,$E168="Enerji Fazlası"),BK168*MIN($F168:$G168)*0.94,IF(AND(BK168&lt;0,MAX($F168:$G168)=4500,$E168="Enerji Açığı"),4500*1.05*1.06*BK168,IF(AND(BK168&lt;0,MAX($F168:$G168)=4500,$E168="Enerji Fazlası"),4500*1.05*1.03*BK168,IF(AND(BK168&lt;0,$E168="Enerji Açığı"),MAX($F168,$G168,150)*BK168*1.06,IF(AND(BK168&lt;0,$E168="Enerji Fazlası"),MAX($F168,$G168,150)*BK168*1.03,IF(AND(BK168&lt;0,$E168="Dengede"),MAX($F168:$G168,150)*1.03*BK168,MIN($F168:$G168)*0.97*BK168)))))))))</f>
        <v/>
      </c>
      <c r="BM168" s="34">
        <f>BE168-BI168-BN168</f>
        <v/>
      </c>
      <c r="BN168" s="34">
        <f>BB168</f>
        <v/>
      </c>
      <c r="BO168" s="34">
        <f>BE168-BI168</f>
        <v/>
      </c>
      <c r="BP168" s="34">
        <f>IF(AY168=0,0,BO168/AY168)</f>
        <v/>
      </c>
      <c r="BQ168" s="34">
        <f>MAX((AY168+MAX((-J168+L168-N168+Q168),0)),(MAX((J168-L168+N168-Q168),0)))</f>
        <v/>
      </c>
      <c r="BR168" s="82">
        <f>IFERROR(ABS(BK168/BQ168),0)</f>
        <v/>
      </c>
      <c r="BS168" s="34">
        <f>IF(BR168&lt;=0.1,0,BK168/BR168*(BR168-0.1))</f>
        <v/>
      </c>
      <c r="BT168" s="34">
        <f>IF((BS168)&lt;0,MAX(F168:G168)*(BS168)*1.03,MIN(F168:G168)*(BS168)*0.97)</f>
        <v/>
      </c>
      <c r="BU168" s="34">
        <f>IF(BR168&gt;0.1,1,0)</f>
        <v/>
      </c>
      <c r="BV168" s="34">
        <f>BF168+BG168+BH168+BY168-CA168</f>
        <v/>
      </c>
      <c r="BW168" s="34">
        <f>ABS(BX168)</f>
        <v/>
      </c>
      <c r="BX168" s="34">
        <f>AY168-(J168-L168+N168-Q168+T168-X168)</f>
        <v/>
      </c>
      <c r="BY168" s="34">
        <f>IF(AND(BX168&gt;0,MIN($F168:$G168)&lt;150,$E168="Enerji Açığı"),-100*BX168*1.03,IF(AND(BX168&gt;0,MIN($F168:$G168)&lt;150,$E168="Enerji Fazlası"),-100*BX168*1.06,IF(AND(BX168&gt;0,MIN($F168:$G168)&gt;=150,$E168="Enerji Açığı"),BX168*MIN($F168:$G168)*0.97,IF(AND(BX168&gt;0,MIN($F168:$G168)&gt;=150,$E168="Enerji Fazlası"),BX168*MIN($F168:$G168)*0.94,IF(AND(BX168&lt;0,MAX($F168:$G168)=4500,$E168="Enerji Açığı"),4500*1.05*1.06*BX168,IF(AND(BX168&lt;0,MAX($F168:$G168)=4500,$E168="Enerji Fazlası"),4500*1.05*1.03*BX168,IF(AND(BX168&lt;0,$E168="Enerji Açığı"),MAX($F168,$G168,150)*BX168*1.06,IF(AND(BX168&lt;0,$E168="Enerji Fazlası"),MAX($F168,$G168,150)*BX168*1.03,IF(AND(BX168&lt;0,$E168="Dengede"),MAX($F168:$G168,150)*1.03*BX168,MIN($F168:$G168)*0.97*BX168)))))))))</f>
        <v/>
      </c>
      <c r="BZ168" s="34">
        <f>BE168-BV168-CA168</f>
        <v/>
      </c>
      <c r="CA168" s="34">
        <f>BD168</f>
        <v/>
      </c>
      <c r="CB168" s="33">
        <f>BE168-BV168</f>
        <v/>
      </c>
      <c r="CC168" s="34">
        <f>IF(AY168=0,0,CB168/AY168)</f>
        <v/>
      </c>
      <c r="CD168" s="34">
        <f>MAX((AY168+MAX((-J168+L168-N168+Q168-T168+X168),0)),(MAX((J168-L168+N168-Q168+T168-X168),0)))</f>
        <v/>
      </c>
      <c r="CE168" s="82">
        <f>IFERROR(ABS(BX168/CD168),0)</f>
        <v/>
      </c>
      <c r="CF168" s="34">
        <f>IF(CE168&lt;=0.1,0,BX168/CE168*(CE168-0.1))</f>
        <v/>
      </c>
      <c r="CG168" s="34">
        <f>IF((CF168)&lt;0,MAX(F168:G168)*(CF168)*1.03,MIN(F168:G168)*(CF168)*0.97)</f>
        <v/>
      </c>
      <c r="CH168" s="34">
        <f>IF(CE168&gt;0.1,1,0)</f>
        <v/>
      </c>
      <c r="CI168" s="34">
        <f>(F168*BX168)-BY168</f>
        <v/>
      </c>
      <c r="CJ168" s="34">
        <f>IF(AY168=0,0,CI168/AY168)</f>
        <v/>
      </c>
    </row>
    <row r="169">
      <c r="A169" s="29" t="n">
        <v>46210.91666666666</v>
      </c>
      <c r="B169" s="29" t="inlineStr">
        <is>
          <t>22:00</t>
        </is>
      </c>
      <c r="C169" s="35">
        <f>INT(A169)</f>
        <v/>
      </c>
      <c r="D169" s="36">
        <f>MONTH(A169)</f>
        <v/>
      </c>
      <c r="E169" s="147" t="inlineStr">
        <is>
          <t>Enerji Açığı</t>
        </is>
      </c>
      <c r="F169" s="30" t="n">
        <v>3692.66</v>
      </c>
      <c r="G169" s="30" t="n">
        <v>4000</v>
      </c>
      <c r="H169" s="30" t="n">
        <v>79.18000000000001</v>
      </c>
      <c r="I169" s="30" t="n">
        <v>4029.65</v>
      </c>
      <c r="J169" s="119" t="n">
        <v>0</v>
      </c>
      <c r="K169" s="34">
        <f>F169*J169</f>
        <v/>
      </c>
      <c r="L169" s="119" t="n">
        <v>0</v>
      </c>
      <c r="M169" s="34">
        <f>L169*F169</f>
        <v/>
      </c>
      <c r="N169" s="119" t="n">
        <v>19</v>
      </c>
      <c r="O169" s="34">
        <f>F169</f>
        <v/>
      </c>
      <c r="P169" s="34">
        <f>N169*O169</f>
        <v/>
      </c>
      <c r="Q169" s="117" t="n">
        <v>0</v>
      </c>
      <c r="R169" s="34">
        <f>F169</f>
        <v/>
      </c>
      <c r="S169" s="34">
        <f>R169*Q169</f>
        <v/>
      </c>
      <c r="T169" s="34" t="n"/>
      <c r="U169" s="34">
        <f>IFERROR(W169/T169,0)</f>
        <v/>
      </c>
      <c r="V169" s="34">
        <f>IF(U169=0,0,U169-F169)</f>
        <v/>
      </c>
      <c r="W169" s="34" t="n"/>
      <c r="X169" s="34" t="n"/>
      <c r="Y169" s="34">
        <f>IFERROR(AA169/X169,0)</f>
        <v/>
      </c>
      <c r="Z169" s="34">
        <f>IF(Y169=0,0,F169-Y169)</f>
        <v/>
      </c>
      <c r="AA169" s="34" t="n"/>
      <c r="AB169" s="34" t="n">
        <v>0</v>
      </c>
      <c r="AC169" s="34" t="n">
        <v>0</v>
      </c>
      <c r="AD169" s="34">
        <f>IF(AB169&gt;AC169*1.05,AB169-AC169*1.05,IF(AB169&lt;AC169*0.95,AC169*0.95-AB169,0))</f>
        <v/>
      </c>
      <c r="AE169" s="34">
        <f>MAX(F169,G169,750)*0.05*AD169</f>
        <v/>
      </c>
      <c r="AF169" s="34" t="n">
        <v>0</v>
      </c>
      <c r="AG169" s="34">
        <f>IF(AB169&gt;AF169*1.05,AB169-AF169*1.05,IF(AB169&lt;AF169*0.95,AF169*0.95-AB169,0))</f>
        <v/>
      </c>
      <c r="AH169" s="34">
        <f>MAX(I169,J169,750)*0.05*AG169</f>
        <v/>
      </c>
      <c r="AI169" t="n">
        <v>9.19</v>
      </c>
      <c r="AJ169" t="n">
        <v>8</v>
      </c>
      <c r="AK169" s="34">
        <f>IF(AI169&gt;AJ169*1.05,AI169-AJ169*1.05,IF(AI169&lt;AJ169*0.95,AJ169*0.95-AI169,0))</f>
        <v/>
      </c>
      <c r="AL169" s="34">
        <f>MAX(F169,G169,750)*0.05*AK169</f>
        <v/>
      </c>
      <c r="AM169" s="39" t="n">
        <v>9</v>
      </c>
      <c r="AN169" s="34">
        <f>IF(AI169&gt;AM169*1.05,AI169-AM169*1.05,IF(AI169&lt;AM169*0.95,AM169*0.95-AI169,0))</f>
        <v/>
      </c>
      <c r="AO169" s="34">
        <f>MAX(F169,G169,750)*0.05*AN169</f>
        <v/>
      </c>
      <c r="AP169" s="34" t="n">
        <v>13.09</v>
      </c>
      <c r="AQ169" s="34" t="n">
        <v>11</v>
      </c>
      <c r="AR169" s="34">
        <f>IF(AP169&gt;AQ169*1.05,AP169-AQ169*1.05,IF(AP169&lt;AQ169*0.95,AQ169*0.95-AP169,0))</f>
        <v/>
      </c>
      <c r="AS169" s="34">
        <f>MAX(F169:G169,750)*0.05*AR169</f>
        <v/>
      </c>
      <c r="AT169" t="n">
        <v>13</v>
      </c>
      <c r="AU169" s="34">
        <f>IF(AP169&gt;AT169*1.05,AP169-AT169*1.05,IF(AP169&lt;AT169*0.95,AT169*0.95-AP169,0))</f>
        <v/>
      </c>
      <c r="AV169" s="34">
        <f>MAX(F169:G169,750)*0.05*AU169</f>
        <v/>
      </c>
      <c r="AW169" s="34">
        <f>AC169+AJ169+AQ169</f>
        <v/>
      </c>
      <c r="AX169" s="34">
        <f>AF169+AM169+AT169</f>
        <v/>
      </c>
      <c r="AY169" s="34">
        <f>AB169+AI169+AP169</f>
        <v/>
      </c>
      <c r="AZ169" s="34" t="n">
        <v>0</v>
      </c>
      <c r="BA169" s="34">
        <f>AD169+AK169+AR169</f>
        <v/>
      </c>
      <c r="BB169" s="34">
        <f>MAX(F169:G169,750)*0.05*BA169</f>
        <v/>
      </c>
      <c r="BC169" s="34">
        <f>AG169+AN169+AU169</f>
        <v/>
      </c>
      <c r="BD169" s="34">
        <f>MAX(F169:G169,750)*0.05*BC169</f>
        <v/>
      </c>
      <c r="BE169" s="34">
        <f>F169*AY169</f>
        <v/>
      </c>
      <c r="BF169" s="34">
        <f>K169-M169</f>
        <v/>
      </c>
      <c r="BG169" s="34">
        <f>P169-S169</f>
        <v/>
      </c>
      <c r="BH169" s="34">
        <f>W169-AA169</f>
        <v/>
      </c>
      <c r="BI169" s="34">
        <f>BF169+BG169+BL169-BN169</f>
        <v/>
      </c>
      <c r="BJ169" s="34">
        <f>ABS(BK169)</f>
        <v/>
      </c>
      <c r="BK169" s="34">
        <f>AY169-(J169-L169+N169-Q169)</f>
        <v/>
      </c>
      <c r="BL169" s="34">
        <f>IF(AND(BK169&gt;0,MIN($F169:$G169)&lt;150,$E169="Enerji Açığı"),-100*BK169*1.03,IF(AND(BK169&gt;0,MIN($F169:$G169)&lt;150,$E169="Enerji Fazlası"),-100*BK169*1.06,IF(AND(BK169&gt;0,MIN($F169:$G169)&gt;=150,$E169="Enerji Açığı"),BK169*MIN($F169:$G169)*0.97,IF(AND(BK169&gt;0,MIN($F169:$G169)&gt;=150,$E169="Enerji Fazlası"),BK169*MIN($F169:$G169)*0.94,IF(AND(BK169&lt;0,MAX($F169:$G169)=4500,$E169="Enerji Açığı"),4500*1.05*1.06*BK169,IF(AND(BK169&lt;0,MAX($F169:$G169)=4500,$E169="Enerji Fazlası"),4500*1.05*1.03*BK169,IF(AND(BK169&lt;0,$E169="Enerji Açığı"),MAX($F169,$G169,150)*BK169*1.06,IF(AND(BK169&lt;0,$E169="Enerji Fazlası"),MAX($F169,$G169,150)*BK169*1.03,IF(AND(BK169&lt;0,$E169="Dengede"),MAX($F169:$G169,150)*1.03*BK169,MIN($F169:$G169)*0.97*BK169)))))))))</f>
        <v/>
      </c>
      <c r="BM169" s="34">
        <f>BE169-BI169-BN169</f>
        <v/>
      </c>
      <c r="BN169" s="34">
        <f>BB169</f>
        <v/>
      </c>
      <c r="BO169" s="34">
        <f>BE169-BI169</f>
        <v/>
      </c>
      <c r="BP169" s="34">
        <f>IF(AY169=0,0,BO169/AY169)</f>
        <v/>
      </c>
      <c r="BQ169" s="34">
        <f>MAX((AY169+MAX((-J169+L169-N169+Q169),0)),(MAX((J169-L169+N169-Q169),0)))</f>
        <v/>
      </c>
      <c r="BR169" s="82">
        <f>IFERROR(ABS(BK169/BQ169),0)</f>
        <v/>
      </c>
      <c r="BS169" s="34">
        <f>IF(BR169&lt;=0.1,0,BK169/BR169*(BR169-0.1))</f>
        <v/>
      </c>
      <c r="BT169" s="34">
        <f>IF((BS169)&lt;0,MAX(F169:G169)*(BS169)*1.03,MIN(F169:G169)*(BS169)*0.97)</f>
        <v/>
      </c>
      <c r="BU169" s="34">
        <f>IF(BR169&gt;0.1,1,0)</f>
        <v/>
      </c>
      <c r="BV169" s="34">
        <f>BF169+BG169+BH169+BY169-CA169</f>
        <v/>
      </c>
      <c r="BW169" s="34">
        <f>ABS(BX169)</f>
        <v/>
      </c>
      <c r="BX169" s="34">
        <f>AY169-(J169-L169+N169-Q169+T169-X169)</f>
        <v/>
      </c>
      <c r="BY169" s="34">
        <f>IF(AND(BX169&gt;0,MIN($F169:$G169)&lt;150,$E169="Enerji Açığı"),-100*BX169*1.03,IF(AND(BX169&gt;0,MIN($F169:$G169)&lt;150,$E169="Enerji Fazlası"),-100*BX169*1.06,IF(AND(BX169&gt;0,MIN($F169:$G169)&gt;=150,$E169="Enerji Açığı"),BX169*MIN($F169:$G169)*0.97,IF(AND(BX169&gt;0,MIN($F169:$G169)&gt;=150,$E169="Enerji Fazlası"),BX169*MIN($F169:$G169)*0.94,IF(AND(BX169&lt;0,MAX($F169:$G169)=4500,$E169="Enerji Açığı"),4500*1.05*1.06*BX169,IF(AND(BX169&lt;0,MAX($F169:$G169)=4500,$E169="Enerji Fazlası"),4500*1.05*1.03*BX169,IF(AND(BX169&lt;0,$E169="Enerji Açığı"),MAX($F169,$G169,150)*BX169*1.06,IF(AND(BX169&lt;0,$E169="Enerji Fazlası"),MAX($F169,$G169,150)*BX169*1.03,IF(AND(BX169&lt;0,$E169="Dengede"),MAX($F169:$G169,150)*1.03*BX169,MIN($F169:$G169)*0.97*BX169)))))))))</f>
        <v/>
      </c>
      <c r="BZ169" s="34">
        <f>BE169-BV169-CA169</f>
        <v/>
      </c>
      <c r="CA169" s="34">
        <f>BD169</f>
        <v/>
      </c>
      <c r="CB169" s="33">
        <f>BE169-BV169</f>
        <v/>
      </c>
      <c r="CC169" s="34">
        <f>IF(AY169=0,0,CB169/AY169)</f>
        <v/>
      </c>
      <c r="CD169" s="34">
        <f>MAX((AY169+MAX((-J169+L169-N169+Q169-T169+X169),0)),(MAX((J169-L169+N169-Q169+T169-X169),0)))</f>
        <v/>
      </c>
      <c r="CE169" s="82">
        <f>IFERROR(ABS(BX169/CD169),0)</f>
        <v/>
      </c>
      <c r="CF169" s="34">
        <f>IF(CE169&lt;=0.1,0,BX169/CE169*(CE169-0.1))</f>
        <v/>
      </c>
      <c r="CG169" s="34">
        <f>IF((CF169)&lt;0,MAX(F169:G169)*(CF169)*1.03,MIN(F169:G169)*(CF169)*0.97)</f>
        <v/>
      </c>
      <c r="CH169" s="34">
        <f>IF(CE169&gt;0.1,1,0)</f>
        <v/>
      </c>
      <c r="CI169" s="34">
        <f>(F169*BX169)-BY169</f>
        <v/>
      </c>
      <c r="CJ169" s="34">
        <f>IF(AY169=0,0,CI169/AY169)</f>
        <v/>
      </c>
      <c r="CK169" t="inlineStr">
        <is>
          <t>l</t>
        </is>
      </c>
    </row>
    <row r="170">
      <c r="A170" s="29" t="n">
        <v>46210.95833333334</v>
      </c>
      <c r="B170" s="29" t="inlineStr">
        <is>
          <t>23:00</t>
        </is>
      </c>
      <c r="C170" s="35">
        <f>INT(A170)</f>
        <v/>
      </c>
      <c r="D170" s="36">
        <f>MONTH(A170)</f>
        <v/>
      </c>
      <c r="E170" s="147" t="inlineStr">
        <is>
          <t>Enerji Açığı</t>
        </is>
      </c>
      <c r="F170" s="30" t="n">
        <v>2999.99</v>
      </c>
      <c r="G170" s="30" t="n">
        <v>3500</v>
      </c>
      <c r="H170" s="30" t="n">
        <v>64.33</v>
      </c>
      <c r="I170" s="30" t="n">
        <v>3302.44</v>
      </c>
      <c r="J170" s="119" t="n">
        <v>0</v>
      </c>
      <c r="K170" s="34">
        <f>F170*J170</f>
        <v/>
      </c>
      <c r="L170" s="119" t="n">
        <v>0</v>
      </c>
      <c r="M170" s="34">
        <f>L170*F170</f>
        <v/>
      </c>
      <c r="N170" s="119" t="n">
        <v>19</v>
      </c>
      <c r="O170" s="34">
        <f>F170</f>
        <v/>
      </c>
      <c r="P170" s="34">
        <f>N170*O170</f>
        <v/>
      </c>
      <c r="Q170" s="117" t="n">
        <v>0</v>
      </c>
      <c r="R170" s="34">
        <f>F170</f>
        <v/>
      </c>
      <c r="S170" s="34">
        <f>R170*Q170</f>
        <v/>
      </c>
      <c r="T170" s="34" t="n"/>
      <c r="U170" s="34">
        <f>IFERROR(W170/T170,0)</f>
        <v/>
      </c>
      <c r="V170" s="34">
        <f>IF(U170=0,0,U170-F170)</f>
        <v/>
      </c>
      <c r="W170" s="34" t="n">
        <v>13887.3</v>
      </c>
      <c r="X170" s="34" t="n"/>
      <c r="Y170" s="34">
        <f>IFERROR(AA170/X170,0)</f>
        <v/>
      </c>
      <c r="Z170" s="34">
        <f>IF(Y170=0,0,F170-Y170)</f>
        <v/>
      </c>
      <c r="AA170" s="34" t="n"/>
      <c r="AB170" s="34" t="n">
        <v>0</v>
      </c>
      <c r="AC170" s="34" t="n">
        <v>0</v>
      </c>
      <c r="AD170" s="34">
        <f>IF(AB170&gt;AC170*1.05,AB170-AC170*1.05,IF(AB170&lt;AC170*0.95,AC170*0.95-AB170,0))</f>
        <v/>
      </c>
      <c r="AE170" s="34">
        <f>MAX(F170,G170,750)*0.05*AD170</f>
        <v/>
      </c>
      <c r="AF170" s="34" t="n">
        <v>0</v>
      </c>
      <c r="AG170" s="34">
        <f>IF(AB170&gt;AF170*1.05,AB170-AF170*1.05,IF(AB170&lt;AF170*0.95,AF170*0.95-AB170,0))</f>
        <v/>
      </c>
      <c r="AH170" s="34">
        <f>MAX(I170,J170,750)*0.05*AG170</f>
        <v/>
      </c>
      <c r="AI170" t="n">
        <v>9.23</v>
      </c>
      <c r="AJ170" t="n">
        <v>8</v>
      </c>
      <c r="AK170" s="34">
        <f>IF(AI170&gt;AJ170*1.05,AI170-AJ170*1.05,IF(AI170&lt;AJ170*0.95,AJ170*0.95-AI170,0))</f>
        <v/>
      </c>
      <c r="AL170" s="34">
        <f>MAX(F170,G170,750)*0.05*AK170</f>
        <v/>
      </c>
      <c r="AM170" s="39" t="n">
        <v>9</v>
      </c>
      <c r="AN170" s="34">
        <f>IF(AI170&gt;AM170*1.05,AI170-AM170*1.05,IF(AI170&lt;AM170*0.95,AM170*0.95-AI170,0))</f>
        <v/>
      </c>
      <c r="AO170" s="34">
        <f>MAX(F170,G170,750)*0.05*AN170</f>
        <v/>
      </c>
      <c r="AP170" s="34" t="n">
        <v>13.08</v>
      </c>
      <c r="AQ170" s="34" t="n">
        <v>11</v>
      </c>
      <c r="AR170" s="34">
        <f>IF(AP170&gt;AQ170*1.05,AP170-AQ170*1.05,IF(AP170&lt;AQ170*0.95,AQ170*0.95-AP170,0))</f>
        <v/>
      </c>
      <c r="AS170" s="34">
        <f>MAX(F170:G170,750)*0.05*AR170</f>
        <v/>
      </c>
      <c r="AT170" t="n">
        <v>13</v>
      </c>
      <c r="AU170" s="34">
        <f>IF(AP170&gt;AT170*1.05,AP170-AT170*1.05,IF(AP170&lt;AT170*0.95,AT170*0.95-AP170,0))</f>
        <v/>
      </c>
      <c r="AV170" s="34">
        <f>MAX(F170:G170,750)*0.05*AU170</f>
        <v/>
      </c>
      <c r="AW170" s="34">
        <f>AC170+AJ170+AQ170</f>
        <v/>
      </c>
      <c r="AX170" s="34">
        <f>AF170+AM170+AT170</f>
        <v/>
      </c>
      <c r="AY170" s="34">
        <f>AB170+AI170+AP170</f>
        <v/>
      </c>
      <c r="AZ170" s="34" t="n">
        <v>0</v>
      </c>
      <c r="BA170" s="34">
        <f>AD170+AK170+AR170</f>
        <v/>
      </c>
      <c r="BB170" s="34">
        <f>MAX(F170:G170,750)*0.05*BA170</f>
        <v/>
      </c>
      <c r="BC170" s="34">
        <f>AG170+AN170+AU170</f>
        <v/>
      </c>
      <c r="BD170" s="34">
        <f>MAX(F170:G170,750)*0.05*BC170</f>
        <v/>
      </c>
      <c r="BE170" s="34">
        <f>F170*AY170</f>
        <v/>
      </c>
      <c r="BF170" s="34">
        <f>K170-M170</f>
        <v/>
      </c>
      <c r="BG170" s="34">
        <f>P170-S170</f>
        <v/>
      </c>
      <c r="BH170" s="34">
        <f>W170-AA170</f>
        <v/>
      </c>
      <c r="BI170" s="34">
        <f>BF170+BG170+BL170-BN170</f>
        <v/>
      </c>
      <c r="BJ170" s="34">
        <f>ABS(BK170)</f>
        <v/>
      </c>
      <c r="BK170" s="34">
        <f>AY170-(J170-L170+N170-Q170)</f>
        <v/>
      </c>
      <c r="BL170" s="34">
        <f>IF(AND(BK170&gt;0,MIN($F170:$G170)&lt;150,$E170="Enerji Açığı"),-100*BK170*1.03,IF(AND(BK170&gt;0,MIN($F170:$G170)&lt;150,$E170="Enerji Fazlası"),-100*BK170*1.06,IF(AND(BK170&gt;0,MIN($F170:$G170)&gt;=150,$E170="Enerji Açığı"),BK170*MIN($F170:$G170)*0.97,IF(AND(BK170&gt;0,MIN($F170:$G170)&gt;=150,$E170="Enerji Fazlası"),BK170*MIN($F170:$G170)*0.94,IF(AND(BK170&lt;0,MAX($F170:$G170)=4500,$E170="Enerji Açığı"),4500*1.05*1.06*BK170,IF(AND(BK170&lt;0,MAX($F170:$G170)=4500,$E170="Enerji Fazlası"),4500*1.05*1.03*BK170,IF(AND(BK170&lt;0,$E170="Enerji Açığı"),MAX($F170,$G170,150)*BK170*1.06,IF(AND(BK170&lt;0,$E170="Enerji Fazlası"),MAX($F170,$G170,150)*BK170*1.03,IF(AND(BK170&lt;0,$E170="Dengede"),MAX($F170:$G170,150)*1.03*BK170,MIN($F170:$G170)*0.97*BK170)))))))))</f>
        <v/>
      </c>
      <c r="BM170" s="34">
        <f>BE170-BI170-BN170</f>
        <v/>
      </c>
      <c r="BN170" s="34">
        <f>BB170</f>
        <v/>
      </c>
      <c r="BO170" s="34">
        <f>BE170-BI170</f>
        <v/>
      </c>
      <c r="BP170" s="34">
        <f>IF(AY170=0,0,BO170/AY170)</f>
        <v/>
      </c>
      <c r="BQ170" s="34">
        <f>MAX((AY170+MAX((-J170+L170-N170+Q170),0)),(MAX((J170-L170+N170-Q170),0)))</f>
        <v/>
      </c>
      <c r="BR170" s="82">
        <f>IFERROR(ABS(BK170/BQ170),0)</f>
        <v/>
      </c>
      <c r="BS170" s="34">
        <f>IF(BR170&lt;=0.1,0,BK170/BR170*(BR170-0.1))</f>
        <v/>
      </c>
      <c r="BT170" s="34">
        <f>IF((BS170)&lt;0,MAX(F170:G170)*(BS170)*1.03,MIN(F170:G170)*(BS170)*0.97)</f>
        <v/>
      </c>
      <c r="BU170" s="34">
        <f>IF(BR170&gt;0.1,1,0)</f>
        <v/>
      </c>
      <c r="BV170" s="34">
        <f>BF170+BG170+BH170+BY170-CA170</f>
        <v/>
      </c>
      <c r="BW170" s="34">
        <f>ABS(BX170)</f>
        <v/>
      </c>
      <c r="BX170" s="34">
        <f>AY170-(J170-L170+N170-Q170+T170-X170)</f>
        <v/>
      </c>
      <c r="BY170" s="34">
        <f>IF(AND(BX170&gt;0,MIN($F170:$G170)&lt;150,$E170="Enerji Açığı"),-100*BX170*1.03,IF(AND(BX170&gt;0,MIN($F170:$G170)&lt;150,$E170="Enerji Fazlası"),-100*BX170*1.06,IF(AND(BX170&gt;0,MIN($F170:$G170)&gt;=150,$E170="Enerji Açığı"),BX170*MIN($F170:$G170)*0.97,IF(AND(BX170&gt;0,MIN($F170:$G170)&gt;=150,$E170="Enerji Fazlası"),BX170*MIN($F170:$G170)*0.94,IF(AND(BX170&lt;0,MAX($F170:$G170)=4500,$E170="Enerji Açığı"),4500*1.05*1.06*BX170,IF(AND(BX170&lt;0,MAX($F170:$G170)=4500,$E170="Enerji Fazlası"),4500*1.05*1.03*BX170,IF(AND(BX170&lt;0,$E170="Enerji Açığı"),MAX($F170,$G170,150)*BX170*1.06,IF(AND(BX170&lt;0,$E170="Enerji Fazlası"),MAX($F170,$G170,150)*BX170*1.03,IF(AND(BX170&lt;0,$E170="Dengede"),MAX($F170:$G170,150)*1.03*BX170,MIN($F170:$G170)*0.97*BX170)))))))))</f>
        <v/>
      </c>
      <c r="BZ170" s="34">
        <f>BE170-BV170-CA170</f>
        <v/>
      </c>
      <c r="CA170" s="34">
        <f>BD170</f>
        <v/>
      </c>
      <c r="CB170" s="33">
        <f>BE170-BV170</f>
        <v/>
      </c>
      <c r="CC170" s="34">
        <f>IF(AY170=0,0,CB170/AY170)</f>
        <v/>
      </c>
      <c r="CD170" s="34">
        <f>MAX((AY170+MAX((-J170+L170-N170+Q170-T170+X170),0)),(MAX((J170-L170+N170-Q170+T170-X170),0)))</f>
        <v/>
      </c>
      <c r="CE170" s="82">
        <f>IFERROR(ABS(BX170/CD170),0)</f>
        <v/>
      </c>
      <c r="CF170" s="34">
        <f>IF(CE170&lt;=0.1,0,BX170/CE170*(CE170-0.1))</f>
        <v/>
      </c>
      <c r="CG170" s="34">
        <f>IF((CF170)&lt;0,MAX(F170:G170)*(CF170)*1.03,MIN(F170:G170)*(CF170)*0.97)</f>
        <v/>
      </c>
      <c r="CH170" s="34">
        <f>IF(CE170&gt;0.1,1,0)</f>
        <v/>
      </c>
      <c r="CI170" s="34">
        <f>(F170*BX170)-BY170</f>
        <v/>
      </c>
      <c r="CJ170" s="34">
        <f>IF(AY170=0,0,CI170/AY170)</f>
        <v/>
      </c>
    </row>
    <row r="171">
      <c r="A171" s="29" t="n">
        <v>46211</v>
      </c>
      <c r="B171" s="29" t="inlineStr">
        <is>
          <t>00:00</t>
        </is>
      </c>
      <c r="C171" s="35">
        <f>INT(A171)</f>
        <v/>
      </c>
      <c r="D171" s="36">
        <f>MONTH(A171)</f>
        <v/>
      </c>
      <c r="E171" s="147" t="inlineStr">
        <is>
          <t>Enerji Açığı</t>
        </is>
      </c>
      <c r="F171" s="30" t="n">
        <v>3199.01</v>
      </c>
      <c r="G171" s="30" t="n">
        <v>3740</v>
      </c>
      <c r="H171" s="30" t="n">
        <v>68.45</v>
      </c>
      <c r="I171" s="30" t="n">
        <v>3586.43</v>
      </c>
      <c r="J171" s="119" t="n">
        <v>0</v>
      </c>
      <c r="K171" s="34">
        <f>F171*J171</f>
        <v/>
      </c>
      <c r="L171" s="119" t="n">
        <v>0</v>
      </c>
      <c r="M171" s="34">
        <f>L171*F171</f>
        <v/>
      </c>
      <c r="N171" s="119" t="n">
        <v>21</v>
      </c>
      <c r="O171" s="34">
        <f>F171</f>
        <v/>
      </c>
      <c r="P171" s="34">
        <f>N171*O171</f>
        <v/>
      </c>
      <c r="Q171" s="117" t="n">
        <v>0</v>
      </c>
      <c r="R171" s="34">
        <f>F171</f>
        <v/>
      </c>
      <c r="S171" s="34">
        <f>R171*Q171</f>
        <v/>
      </c>
      <c r="T171" s="34" t="n"/>
      <c r="U171" s="34">
        <f>IFERROR(W171/T171,0)</f>
        <v/>
      </c>
      <c r="V171" s="34">
        <f>IF(U171=0,0,U171-F171)</f>
        <v/>
      </c>
      <c r="W171" s="34" t="n"/>
      <c r="X171" s="34" t="n"/>
      <c r="Y171" s="34">
        <f>IFERROR(AA171/X171,0)</f>
        <v/>
      </c>
      <c r="Z171" s="34">
        <f>IF(Y171=0,0,F171-Y171)</f>
        <v/>
      </c>
      <c r="AA171" s="34" t="n"/>
      <c r="AB171" s="34" t="n">
        <v>0</v>
      </c>
      <c r="AC171" s="34" t="n">
        <v>0</v>
      </c>
      <c r="AD171" s="34">
        <f>IF(AB171&gt;AC171*1.05,AB171-AC171*1.05,IF(AB171&lt;AC171*0.95,AC171*0.95-AB171,0))</f>
        <v/>
      </c>
      <c r="AE171" s="34">
        <f>MAX(F171,G171,750)*0.05*AD171</f>
        <v/>
      </c>
      <c r="AF171" s="34" t="n">
        <v>0</v>
      </c>
      <c r="AG171" s="34">
        <f>IF(AB171&gt;AF171*1.05,AB171-AF171*1.05,IF(AB171&lt;AF171*0.95,AF171*0.95-AB171,0))</f>
        <v/>
      </c>
      <c r="AH171" s="34">
        <f>MAX(I171,J171,750)*0.05*AG171</f>
        <v/>
      </c>
      <c r="AI171" t="n">
        <v>9.119999999999999</v>
      </c>
      <c r="AJ171" t="n">
        <v>9</v>
      </c>
      <c r="AK171" s="34">
        <f>IF(AI171&gt;AJ171*1.05,AI171-AJ171*1.05,IF(AI171&lt;AJ171*0.95,AJ171*0.95-AI171,0))</f>
        <v/>
      </c>
      <c r="AL171" s="34">
        <f>MAX(F171,G171,750)*0.05*AK171</f>
        <v/>
      </c>
      <c r="AM171" s="39" t="n">
        <v>9</v>
      </c>
      <c r="AN171" s="34">
        <f>IF(AI171&gt;AM171*1.05,AI171-AM171*1.05,IF(AI171&lt;AM171*0.95,AM171*0.95-AI171,0))</f>
        <v/>
      </c>
      <c r="AO171" s="34">
        <f>MAX(F171,G171,750)*0.05*AN171</f>
        <v/>
      </c>
      <c r="AP171" s="34" t="n">
        <v>13.07</v>
      </c>
      <c r="AQ171" s="34" t="n">
        <v>12</v>
      </c>
      <c r="AR171" s="34">
        <f>IF(AP171&gt;AQ171*1.05,AP171-AQ171*1.05,IF(AP171&lt;AQ171*0.95,AQ171*0.95-AP171,0))</f>
        <v/>
      </c>
      <c r="AS171" s="34">
        <f>MAX(F171:G171,750)*0.05*AR171</f>
        <v/>
      </c>
      <c r="AT171" t="n">
        <v>13</v>
      </c>
      <c r="AU171" s="34">
        <f>IF(AP171&gt;AT171*1.05,AP171-AT171*1.05,IF(AP171&lt;AT171*0.95,AT171*0.95-AP171,0))</f>
        <v/>
      </c>
      <c r="AV171" s="34">
        <f>MAX(F171:G171,750)*0.05*AU171</f>
        <v/>
      </c>
      <c r="AW171" s="34">
        <f>AC171+AJ171+AQ171</f>
        <v/>
      </c>
      <c r="AX171" s="34">
        <f>AF171+AM171+AT171</f>
        <v/>
      </c>
      <c r="AY171" s="34">
        <f>AB171+AI171+AP171</f>
        <v/>
      </c>
      <c r="AZ171" s="34" t="n">
        <v>0</v>
      </c>
      <c r="BA171" s="34">
        <f>AD171+AK171+AR171</f>
        <v/>
      </c>
      <c r="BB171" s="34">
        <f>MAX(F171:G171,750)*0.05*BA171</f>
        <v/>
      </c>
      <c r="BC171" s="34">
        <f>AG171+AN171+AU171</f>
        <v/>
      </c>
      <c r="BD171" s="34">
        <f>MAX(F171:G171,750)*0.05*BC171</f>
        <v/>
      </c>
      <c r="BE171" s="34">
        <f>F171*AY171</f>
        <v/>
      </c>
      <c r="BF171" s="34">
        <f>K171-M171</f>
        <v/>
      </c>
      <c r="BG171" s="34">
        <f>P171-S171</f>
        <v/>
      </c>
      <c r="BH171" s="34">
        <f>W171-AA171</f>
        <v/>
      </c>
      <c r="BI171" s="34">
        <f>BF171+BG171+BL171-BN171</f>
        <v/>
      </c>
      <c r="BJ171" s="34">
        <f>ABS(BK171)</f>
        <v/>
      </c>
      <c r="BK171" s="34">
        <f>AY171-(J171-L171+N171-Q171)</f>
        <v/>
      </c>
      <c r="BL171" s="34">
        <f>IF(AND(BK171&gt;0,MIN($F171:$G171)&lt;150,$E171="Enerji Açığı"),-100*BK171*1.03,IF(AND(BK171&gt;0,MIN($F171:$G171)&lt;150,$E171="Enerji Fazlası"),-100*BK171*1.06,IF(AND(BK171&gt;0,MIN($F171:$G171)&gt;=150,$E171="Enerji Açığı"),BK171*MIN($F171:$G171)*0.97,IF(AND(BK171&gt;0,MIN($F171:$G171)&gt;=150,$E171="Enerji Fazlası"),BK171*MIN($F171:$G171)*0.94,IF(AND(BK171&lt;0,MAX($F171:$G171)=4500,$E171="Enerji Açığı"),4500*1.05*1.06*BK171,IF(AND(BK171&lt;0,MAX($F171:$G171)=4500,$E171="Enerji Fazlası"),4500*1.05*1.03*BK171,IF(AND(BK171&lt;0,$E171="Enerji Açığı"),MAX($F171,$G171,150)*BK171*1.06,IF(AND(BK171&lt;0,$E171="Enerji Fazlası"),MAX($F171,$G171,150)*BK171*1.03,IF(AND(BK171&lt;0,$E171="Dengede"),MAX($F171:$G171,150)*1.03*BK171,MIN($F171:$G171)*0.97*BK171)))))))))</f>
        <v/>
      </c>
      <c r="BM171" s="34">
        <f>BE171-BI171-BN171</f>
        <v/>
      </c>
      <c r="BN171" s="34">
        <f>BB171</f>
        <v/>
      </c>
      <c r="BO171" s="34">
        <f>BE171-BI171</f>
        <v/>
      </c>
      <c r="BP171" s="34">
        <f>IF(AY171=0,0,BO171/AY171)</f>
        <v/>
      </c>
      <c r="BQ171" s="34">
        <f>MAX((AY171+MAX((-J171+L171-N171+Q171),0)),(MAX((J171-L171+N171-Q171),0)))</f>
        <v/>
      </c>
      <c r="BR171" s="82">
        <f>IFERROR(ABS(BK171/BQ171),0)</f>
        <v/>
      </c>
      <c r="BS171" s="34">
        <f>IF(BR171&lt;=0.1,0,BK171/BR171*(BR171-0.1))</f>
        <v/>
      </c>
      <c r="BT171" s="34">
        <f>IF((BS171)&lt;0,MAX(F171:G171)*(BS171)*1.03,MIN(F171:G171)*(BS171)*0.97)</f>
        <v/>
      </c>
      <c r="BU171" s="34">
        <f>IF(BR171&gt;0.1,1,0)</f>
        <v/>
      </c>
      <c r="BV171" s="34">
        <f>BF171+BG171+BH171+BY171-CA171</f>
        <v/>
      </c>
      <c r="BW171" s="34">
        <f>ABS(BX171)</f>
        <v/>
      </c>
      <c r="BX171" s="34">
        <f>AY171-(J171-L171+N171-Q171+T171-X171)</f>
        <v/>
      </c>
      <c r="BY171" s="34">
        <f>IF(AND(BX171&gt;0,MIN($F171:$G171)&lt;150,$E171="Enerji Açığı"),-100*BX171*1.03,IF(AND(BX171&gt;0,MIN($F171:$G171)&lt;150,$E171="Enerji Fazlası"),-100*BX171*1.06,IF(AND(BX171&gt;0,MIN($F171:$G171)&gt;=150,$E171="Enerji Açığı"),BX171*MIN($F171:$G171)*0.97,IF(AND(BX171&gt;0,MIN($F171:$G171)&gt;=150,$E171="Enerji Fazlası"),BX171*MIN($F171:$G171)*0.94,IF(AND(BX171&lt;0,MAX($F171:$G171)=4500,$E171="Enerji Açığı"),4500*1.05*1.06*BX171,IF(AND(BX171&lt;0,MAX($F171:$G171)=4500,$E171="Enerji Fazlası"),4500*1.05*1.03*BX171,IF(AND(BX171&lt;0,$E171="Enerji Açığı"),MAX($F171,$G171,150)*BX171*1.06,IF(AND(BX171&lt;0,$E171="Enerji Fazlası"),MAX($F171,$G171,150)*BX171*1.03,IF(AND(BX171&lt;0,$E171="Dengede"),MAX($F171:$G171,150)*1.03*BX171,MIN($F171:$G171)*0.97*BX171)))))))))</f>
        <v/>
      </c>
      <c r="BZ171" s="34">
        <f>BE171-BV171-CA171</f>
        <v/>
      </c>
      <c r="CA171" s="34">
        <f>BD171</f>
        <v/>
      </c>
      <c r="CB171" s="33">
        <f>BE171-BV171</f>
        <v/>
      </c>
      <c r="CC171" s="34">
        <f>IF(AY171=0,0,CB171/AY171)</f>
        <v/>
      </c>
      <c r="CD171" s="34">
        <f>MAX((AY171+MAX((-J171+L171-N171+Q171-T171+X171),0)),(MAX((J171-L171+N171-Q171+T171-X171),0)))</f>
        <v/>
      </c>
      <c r="CE171" s="82">
        <f>IFERROR(ABS(BX171/CD171),0)</f>
        <v/>
      </c>
      <c r="CF171" s="34">
        <f>IF(CE171&lt;=0.1,0,BX171/CE171*(CE171-0.1))</f>
        <v/>
      </c>
      <c r="CG171" s="34">
        <f>IF((CF171)&lt;0,MAX(F171:G171)*(CF171)*1.03,MIN(F171:G171)*(CF171)*0.97)</f>
        <v/>
      </c>
      <c r="CH171" s="34">
        <f>IF(CE171&gt;0.1,1,0)</f>
        <v/>
      </c>
      <c r="CI171" s="34">
        <f>(F171*BX171)-BY171</f>
        <v/>
      </c>
      <c r="CJ171" s="34">
        <f>IF(AY171=0,0,CI171/AY171)</f>
        <v/>
      </c>
    </row>
    <row r="172">
      <c r="A172" s="29" t="n">
        <v>46211.04166666666</v>
      </c>
      <c r="B172" s="29" t="inlineStr">
        <is>
          <t>01:00</t>
        </is>
      </c>
      <c r="C172" s="35">
        <f>INT(A172)</f>
        <v/>
      </c>
      <c r="D172" s="36">
        <f>MONTH(A172)</f>
        <v/>
      </c>
      <c r="E172" s="147" t="inlineStr">
        <is>
          <t>Enerji Açığı</t>
        </is>
      </c>
      <c r="F172" s="30" t="n">
        <v>3184.9</v>
      </c>
      <c r="G172" s="30" t="n">
        <v>3740</v>
      </c>
      <c r="H172" s="30" t="n">
        <v>68.15000000000001</v>
      </c>
      <c r="I172" s="30" t="n">
        <v>3602.81</v>
      </c>
      <c r="J172" s="119" t="n">
        <v>0</v>
      </c>
      <c r="K172" s="34">
        <f>F172*J172</f>
        <v/>
      </c>
      <c r="L172" s="119" t="n">
        <v>0</v>
      </c>
      <c r="M172" s="34">
        <f>L172*F172</f>
        <v/>
      </c>
      <c r="N172" s="119" t="n">
        <v>21</v>
      </c>
      <c r="O172" s="34">
        <f>F172</f>
        <v/>
      </c>
      <c r="P172" s="34">
        <f>N172*O172</f>
        <v/>
      </c>
      <c r="Q172" s="117" t="n">
        <v>0</v>
      </c>
      <c r="R172" s="34">
        <f>F172</f>
        <v/>
      </c>
      <c r="S172" s="34">
        <f>R172*Q172</f>
        <v/>
      </c>
      <c r="T172" s="34" t="n"/>
      <c r="U172" s="34">
        <f>IFERROR(W172/T172,0)</f>
        <v/>
      </c>
      <c r="V172" s="34">
        <f>IF(U172=0,0,U172-F172)</f>
        <v/>
      </c>
      <c r="W172" s="34" t="n"/>
      <c r="X172" s="34" t="n"/>
      <c r="Y172" s="34">
        <f>IFERROR(AA172/X172,0)</f>
        <v/>
      </c>
      <c r="Z172" s="34">
        <f>IF(Y172=0,0,F172-Y172)</f>
        <v/>
      </c>
      <c r="AA172" s="34" t="n"/>
      <c r="AB172" s="34" t="n">
        <v>0</v>
      </c>
      <c r="AC172" s="34" t="n">
        <v>0</v>
      </c>
      <c r="AD172" s="34">
        <f>IF(AB172&gt;AC172*1.05,AB172-AC172*1.05,IF(AB172&lt;AC172*0.95,AC172*0.95-AB172,0))</f>
        <v/>
      </c>
      <c r="AE172" s="34">
        <f>MAX(F172,G172,750)*0.05*AD172</f>
        <v/>
      </c>
      <c r="AF172" s="34" t="n">
        <v>0</v>
      </c>
      <c r="AG172" s="34">
        <f>IF(AB172&gt;AF172*1.05,AB172-AF172*1.05,IF(AB172&lt;AF172*0.95,AF172*0.95-AB172,0))</f>
        <v/>
      </c>
      <c r="AH172" s="34">
        <f>MAX(I172,J172,750)*0.05*AG172</f>
        <v/>
      </c>
      <c r="AI172" t="n">
        <v>9.06</v>
      </c>
      <c r="AJ172" t="n">
        <v>9</v>
      </c>
      <c r="AK172" s="34">
        <f>IF(AI172&gt;AJ172*1.05,AI172-AJ172*1.05,IF(AI172&lt;AJ172*0.95,AJ172*0.95-AI172,0))</f>
        <v/>
      </c>
      <c r="AL172" s="34">
        <f>MAX(F172,G172,750)*0.05*AK172</f>
        <v/>
      </c>
      <c r="AM172" s="39" t="n">
        <v>9</v>
      </c>
      <c r="AN172" s="34">
        <f>IF(AI172&gt;AM172*1.05,AI172-AM172*1.05,IF(AI172&lt;AM172*0.95,AM172*0.95-AI172,0))</f>
        <v/>
      </c>
      <c r="AO172" s="34">
        <f>MAX(F172,G172,750)*0.05*AN172</f>
        <v/>
      </c>
      <c r="AP172" s="34" t="n">
        <v>12.07</v>
      </c>
      <c r="AQ172" s="34" t="n">
        <v>12</v>
      </c>
      <c r="AR172" s="34">
        <f>IF(AP172&gt;AQ172*1.05,AP172-AQ172*1.05,IF(AP172&lt;AQ172*0.95,AQ172*0.95-AP172,0))</f>
        <v/>
      </c>
      <c r="AS172" s="34">
        <f>MAX(F172:G172,750)*0.05*AR172</f>
        <v/>
      </c>
      <c r="AT172" t="n">
        <v>12</v>
      </c>
      <c r="AU172" s="34">
        <f>IF(AP172&gt;AT172*1.05,AP172-AT172*1.05,IF(AP172&lt;AT172*0.95,AT172*0.95-AP172,0))</f>
        <v/>
      </c>
      <c r="AV172" s="34">
        <f>MAX(F172:G172,750)*0.05*AU172</f>
        <v/>
      </c>
      <c r="AW172" s="34">
        <f>AC172+AJ172+AQ172</f>
        <v/>
      </c>
      <c r="AX172" s="34">
        <f>AF172+AM172+AT172</f>
        <v/>
      </c>
      <c r="AY172" s="34">
        <f>AB172+AI172+AP172</f>
        <v/>
      </c>
      <c r="AZ172" s="34" t="n">
        <v>0</v>
      </c>
      <c r="BA172" s="34">
        <f>AD172+AK172+AR172</f>
        <v/>
      </c>
      <c r="BB172" s="34">
        <f>MAX(F172:G172,750)*0.05*BA172</f>
        <v/>
      </c>
      <c r="BC172" s="34">
        <f>AG172+AN172+AU172</f>
        <v/>
      </c>
      <c r="BD172" s="34">
        <f>MAX(F172:G172,750)*0.05*BC172</f>
        <v/>
      </c>
      <c r="BE172" s="34">
        <f>F172*AY172</f>
        <v/>
      </c>
      <c r="BF172" s="34">
        <f>K172-M172</f>
        <v/>
      </c>
      <c r="BG172" s="34">
        <f>P172-S172</f>
        <v/>
      </c>
      <c r="BH172" s="34">
        <f>W172-AA172</f>
        <v/>
      </c>
      <c r="BI172" s="34">
        <f>BF172+BG172+BL172-BN172</f>
        <v/>
      </c>
      <c r="BJ172" s="34">
        <f>ABS(BK172)</f>
        <v/>
      </c>
      <c r="BK172" s="34">
        <f>AY172-(J172-L172+N172-Q172)</f>
        <v/>
      </c>
      <c r="BL172" s="34">
        <f>IF(AND(BK172&gt;0,MIN($F172:$G172)&lt;150,$E172="Enerji Açığı"),-100*BK172*1.03,IF(AND(BK172&gt;0,MIN($F172:$G172)&lt;150,$E172="Enerji Fazlası"),-100*BK172*1.06,IF(AND(BK172&gt;0,MIN($F172:$G172)&gt;=150,$E172="Enerji Açığı"),BK172*MIN($F172:$G172)*0.97,IF(AND(BK172&gt;0,MIN($F172:$G172)&gt;=150,$E172="Enerji Fazlası"),BK172*MIN($F172:$G172)*0.94,IF(AND(BK172&lt;0,MAX($F172:$G172)=4500,$E172="Enerji Açığı"),4500*1.05*1.06*BK172,IF(AND(BK172&lt;0,MAX($F172:$G172)=4500,$E172="Enerji Fazlası"),4500*1.05*1.03*BK172,IF(AND(BK172&lt;0,$E172="Enerji Açığı"),MAX($F172,$G172,150)*BK172*1.06,IF(AND(BK172&lt;0,$E172="Enerji Fazlası"),MAX($F172,$G172,150)*BK172*1.03,IF(AND(BK172&lt;0,$E172="Dengede"),MAX($F172:$G172,150)*1.03*BK172,MIN($F172:$G172)*0.97*BK172)))))))))</f>
        <v/>
      </c>
      <c r="BM172" s="34">
        <f>BE172-BI172-BN172</f>
        <v/>
      </c>
      <c r="BN172" s="34">
        <f>BB172</f>
        <v/>
      </c>
      <c r="BO172" s="34">
        <f>BE172-BI172</f>
        <v/>
      </c>
      <c r="BP172" s="34">
        <f>IF(AY172=0,0,BO172/AY172)</f>
        <v/>
      </c>
      <c r="BQ172" s="34">
        <f>MAX((AY172+MAX((-J172+L172-N172+Q172),0)),(MAX((J172-L172+N172-Q172),0)))</f>
        <v/>
      </c>
      <c r="BR172" s="82">
        <f>IFERROR(ABS(BK172/BQ172),0)</f>
        <v/>
      </c>
      <c r="BS172" s="34">
        <f>IF(BR172&lt;=0.1,0,BK172/BR172*(BR172-0.1))</f>
        <v/>
      </c>
      <c r="BT172" s="34">
        <f>IF((BS172)&lt;0,MAX(F172:G172)*(BS172)*1.03,MIN(F172:G172)*(BS172)*0.97)</f>
        <v/>
      </c>
      <c r="BU172" s="34">
        <f>IF(BR172&gt;0.1,1,0)</f>
        <v/>
      </c>
      <c r="BV172" s="34">
        <f>BF172+BG172+BH172+BY172-CA172</f>
        <v/>
      </c>
      <c r="BW172" s="34">
        <f>ABS(BX172)</f>
        <v/>
      </c>
      <c r="BX172" s="34">
        <f>AY172-(J172-L172+N172-Q172+T172-X172)</f>
        <v/>
      </c>
      <c r="BY172" s="34">
        <f>IF(AND(BX172&gt;0,MIN($F172:$G172)&lt;150,$E172="Enerji Açığı"),-100*BX172*1.03,IF(AND(BX172&gt;0,MIN($F172:$G172)&lt;150,$E172="Enerji Fazlası"),-100*BX172*1.06,IF(AND(BX172&gt;0,MIN($F172:$G172)&gt;=150,$E172="Enerji Açığı"),BX172*MIN($F172:$G172)*0.97,IF(AND(BX172&gt;0,MIN($F172:$G172)&gt;=150,$E172="Enerji Fazlası"),BX172*MIN($F172:$G172)*0.94,IF(AND(BX172&lt;0,MAX($F172:$G172)=4500,$E172="Enerji Açığı"),4500*1.05*1.06*BX172,IF(AND(BX172&lt;0,MAX($F172:$G172)=4500,$E172="Enerji Fazlası"),4500*1.05*1.03*BX172,IF(AND(BX172&lt;0,$E172="Enerji Açığı"),MAX($F172,$G172,150)*BX172*1.06,IF(AND(BX172&lt;0,$E172="Enerji Fazlası"),MAX($F172,$G172,150)*BX172*1.03,IF(AND(BX172&lt;0,$E172="Dengede"),MAX($F172:$G172,150)*1.03*BX172,MIN($F172:$G172)*0.97*BX172)))))))))</f>
        <v/>
      </c>
      <c r="BZ172" s="34">
        <f>BE172-BV172-CA172</f>
        <v/>
      </c>
      <c r="CA172" s="34">
        <f>BD172</f>
        <v/>
      </c>
      <c r="CB172" s="33">
        <f>BE172-BV172</f>
        <v/>
      </c>
      <c r="CC172" s="34">
        <f>IF(AY172=0,0,CB172/AY172)</f>
        <v/>
      </c>
      <c r="CD172" s="34">
        <f>MAX((AY172+MAX((-J172+L172-N172+Q172-T172+X172),0)),(MAX((J172-L172+N172-Q172+T172-X172),0)))</f>
        <v/>
      </c>
      <c r="CE172" s="82">
        <f>IFERROR(ABS(BX172/CD172),0)</f>
        <v/>
      </c>
      <c r="CF172" s="34">
        <f>IF(CE172&lt;=0.1,0,BX172/CE172*(CE172-0.1))</f>
        <v/>
      </c>
      <c r="CG172" s="34">
        <f>IF((CF172)&lt;0,MAX(F172:G172)*(CF172)*1.03,MIN(F172:G172)*(CF172)*0.97)</f>
        <v/>
      </c>
      <c r="CH172" s="34">
        <f>IF(CE172&gt;0.1,1,0)</f>
        <v/>
      </c>
      <c r="CI172" s="34">
        <f>(F172*BX172)-BY172</f>
        <v/>
      </c>
      <c r="CJ172" s="34">
        <f>IF(AY172=0,0,CI172/AY172)</f>
        <v/>
      </c>
    </row>
    <row r="173">
      <c r="A173" s="29" t="n">
        <v>46211.08333333334</v>
      </c>
      <c r="B173" s="29" t="inlineStr">
        <is>
          <t>02:00</t>
        </is>
      </c>
      <c r="C173" s="35">
        <f>INT(A173)</f>
        <v/>
      </c>
      <c r="D173" s="36">
        <f>MONTH(A173)</f>
        <v/>
      </c>
      <c r="E173" s="147" t="inlineStr">
        <is>
          <t>Enerji Açığı</t>
        </is>
      </c>
      <c r="F173" s="30" t="n">
        <v>3199.01</v>
      </c>
      <c r="G173" s="30" t="n">
        <v>3740</v>
      </c>
      <c r="H173" s="30" t="n">
        <v>68.45</v>
      </c>
      <c r="I173" s="30" t="n">
        <v>3799.02</v>
      </c>
      <c r="J173" s="119" t="n">
        <v>0</v>
      </c>
      <c r="K173" s="34">
        <f>F173*J173</f>
        <v/>
      </c>
      <c r="L173" s="119" t="n">
        <v>0</v>
      </c>
      <c r="M173" s="34">
        <f>L173*F173</f>
        <v/>
      </c>
      <c r="N173" s="119" t="n">
        <v>21</v>
      </c>
      <c r="O173" s="34">
        <f>F173</f>
        <v/>
      </c>
      <c r="P173" s="34">
        <f>N173*O173</f>
        <v/>
      </c>
      <c r="Q173" s="117" t="n">
        <v>0</v>
      </c>
      <c r="R173" s="34">
        <f>F173</f>
        <v/>
      </c>
      <c r="S173" s="34">
        <f>R173*Q173</f>
        <v/>
      </c>
      <c r="T173" s="34" t="n"/>
      <c r="U173" s="34">
        <f>IFERROR(W173/T173,0)</f>
        <v/>
      </c>
      <c r="V173" s="34">
        <f>IF(U173=0,0,U173-F173)</f>
        <v/>
      </c>
      <c r="W173" s="34" t="n"/>
      <c r="X173" s="34" t="n"/>
      <c r="Y173" s="34">
        <f>IFERROR(AA173/X173,0)</f>
        <v/>
      </c>
      <c r="Z173" s="34">
        <f>IF(Y173=0,0,F173-Y173)</f>
        <v/>
      </c>
      <c r="AA173" s="34" t="n"/>
      <c r="AB173" s="34" t="n">
        <v>0</v>
      </c>
      <c r="AC173" s="34" t="n">
        <v>0</v>
      </c>
      <c r="AD173" s="34">
        <f>IF(AB173&gt;AC173*1.05,AB173-AC173*1.05,IF(AB173&lt;AC173*0.95,AC173*0.95-AB173,0))</f>
        <v/>
      </c>
      <c r="AE173" s="34">
        <f>MAX(F173,G173,750)*0.05*AD173</f>
        <v/>
      </c>
      <c r="AF173" s="34" t="n">
        <v>0</v>
      </c>
      <c r="AG173" s="34">
        <f>IF(AB173&gt;AF173*1.05,AB173-AF173*1.05,IF(AB173&lt;AF173*0.95,AF173*0.95-AB173,0))</f>
        <v/>
      </c>
      <c r="AH173" s="34">
        <f>MAX(I173,J173,750)*0.05*AG173</f>
        <v/>
      </c>
      <c r="AI173" t="n">
        <v>10.13</v>
      </c>
      <c r="AJ173" t="n">
        <v>9</v>
      </c>
      <c r="AK173" s="34">
        <f>IF(AI173&gt;AJ173*1.05,AI173-AJ173*1.05,IF(AI173&lt;AJ173*0.95,AJ173*0.95-AI173,0))</f>
        <v/>
      </c>
      <c r="AL173" s="34">
        <f>MAX(F173,G173,750)*0.05*AK173</f>
        <v/>
      </c>
      <c r="AM173" s="39" t="n">
        <v>10</v>
      </c>
      <c r="AN173" s="34">
        <f>IF(AI173&gt;AM173*1.05,AI173-AM173*1.05,IF(AI173&lt;AM173*0.95,AM173*0.95-AI173,0))</f>
        <v/>
      </c>
      <c r="AO173" s="34">
        <f>MAX(F173,G173,750)*0.05*AN173</f>
        <v/>
      </c>
      <c r="AP173" s="34" t="n">
        <v>13.17</v>
      </c>
      <c r="AQ173" s="34" t="n">
        <v>12</v>
      </c>
      <c r="AR173" s="34">
        <f>IF(AP173&gt;AQ173*1.05,AP173-AQ173*1.05,IF(AP173&lt;AQ173*0.95,AQ173*0.95-AP173,0))</f>
        <v/>
      </c>
      <c r="AS173" s="34">
        <f>MAX(F173:G173,750)*0.05*AR173</f>
        <v/>
      </c>
      <c r="AT173" t="n">
        <v>13</v>
      </c>
      <c r="AU173" s="34">
        <f>IF(AP173&gt;AT173*1.05,AP173-AT173*1.05,IF(AP173&lt;AT173*0.95,AT173*0.95-AP173,0))</f>
        <v/>
      </c>
      <c r="AV173" s="34">
        <f>MAX(F173:G173,750)*0.05*AU173</f>
        <v/>
      </c>
      <c r="AW173" s="34">
        <f>AC173+AJ173+AQ173</f>
        <v/>
      </c>
      <c r="AX173" s="34">
        <f>AF173+AM173+AT173</f>
        <v/>
      </c>
      <c r="AY173" s="34">
        <f>AB173+AI173+AP173</f>
        <v/>
      </c>
      <c r="AZ173" s="34" t="n">
        <v>0</v>
      </c>
      <c r="BA173" s="34">
        <f>AD173+AK173+AR173</f>
        <v/>
      </c>
      <c r="BB173" s="34">
        <f>MAX(F173:G173,750)*0.05*BA173</f>
        <v/>
      </c>
      <c r="BC173" s="34">
        <f>AG173+AN173+AU173</f>
        <v/>
      </c>
      <c r="BD173" s="34">
        <f>MAX(F173:G173,750)*0.05*BC173</f>
        <v/>
      </c>
      <c r="BE173" s="34">
        <f>F173*AY173</f>
        <v/>
      </c>
      <c r="BF173" s="34">
        <f>K173-M173</f>
        <v/>
      </c>
      <c r="BG173" s="34">
        <f>P173-S173</f>
        <v/>
      </c>
      <c r="BH173" s="34">
        <f>W173-AA173</f>
        <v/>
      </c>
      <c r="BI173" s="34">
        <f>BF173+BG173+BL173-BN173</f>
        <v/>
      </c>
      <c r="BJ173" s="34">
        <f>ABS(BK173)</f>
        <v/>
      </c>
      <c r="BK173" s="34">
        <f>AY173-(J173-L173+N173-Q173)</f>
        <v/>
      </c>
      <c r="BL173" s="34">
        <f>IF(AND(BK173&gt;0,MIN($F173:$G173)&lt;150,$E173="Enerji Açığı"),-100*BK173*1.03,IF(AND(BK173&gt;0,MIN($F173:$G173)&lt;150,$E173="Enerji Fazlası"),-100*BK173*1.06,IF(AND(BK173&gt;0,MIN($F173:$G173)&gt;=150,$E173="Enerji Açığı"),BK173*MIN($F173:$G173)*0.97,IF(AND(BK173&gt;0,MIN($F173:$G173)&gt;=150,$E173="Enerji Fazlası"),BK173*MIN($F173:$G173)*0.94,IF(AND(BK173&lt;0,MAX($F173:$G173)=4500,$E173="Enerji Açığı"),4500*1.05*1.06*BK173,IF(AND(BK173&lt;0,MAX($F173:$G173)=4500,$E173="Enerji Fazlası"),4500*1.05*1.03*BK173,IF(AND(BK173&lt;0,$E173="Enerji Açığı"),MAX($F173,$G173,150)*BK173*1.06,IF(AND(BK173&lt;0,$E173="Enerji Fazlası"),MAX($F173,$G173,150)*BK173*1.03,IF(AND(BK173&lt;0,$E173="Dengede"),MAX($F173:$G173,150)*1.03*BK173,MIN($F173:$G173)*0.97*BK173)))))))))</f>
        <v/>
      </c>
      <c r="BM173" s="34">
        <f>BE173-BI173-BN173</f>
        <v/>
      </c>
      <c r="BN173" s="34">
        <f>BB173</f>
        <v/>
      </c>
      <c r="BO173" s="34">
        <f>BE173-BI173</f>
        <v/>
      </c>
      <c r="BP173" s="34">
        <f>IF(AY173=0,0,BO173/AY173)</f>
        <v/>
      </c>
      <c r="BQ173" s="34">
        <f>MAX((AY173+MAX((-J173+L173-N173+Q173),0)),(MAX((J173-L173+N173-Q173),0)))</f>
        <v/>
      </c>
      <c r="BR173" s="82">
        <f>IFERROR(ABS(BK173/BQ173),0)</f>
        <v/>
      </c>
      <c r="BS173" s="34">
        <f>IF(BR173&lt;=0.1,0,BK173/BR173*(BR173-0.1))</f>
        <v/>
      </c>
      <c r="BT173" s="34">
        <f>IF((BS173)&lt;0,MAX(F173:G173)*(BS173)*1.03,MIN(F173:G173)*(BS173)*0.97)</f>
        <v/>
      </c>
      <c r="BU173" s="34">
        <f>IF(BR173&gt;0.1,1,0)</f>
        <v/>
      </c>
      <c r="BV173" s="34">
        <f>BF173+BG173+BH173+BY173-CA173</f>
        <v/>
      </c>
      <c r="BW173" s="34">
        <f>ABS(BX173)</f>
        <v/>
      </c>
      <c r="BX173" s="34">
        <f>AY173-(J173-L173+N173-Q173+T173-X173)</f>
        <v/>
      </c>
      <c r="BY173" s="34">
        <f>IF(AND(BX173&gt;0,MIN($F173:$G173)&lt;150,$E173="Enerji Açığı"),-100*BX173*1.03,IF(AND(BX173&gt;0,MIN($F173:$G173)&lt;150,$E173="Enerji Fazlası"),-100*BX173*1.06,IF(AND(BX173&gt;0,MIN($F173:$G173)&gt;=150,$E173="Enerji Açığı"),BX173*MIN($F173:$G173)*0.97,IF(AND(BX173&gt;0,MIN($F173:$G173)&gt;=150,$E173="Enerji Fazlası"),BX173*MIN($F173:$G173)*0.94,IF(AND(BX173&lt;0,MAX($F173:$G173)=4500,$E173="Enerji Açığı"),4500*1.05*1.06*BX173,IF(AND(BX173&lt;0,MAX($F173:$G173)=4500,$E173="Enerji Fazlası"),4500*1.05*1.03*BX173,IF(AND(BX173&lt;0,$E173="Enerji Açığı"),MAX($F173,$G173,150)*BX173*1.06,IF(AND(BX173&lt;0,$E173="Enerji Fazlası"),MAX($F173,$G173,150)*BX173*1.03,IF(AND(BX173&lt;0,$E173="Dengede"),MAX($F173:$G173,150)*1.03*BX173,MIN($F173:$G173)*0.97*BX173)))))))))</f>
        <v/>
      </c>
      <c r="BZ173" s="34">
        <f>BE173-BV173-CA173</f>
        <v/>
      </c>
      <c r="CA173" s="34">
        <f>BD173</f>
        <v/>
      </c>
      <c r="CB173" s="33">
        <f>BE173-BV173</f>
        <v/>
      </c>
      <c r="CC173" s="34">
        <f>IF(AY173=0,0,CB173/AY173)</f>
        <v/>
      </c>
      <c r="CD173" s="34">
        <f>MAX((AY173+MAX((-J173+L173-N173+Q173-T173+X173),0)),(MAX((J173-L173+N173-Q173+T173-X173),0)))</f>
        <v/>
      </c>
      <c r="CE173" s="82">
        <f>IFERROR(ABS(BX173/CD173),0)</f>
        <v/>
      </c>
      <c r="CF173" s="34">
        <f>IF(CE173&lt;=0.1,0,BX173/CE173*(CE173-0.1))</f>
        <v/>
      </c>
      <c r="CG173" s="34">
        <f>IF((CF173)&lt;0,MAX(F173:G173)*(CF173)*1.03,MIN(F173:G173)*(CF173)*0.97)</f>
        <v/>
      </c>
      <c r="CH173" s="34">
        <f>IF(CE173&gt;0.1,1,0)</f>
        <v/>
      </c>
      <c r="CI173" s="34">
        <f>(F173*BX173)-BY173</f>
        <v/>
      </c>
      <c r="CJ173" s="34">
        <f>IF(AY173=0,0,CI173/AY173)</f>
        <v/>
      </c>
    </row>
    <row r="174">
      <c r="A174" s="29" t="n">
        <v>46211.125</v>
      </c>
      <c r="B174" s="29" t="inlineStr">
        <is>
          <t>03:00</t>
        </is>
      </c>
      <c r="C174" s="35">
        <f>INT(A174)</f>
        <v/>
      </c>
      <c r="D174" s="36">
        <f>MONTH(A174)</f>
        <v/>
      </c>
      <c r="E174" s="147" t="inlineStr">
        <is>
          <t>Enerji Açığı</t>
        </is>
      </c>
      <c r="F174" s="30" t="n">
        <v>3379.01</v>
      </c>
      <c r="G174" s="30" t="n">
        <v>3740</v>
      </c>
      <c r="H174" s="30" t="n">
        <v>72.3</v>
      </c>
      <c r="I174" s="30" t="n">
        <v>3979.9</v>
      </c>
      <c r="J174" s="119" t="n">
        <v>0</v>
      </c>
      <c r="K174" s="34">
        <f>F174*J174</f>
        <v/>
      </c>
      <c r="L174" s="119" t="n">
        <v>0</v>
      </c>
      <c r="M174" s="34">
        <f>L174*F174</f>
        <v/>
      </c>
      <c r="N174" s="119" t="n">
        <v>21</v>
      </c>
      <c r="O174" s="34">
        <f>F174</f>
        <v/>
      </c>
      <c r="P174" s="34">
        <f>N174*O174</f>
        <v/>
      </c>
      <c r="Q174" s="117" t="n">
        <v>0</v>
      </c>
      <c r="R174" s="34">
        <f>F174</f>
        <v/>
      </c>
      <c r="S174" s="34">
        <f>R174*Q174</f>
        <v/>
      </c>
      <c r="T174" s="34" t="n"/>
      <c r="U174" s="34">
        <f>IFERROR(W174/T174,0)</f>
        <v/>
      </c>
      <c r="V174" s="34">
        <f>IF(U174=0,0,U174-F174)</f>
        <v/>
      </c>
      <c r="W174" s="34" t="n"/>
      <c r="X174" s="34" t="n"/>
      <c r="Y174" s="34">
        <f>IFERROR(AA174/X174,0)</f>
        <v/>
      </c>
      <c r="Z174" s="34">
        <f>IF(Y174=0,0,F174-Y174)</f>
        <v/>
      </c>
      <c r="AA174" s="34" t="n"/>
      <c r="AB174" s="34" t="n">
        <v>0</v>
      </c>
      <c r="AC174" s="34" t="n">
        <v>0</v>
      </c>
      <c r="AD174" s="34">
        <f>IF(AB174&gt;AC174*1.05,AB174-AC174*1.05,IF(AB174&lt;AC174*0.95,AC174*0.95-AB174,0))</f>
        <v/>
      </c>
      <c r="AE174" s="34">
        <f>MAX(F174,G174,750)*0.05*AD174</f>
        <v/>
      </c>
      <c r="AF174" s="34" t="n">
        <v>0</v>
      </c>
      <c r="AG174" s="34">
        <f>IF(AB174&gt;AF174*1.05,AB174-AF174*1.05,IF(AB174&lt;AF174*0.95,AF174*0.95-AB174,0))</f>
        <v/>
      </c>
      <c r="AH174" s="34">
        <f>MAX(I174,J174,750)*0.05*AG174</f>
        <v/>
      </c>
      <c r="AI174" t="n">
        <v>10.16</v>
      </c>
      <c r="AJ174" t="n">
        <v>9</v>
      </c>
      <c r="AK174" s="34">
        <f>IF(AI174&gt;AJ174*1.05,AI174-AJ174*1.05,IF(AI174&lt;AJ174*0.95,AJ174*0.95-AI174,0))</f>
        <v/>
      </c>
      <c r="AL174" s="34">
        <f>MAX(F174,G174,750)*0.05*AK174</f>
        <v/>
      </c>
      <c r="AM174" s="39" t="n">
        <v>10</v>
      </c>
      <c r="AN174" s="34">
        <f>IF(AI174&gt;AM174*1.05,AI174-AM174*1.05,IF(AI174&lt;AM174*0.95,AM174*0.95-AI174,0))</f>
        <v/>
      </c>
      <c r="AO174" s="34">
        <f>MAX(F174,G174,750)*0.05*AN174</f>
        <v/>
      </c>
      <c r="AP174" s="34" t="n">
        <v>13.22</v>
      </c>
      <c r="AQ174" s="34" t="n">
        <v>12</v>
      </c>
      <c r="AR174" s="34">
        <f>IF(AP174&gt;AQ174*1.05,AP174-AQ174*1.05,IF(AP174&lt;AQ174*0.95,AQ174*0.95-AP174,0))</f>
        <v/>
      </c>
      <c r="AS174" s="34">
        <f>MAX(F174:G174,750)*0.05*AR174</f>
        <v/>
      </c>
      <c r="AT174" t="n">
        <v>13</v>
      </c>
      <c r="AU174" s="34">
        <f>IF(AP174&gt;AT174*1.05,AP174-AT174*1.05,IF(AP174&lt;AT174*0.95,AT174*0.95-AP174,0))</f>
        <v/>
      </c>
      <c r="AV174" s="34">
        <f>MAX(F174:G174,750)*0.05*AU174</f>
        <v/>
      </c>
      <c r="AW174" s="34">
        <f>AC174+AJ174+AQ174</f>
        <v/>
      </c>
      <c r="AX174" s="34">
        <f>AF174+AM174+AT174</f>
        <v/>
      </c>
      <c r="AY174" s="34">
        <f>AB174+AI174+AP174</f>
        <v/>
      </c>
      <c r="AZ174" s="34" t="n">
        <v>0</v>
      </c>
      <c r="BA174" s="34">
        <f>AD174+AK174+AR174</f>
        <v/>
      </c>
      <c r="BB174" s="34">
        <f>MAX(F174:G174,750)*0.05*BA174</f>
        <v/>
      </c>
      <c r="BC174" s="34">
        <f>AG174+AN174+AU174</f>
        <v/>
      </c>
      <c r="BD174" s="34">
        <f>MAX(F174:G174,750)*0.05*BC174</f>
        <v/>
      </c>
      <c r="BE174" s="34">
        <f>F174*AY174</f>
        <v/>
      </c>
      <c r="BF174" s="34">
        <f>K174-M174</f>
        <v/>
      </c>
      <c r="BG174" s="34">
        <f>P174-S174</f>
        <v/>
      </c>
      <c r="BH174" s="34">
        <f>W174-AA174</f>
        <v/>
      </c>
      <c r="BI174" s="34">
        <f>BF174+BG174+BL174-BN174</f>
        <v/>
      </c>
      <c r="BJ174" s="34">
        <f>ABS(BK174)</f>
        <v/>
      </c>
      <c r="BK174" s="34">
        <f>AY174-(J174-L174+N174-Q174)</f>
        <v/>
      </c>
      <c r="BL174" s="34">
        <f>IF(AND(BK174&gt;0,MIN($F174:$G174)&lt;150,$E174="Enerji Açığı"),-100*BK174*1.03,IF(AND(BK174&gt;0,MIN($F174:$G174)&lt;150,$E174="Enerji Fazlası"),-100*BK174*1.06,IF(AND(BK174&gt;0,MIN($F174:$G174)&gt;=150,$E174="Enerji Açığı"),BK174*MIN($F174:$G174)*0.97,IF(AND(BK174&gt;0,MIN($F174:$G174)&gt;=150,$E174="Enerji Fazlası"),BK174*MIN($F174:$G174)*0.94,IF(AND(BK174&lt;0,MAX($F174:$G174)=4500,$E174="Enerji Açığı"),4500*1.05*1.06*BK174,IF(AND(BK174&lt;0,MAX($F174:$G174)=4500,$E174="Enerji Fazlası"),4500*1.05*1.03*BK174,IF(AND(BK174&lt;0,$E174="Enerji Açığı"),MAX($F174,$G174,150)*BK174*1.06,IF(AND(BK174&lt;0,$E174="Enerji Fazlası"),MAX($F174,$G174,150)*BK174*1.03,IF(AND(BK174&lt;0,$E174="Dengede"),MAX($F174:$G174,150)*1.03*BK174,MIN($F174:$G174)*0.97*BK174)))))))))</f>
        <v/>
      </c>
      <c r="BM174" s="34">
        <f>BE174-BI174-BN174</f>
        <v/>
      </c>
      <c r="BN174" s="34">
        <f>BB174</f>
        <v/>
      </c>
      <c r="BO174" s="34">
        <f>BE174-BI174</f>
        <v/>
      </c>
      <c r="BP174" s="34">
        <f>IF(AY174=0,0,BO174/AY174)</f>
        <v/>
      </c>
      <c r="BQ174" s="34">
        <f>MAX((AY174+MAX((-J174+L174-N174+Q174),0)),(MAX((J174-L174+N174-Q174),0)))</f>
        <v/>
      </c>
      <c r="BR174" s="82">
        <f>IFERROR(ABS(BK174/BQ174),0)</f>
        <v/>
      </c>
      <c r="BS174" s="34">
        <f>IF(BR174&lt;=0.1,0,BK174/BR174*(BR174-0.1))</f>
        <v/>
      </c>
      <c r="BT174" s="34">
        <f>IF((BS174)&lt;0,MAX(F174:G174)*(BS174)*1.03,MIN(F174:G174)*(BS174)*0.97)</f>
        <v/>
      </c>
      <c r="BU174" s="34">
        <f>IF(BR174&gt;0.1,1,0)</f>
        <v/>
      </c>
      <c r="BV174" s="34">
        <f>BF174+BG174+BH174+BY174-CA174</f>
        <v/>
      </c>
      <c r="BW174" s="34">
        <f>ABS(BX174)</f>
        <v/>
      </c>
      <c r="BX174" s="34">
        <f>AY174-(J174-L174+N174-Q174+T174-X174)</f>
        <v/>
      </c>
      <c r="BY174" s="34">
        <f>IF(AND(BX174&gt;0,MIN($F174:$G174)&lt;150,$E174="Enerji Açığı"),-100*BX174*1.03,IF(AND(BX174&gt;0,MIN($F174:$G174)&lt;150,$E174="Enerji Fazlası"),-100*BX174*1.06,IF(AND(BX174&gt;0,MIN($F174:$G174)&gt;=150,$E174="Enerji Açığı"),BX174*MIN($F174:$G174)*0.97,IF(AND(BX174&gt;0,MIN($F174:$G174)&gt;=150,$E174="Enerji Fazlası"),BX174*MIN($F174:$G174)*0.94,IF(AND(BX174&lt;0,MAX($F174:$G174)=4500,$E174="Enerji Açığı"),4500*1.05*1.06*BX174,IF(AND(BX174&lt;0,MAX($F174:$G174)=4500,$E174="Enerji Fazlası"),4500*1.05*1.03*BX174,IF(AND(BX174&lt;0,$E174="Enerji Açığı"),MAX($F174,$G174,150)*BX174*1.06,IF(AND(BX174&lt;0,$E174="Enerji Fazlası"),MAX($F174,$G174,150)*BX174*1.03,IF(AND(BX174&lt;0,$E174="Dengede"),MAX($F174:$G174,150)*1.03*BX174,MIN($F174:$G174)*0.97*BX174)))))))))</f>
        <v/>
      </c>
      <c r="BZ174" s="34">
        <f>BE174-BV174-CA174</f>
        <v/>
      </c>
      <c r="CA174" s="34">
        <f>BD174</f>
        <v/>
      </c>
      <c r="CB174" s="33">
        <f>BE174-BV174</f>
        <v/>
      </c>
      <c r="CC174" s="34">
        <f>IF(AY174=0,0,CB174/AY174)</f>
        <v/>
      </c>
      <c r="CD174" s="34">
        <f>MAX((AY174+MAX((-J174+L174-N174+Q174-T174+X174),0)),(MAX((J174-L174+N174-Q174+T174-X174),0)))</f>
        <v/>
      </c>
      <c r="CE174" s="82">
        <f>IFERROR(ABS(BX174/CD174),0)</f>
        <v/>
      </c>
      <c r="CF174" s="34">
        <f>IF(CE174&lt;=0.1,0,BX174/CE174*(CE174-0.1))</f>
        <v/>
      </c>
      <c r="CG174" s="34">
        <f>IF((CF174)&lt;0,MAX(F174:G174)*(CF174)*1.03,MIN(F174:G174)*(CF174)*0.97)</f>
        <v/>
      </c>
      <c r="CH174" s="34">
        <f>IF(CE174&gt;0.1,1,0)</f>
        <v/>
      </c>
      <c r="CI174" s="34">
        <f>(F174*BX174)-BY174</f>
        <v/>
      </c>
      <c r="CJ174" s="34">
        <f>IF(AY174=0,0,CI174/AY174)</f>
        <v/>
      </c>
    </row>
    <row r="175">
      <c r="A175" s="29" t="n">
        <v>46211.16666666666</v>
      </c>
      <c r="B175" s="29" t="inlineStr">
        <is>
          <t>04:00</t>
        </is>
      </c>
      <c r="C175" s="35">
        <f>INT(A175)</f>
        <v/>
      </c>
      <c r="D175" s="36">
        <f>MONTH(A175)</f>
        <v/>
      </c>
      <c r="E175" s="147" t="inlineStr">
        <is>
          <t>Enerji Açığı</t>
        </is>
      </c>
      <c r="F175" s="30" t="n">
        <v>3188.89</v>
      </c>
      <c r="G175" s="30" t="n">
        <v>3718</v>
      </c>
      <c r="H175" s="30" t="n">
        <v>68.23</v>
      </c>
      <c r="I175" s="30" t="n">
        <v>4044.45</v>
      </c>
      <c r="J175" s="119" t="n">
        <v>0</v>
      </c>
      <c r="K175" s="34">
        <f>F175*J175</f>
        <v/>
      </c>
      <c r="L175" s="119" t="n">
        <v>0</v>
      </c>
      <c r="M175" s="34">
        <f>L175*F175</f>
        <v/>
      </c>
      <c r="N175" s="119" t="n">
        <v>21</v>
      </c>
      <c r="O175" s="34">
        <f>F175</f>
        <v/>
      </c>
      <c r="P175" s="34">
        <f>N175*O175</f>
        <v/>
      </c>
      <c r="Q175" s="117" t="n">
        <v>0</v>
      </c>
      <c r="R175" s="34">
        <f>F175</f>
        <v/>
      </c>
      <c r="S175" s="34">
        <f>R175*Q175</f>
        <v/>
      </c>
      <c r="T175" s="34" t="n"/>
      <c r="U175" s="34">
        <f>IFERROR(W175/T175,0)</f>
        <v/>
      </c>
      <c r="V175" s="34">
        <f>IF(U175=0,0,U175-F175)</f>
        <v/>
      </c>
      <c r="W175" s="34" t="n"/>
      <c r="X175" s="34" t="n"/>
      <c r="Y175" s="34">
        <f>IFERROR(AA175/X175,0)</f>
        <v/>
      </c>
      <c r="Z175" s="34">
        <f>IF(Y175=0,0,F175-Y175)</f>
        <v/>
      </c>
      <c r="AA175" s="34" t="n"/>
      <c r="AB175" s="34" t="n">
        <v>0</v>
      </c>
      <c r="AC175" s="34" t="n">
        <v>0</v>
      </c>
      <c r="AD175" s="34">
        <f>IF(AB175&gt;AC175*1.05,AB175-AC175*1.05,IF(AB175&lt;AC175*0.95,AC175*0.95-AB175,0))</f>
        <v/>
      </c>
      <c r="AE175" s="34">
        <f>MAX(F175,G175,750)*0.05*AD175</f>
        <v/>
      </c>
      <c r="AF175" s="34" t="n">
        <v>0</v>
      </c>
      <c r="AG175" s="34">
        <f>IF(AB175&gt;AF175*1.05,AB175-AF175*1.05,IF(AB175&lt;AF175*0.95,AF175*0.95-AB175,0))</f>
        <v/>
      </c>
      <c r="AH175" s="34">
        <f>MAX(I175,J175,750)*0.05*AG175</f>
        <v/>
      </c>
      <c r="AI175" t="n">
        <v>10.15</v>
      </c>
      <c r="AJ175" t="n">
        <v>9</v>
      </c>
      <c r="AK175" s="34">
        <f>IF(AI175&gt;AJ175*1.05,AI175-AJ175*1.05,IF(AI175&lt;AJ175*0.95,AJ175*0.95-AI175,0))</f>
        <v/>
      </c>
      <c r="AL175" s="34">
        <f>MAX(F175,G175,750)*0.05*AK175</f>
        <v/>
      </c>
      <c r="AM175" s="39" t="n">
        <v>10</v>
      </c>
      <c r="AN175" s="34">
        <f>IF(AI175&gt;AM175*1.05,AI175-AM175*1.05,IF(AI175&lt;AM175*0.95,AM175*0.95-AI175,0))</f>
        <v/>
      </c>
      <c r="AO175" s="34">
        <f>MAX(F175,G175,750)*0.05*AN175</f>
        <v/>
      </c>
      <c r="AP175" s="34" t="n">
        <v>13.23</v>
      </c>
      <c r="AQ175" s="34" t="n">
        <v>12</v>
      </c>
      <c r="AR175" s="34">
        <f>IF(AP175&gt;AQ175*1.05,AP175-AQ175*1.05,IF(AP175&lt;AQ175*0.95,AQ175*0.95-AP175,0))</f>
        <v/>
      </c>
      <c r="AS175" s="34">
        <f>MAX(F175:G175,750)*0.05*AR175</f>
        <v/>
      </c>
      <c r="AT175" t="n">
        <v>13</v>
      </c>
      <c r="AU175" s="34">
        <f>IF(AP175&gt;AT175*1.05,AP175-AT175*1.05,IF(AP175&lt;AT175*0.95,AT175*0.95-AP175,0))</f>
        <v/>
      </c>
      <c r="AV175" s="34">
        <f>MAX(F175:G175,750)*0.05*AU175</f>
        <v/>
      </c>
      <c r="AW175" s="34">
        <f>AC175+AJ175+AQ175</f>
        <v/>
      </c>
      <c r="AX175" s="34">
        <f>AF175+AM175+AT175</f>
        <v/>
      </c>
      <c r="AY175" s="34">
        <f>AB175+AI175+AP175</f>
        <v/>
      </c>
      <c r="AZ175" s="34" t="n">
        <v>0</v>
      </c>
      <c r="BA175" s="34">
        <f>AD175+AK175+AR175</f>
        <v/>
      </c>
      <c r="BB175" s="34">
        <f>MAX(F175:G175,750)*0.05*BA175</f>
        <v/>
      </c>
      <c r="BC175" s="34">
        <f>AG175+AN175+AU175</f>
        <v/>
      </c>
      <c r="BD175" s="34">
        <f>MAX(F175:G175,750)*0.05*BC175</f>
        <v/>
      </c>
      <c r="BE175" s="34">
        <f>F175*AY175</f>
        <v/>
      </c>
      <c r="BF175" s="34">
        <f>K175-M175</f>
        <v/>
      </c>
      <c r="BG175" s="34">
        <f>P175-S175</f>
        <v/>
      </c>
      <c r="BH175" s="34">
        <f>W175-AA175</f>
        <v/>
      </c>
      <c r="BI175" s="34">
        <f>BF175+BG175+BL175-BN175</f>
        <v/>
      </c>
      <c r="BJ175" s="34">
        <f>ABS(BK175)</f>
        <v/>
      </c>
      <c r="BK175" s="34">
        <f>AY175-(J175-L175+N175-Q175)</f>
        <v/>
      </c>
      <c r="BL175" s="34">
        <f>IF(AND(BK175&gt;0,MIN($F175:$G175)&lt;150,$E175="Enerji Açığı"),-100*BK175*1.03,IF(AND(BK175&gt;0,MIN($F175:$G175)&lt;150,$E175="Enerji Fazlası"),-100*BK175*1.06,IF(AND(BK175&gt;0,MIN($F175:$G175)&gt;=150,$E175="Enerji Açığı"),BK175*MIN($F175:$G175)*0.97,IF(AND(BK175&gt;0,MIN($F175:$G175)&gt;=150,$E175="Enerji Fazlası"),BK175*MIN($F175:$G175)*0.94,IF(AND(BK175&lt;0,MAX($F175:$G175)=4500,$E175="Enerji Açığı"),4500*1.05*1.06*BK175,IF(AND(BK175&lt;0,MAX($F175:$G175)=4500,$E175="Enerji Fazlası"),4500*1.05*1.03*BK175,IF(AND(BK175&lt;0,$E175="Enerji Açığı"),MAX($F175,$G175,150)*BK175*1.06,IF(AND(BK175&lt;0,$E175="Enerji Fazlası"),MAX($F175,$G175,150)*BK175*1.03,IF(AND(BK175&lt;0,$E175="Dengede"),MAX($F175:$G175,150)*1.03*BK175,MIN($F175:$G175)*0.97*BK175)))))))))</f>
        <v/>
      </c>
      <c r="BM175" s="34">
        <f>BE175-BI175-BN175</f>
        <v/>
      </c>
      <c r="BN175" s="34">
        <f>BB175</f>
        <v/>
      </c>
      <c r="BO175" s="34">
        <f>BE175-BI175</f>
        <v/>
      </c>
      <c r="BP175" s="34">
        <f>IF(AY175=0,0,BO175/AY175)</f>
        <v/>
      </c>
      <c r="BQ175" s="34">
        <f>MAX((AY175+MAX((-J175+L175-N175+Q175),0)),(MAX((J175-L175+N175-Q175),0)))</f>
        <v/>
      </c>
      <c r="BR175" s="82">
        <f>IFERROR(ABS(BK175/BQ175),0)</f>
        <v/>
      </c>
      <c r="BS175" s="34">
        <f>IF(BR175&lt;=0.1,0,BK175/BR175*(BR175-0.1))</f>
        <v/>
      </c>
      <c r="BT175" s="34">
        <f>IF((BS175)&lt;0,MAX(F175:G175)*(BS175)*1.03,MIN(F175:G175)*(BS175)*0.97)</f>
        <v/>
      </c>
      <c r="BU175" s="34">
        <f>IF(BR175&gt;0.1,1,0)</f>
        <v/>
      </c>
      <c r="BV175" s="34">
        <f>BF175+BG175+BH175+BY175-CA175</f>
        <v/>
      </c>
      <c r="BW175" s="34">
        <f>ABS(BX175)</f>
        <v/>
      </c>
      <c r="BX175" s="34">
        <f>AY175-(J175-L175+N175-Q175+T175-X175)</f>
        <v/>
      </c>
      <c r="BY175" s="34">
        <f>IF(AND(BX175&gt;0,MIN($F175:$G175)&lt;150,$E175="Enerji Açığı"),-100*BX175*1.03,IF(AND(BX175&gt;0,MIN($F175:$G175)&lt;150,$E175="Enerji Fazlası"),-100*BX175*1.06,IF(AND(BX175&gt;0,MIN($F175:$G175)&gt;=150,$E175="Enerji Açığı"),BX175*MIN($F175:$G175)*0.97,IF(AND(BX175&gt;0,MIN($F175:$G175)&gt;=150,$E175="Enerji Fazlası"),BX175*MIN($F175:$G175)*0.94,IF(AND(BX175&lt;0,MAX($F175:$G175)=4500,$E175="Enerji Açığı"),4500*1.05*1.06*BX175,IF(AND(BX175&lt;0,MAX($F175:$G175)=4500,$E175="Enerji Fazlası"),4500*1.05*1.03*BX175,IF(AND(BX175&lt;0,$E175="Enerji Açığı"),MAX($F175,$G175,150)*BX175*1.06,IF(AND(BX175&lt;0,$E175="Enerji Fazlası"),MAX($F175,$G175,150)*BX175*1.03,IF(AND(BX175&lt;0,$E175="Dengede"),MAX($F175:$G175,150)*1.03*BX175,MIN($F175:$G175)*0.97*BX175)))))))))</f>
        <v/>
      </c>
      <c r="BZ175" s="34">
        <f>BE175-BV175-CA175</f>
        <v/>
      </c>
      <c r="CA175" s="34">
        <f>BD175</f>
        <v/>
      </c>
      <c r="CB175" s="33">
        <f>BE175-BV175</f>
        <v/>
      </c>
      <c r="CC175" s="34">
        <f>IF(AY175=0,0,CB175/AY175)</f>
        <v/>
      </c>
      <c r="CD175" s="34">
        <f>MAX((AY175+MAX((-J175+L175-N175+Q175-T175+X175),0)),(MAX((J175-L175+N175-Q175+T175-X175),0)))</f>
        <v/>
      </c>
      <c r="CE175" s="82">
        <f>IFERROR(ABS(BX175/CD175),0)</f>
        <v/>
      </c>
      <c r="CF175" s="34">
        <f>IF(CE175&lt;=0.1,0,BX175/CE175*(CE175-0.1))</f>
        <v/>
      </c>
      <c r="CG175" s="34">
        <f>IF((CF175)&lt;0,MAX(F175:G175)*(CF175)*1.03,MIN(F175:G175)*(CF175)*0.97)</f>
        <v/>
      </c>
      <c r="CH175" s="34">
        <f>IF(CE175&gt;0.1,1,0)</f>
        <v/>
      </c>
      <c r="CI175" s="34">
        <f>(F175*BX175)-BY175</f>
        <v/>
      </c>
      <c r="CJ175" s="34">
        <f>IF(AY175=0,0,CI175/AY175)</f>
        <v/>
      </c>
    </row>
    <row r="176">
      <c r="A176" s="29" t="n">
        <v>46211.20833333334</v>
      </c>
      <c r="B176" s="29" t="inlineStr">
        <is>
          <t>05:00</t>
        </is>
      </c>
      <c r="C176" s="35">
        <f>INT(A176)</f>
        <v/>
      </c>
      <c r="D176" s="36">
        <f>MONTH(A176)</f>
        <v/>
      </c>
      <c r="E176" s="147" t="inlineStr">
        <is>
          <t>Enerji Açığı</t>
        </is>
      </c>
      <c r="F176" s="30" t="n">
        <v>2600.01</v>
      </c>
      <c r="G176" s="30" t="n">
        <v>3000.01</v>
      </c>
      <c r="H176" s="30" t="n">
        <v>55.63</v>
      </c>
      <c r="I176" s="30" t="n">
        <v>3360.94</v>
      </c>
      <c r="J176" s="119" t="n">
        <v>0</v>
      </c>
      <c r="K176" s="34">
        <f>F176*J176</f>
        <v/>
      </c>
      <c r="L176" s="119" t="n">
        <v>0</v>
      </c>
      <c r="M176" s="34">
        <f>L176*F176</f>
        <v/>
      </c>
      <c r="N176" s="119" t="n">
        <v>21</v>
      </c>
      <c r="O176" s="34">
        <f>F176</f>
        <v/>
      </c>
      <c r="P176" s="34">
        <f>N176*O176</f>
        <v/>
      </c>
      <c r="Q176" s="117" t="n">
        <v>0</v>
      </c>
      <c r="R176" s="34">
        <f>F176</f>
        <v/>
      </c>
      <c r="S176" s="34">
        <f>R176*Q176</f>
        <v/>
      </c>
      <c r="T176" s="34" t="n"/>
      <c r="U176" s="34">
        <f>IFERROR(W176/T176,0)</f>
        <v/>
      </c>
      <c r="V176" s="34">
        <f>IF(U176=0,0,U176-F176)</f>
        <v/>
      </c>
      <c r="W176" s="34" t="n"/>
      <c r="X176" s="34" t="n"/>
      <c r="Y176" s="34">
        <f>IFERROR(AA176/X176,0)</f>
        <v/>
      </c>
      <c r="Z176" s="34">
        <f>IF(Y176=0,0,F176-Y176)</f>
        <v/>
      </c>
      <c r="AA176" s="34" t="n"/>
      <c r="AB176" s="34" t="n">
        <v>0</v>
      </c>
      <c r="AC176" s="34" t="n">
        <v>0</v>
      </c>
      <c r="AD176" s="34">
        <f>IF(AB176&gt;AC176*1.05,AB176-AC176*1.05,IF(AB176&lt;AC176*0.95,AC176*0.95-AB176,0))</f>
        <v/>
      </c>
      <c r="AE176" s="34">
        <f>MAX(F176,G176,750)*0.05*AD176</f>
        <v/>
      </c>
      <c r="AF176" s="34" t="n">
        <v>0</v>
      </c>
      <c r="AG176" s="34">
        <f>IF(AB176&gt;AF176*1.05,AB176-AF176*1.05,IF(AB176&lt;AF176*0.95,AF176*0.95-AB176,0))</f>
        <v/>
      </c>
      <c r="AH176" s="34">
        <f>MAX(I176,J176,750)*0.05*AG176</f>
        <v/>
      </c>
      <c r="AI176" t="n">
        <v>10.14</v>
      </c>
      <c r="AJ176" t="n">
        <v>9</v>
      </c>
      <c r="AK176" s="34">
        <f>IF(AI176&gt;AJ176*1.05,AI176-AJ176*1.05,IF(AI176&lt;AJ176*0.95,AJ176*0.95-AI176,0))</f>
        <v/>
      </c>
      <c r="AL176" s="34">
        <f>MAX(F176,G176,750)*0.05*AK176</f>
        <v/>
      </c>
      <c r="AM176" s="39" t="n">
        <v>10</v>
      </c>
      <c r="AN176" s="34">
        <f>IF(AI176&gt;AM176*1.05,AI176-AM176*1.05,IF(AI176&lt;AM176*0.95,AM176*0.95-AI176,0))</f>
        <v/>
      </c>
      <c r="AO176" s="34">
        <f>MAX(F176,G176,750)*0.05*AN176</f>
        <v/>
      </c>
      <c r="AP176" s="34" t="n">
        <v>13.26</v>
      </c>
      <c r="AQ176" s="34" t="n">
        <v>12</v>
      </c>
      <c r="AR176" s="34">
        <f>IF(AP176&gt;AQ176*1.05,AP176-AQ176*1.05,IF(AP176&lt;AQ176*0.95,AQ176*0.95-AP176,0))</f>
        <v/>
      </c>
      <c r="AS176" s="34">
        <f>MAX(F176:G176,750)*0.05*AR176</f>
        <v/>
      </c>
      <c r="AT176" t="n">
        <v>13</v>
      </c>
      <c r="AU176" s="34">
        <f>IF(AP176&gt;AT176*1.05,AP176-AT176*1.05,IF(AP176&lt;AT176*0.95,AT176*0.95-AP176,0))</f>
        <v/>
      </c>
      <c r="AV176" s="34">
        <f>MAX(F176:G176,750)*0.05*AU176</f>
        <v/>
      </c>
      <c r="AW176" s="34">
        <f>AC176+AJ176+AQ176</f>
        <v/>
      </c>
      <c r="AX176" s="34">
        <f>AF176+AM176+AT176</f>
        <v/>
      </c>
      <c r="AY176" s="34">
        <f>AB176+AI176+AP176</f>
        <v/>
      </c>
      <c r="AZ176" s="34" t="n">
        <v>0</v>
      </c>
      <c r="BA176" s="34">
        <f>AD176+AK176+AR176</f>
        <v/>
      </c>
      <c r="BB176" s="34">
        <f>MAX(F176:G176,750)*0.05*BA176</f>
        <v/>
      </c>
      <c r="BC176" s="34">
        <f>AG176+AN176+AU176</f>
        <v/>
      </c>
      <c r="BD176" s="34">
        <f>MAX(F176:G176,750)*0.05*BC176</f>
        <v/>
      </c>
      <c r="BE176" s="34">
        <f>F176*AY176</f>
        <v/>
      </c>
      <c r="BF176" s="34">
        <f>K176-M176</f>
        <v/>
      </c>
      <c r="BG176" s="34">
        <f>P176-S176</f>
        <v/>
      </c>
      <c r="BH176" s="34">
        <f>W176-AA176</f>
        <v/>
      </c>
      <c r="BI176" s="34">
        <f>BF176+BG176+BL176-BN176</f>
        <v/>
      </c>
      <c r="BJ176" s="34">
        <f>ABS(BK176)</f>
        <v/>
      </c>
      <c r="BK176" s="34">
        <f>AY176-(J176-L176+N176-Q176)</f>
        <v/>
      </c>
      <c r="BL176" s="34">
        <f>IF(AND(BK176&gt;0,MIN($F176:$G176)&lt;150,$E176="Enerji Açığı"),-100*BK176*1.03,IF(AND(BK176&gt;0,MIN($F176:$G176)&lt;150,$E176="Enerji Fazlası"),-100*BK176*1.06,IF(AND(BK176&gt;0,MIN($F176:$G176)&gt;=150,$E176="Enerji Açığı"),BK176*MIN($F176:$G176)*0.97,IF(AND(BK176&gt;0,MIN($F176:$G176)&gt;=150,$E176="Enerji Fazlası"),BK176*MIN($F176:$G176)*0.94,IF(AND(BK176&lt;0,MAX($F176:$G176)=4500,$E176="Enerji Açığı"),4500*1.05*1.06*BK176,IF(AND(BK176&lt;0,MAX($F176:$G176)=4500,$E176="Enerji Fazlası"),4500*1.05*1.03*BK176,IF(AND(BK176&lt;0,$E176="Enerji Açığı"),MAX($F176,$G176,150)*BK176*1.06,IF(AND(BK176&lt;0,$E176="Enerji Fazlası"),MAX($F176,$G176,150)*BK176*1.03,IF(AND(BK176&lt;0,$E176="Dengede"),MAX($F176:$G176,150)*1.03*BK176,MIN($F176:$G176)*0.97*BK176)))))))))</f>
        <v/>
      </c>
      <c r="BM176" s="34">
        <f>BE176-BI176-BN176</f>
        <v/>
      </c>
      <c r="BN176" s="34">
        <f>BB176</f>
        <v/>
      </c>
      <c r="BO176" s="34">
        <f>BE176-BI176</f>
        <v/>
      </c>
      <c r="BP176" s="34">
        <f>IF(AY176=0,0,BO176/AY176)</f>
        <v/>
      </c>
      <c r="BQ176" s="34">
        <f>MAX((AY176+MAX((-J176+L176-N176+Q176),0)),(MAX((J176-L176+N176-Q176),0)))</f>
        <v/>
      </c>
      <c r="BR176" s="82">
        <f>IFERROR(ABS(BK176/BQ176),0)</f>
        <v/>
      </c>
      <c r="BS176" s="34">
        <f>IF(BR176&lt;=0.1,0,BK176/BR176*(BR176-0.1))</f>
        <v/>
      </c>
      <c r="BT176" s="34">
        <f>IF((BS176)&lt;0,MAX(F176:G176)*(BS176)*1.03,MIN(F176:G176)*(BS176)*0.97)</f>
        <v/>
      </c>
      <c r="BU176" s="34">
        <f>IF(BR176&gt;0.1,1,0)</f>
        <v/>
      </c>
      <c r="BV176" s="34">
        <f>BF176+BG176+BH176+BY176-CA176</f>
        <v/>
      </c>
      <c r="BW176" s="34">
        <f>ABS(BX176)</f>
        <v/>
      </c>
      <c r="BX176" s="34">
        <f>AY176-(J176-L176+N176-Q176+T176-X176)</f>
        <v/>
      </c>
      <c r="BY176" s="34">
        <f>IF(AND(BX176&gt;0,MIN($F176:$G176)&lt;150,$E176="Enerji Açığı"),-100*BX176*1.03,IF(AND(BX176&gt;0,MIN($F176:$G176)&lt;150,$E176="Enerji Fazlası"),-100*BX176*1.06,IF(AND(BX176&gt;0,MIN($F176:$G176)&gt;=150,$E176="Enerji Açığı"),BX176*MIN($F176:$G176)*0.97,IF(AND(BX176&gt;0,MIN($F176:$G176)&gt;=150,$E176="Enerji Fazlası"),BX176*MIN($F176:$G176)*0.94,IF(AND(BX176&lt;0,MAX($F176:$G176)=4500,$E176="Enerji Açığı"),4500*1.05*1.06*BX176,IF(AND(BX176&lt;0,MAX($F176:$G176)=4500,$E176="Enerji Fazlası"),4500*1.05*1.03*BX176,IF(AND(BX176&lt;0,$E176="Enerji Açığı"),MAX($F176,$G176,150)*BX176*1.06,IF(AND(BX176&lt;0,$E176="Enerji Fazlası"),MAX($F176,$G176,150)*BX176*1.03,IF(AND(BX176&lt;0,$E176="Dengede"),MAX($F176:$G176,150)*1.03*BX176,MIN($F176:$G176)*0.97*BX176)))))))))</f>
        <v/>
      </c>
      <c r="BZ176" s="34">
        <f>BE176-BV176-CA176</f>
        <v/>
      </c>
      <c r="CA176" s="34">
        <f>BD176</f>
        <v/>
      </c>
      <c r="CB176" s="33">
        <f>BE176-BV176</f>
        <v/>
      </c>
      <c r="CC176" s="34">
        <f>IF(AY176=0,0,CB176/AY176)</f>
        <v/>
      </c>
      <c r="CD176" s="34">
        <f>MAX((AY176+MAX((-J176+L176-N176+Q176-T176+X176),0)),(MAX((J176-L176+N176-Q176+T176-X176),0)))</f>
        <v/>
      </c>
      <c r="CE176" s="82">
        <f>IFERROR(ABS(BX176/CD176),0)</f>
        <v/>
      </c>
      <c r="CF176" s="34">
        <f>IF(CE176&lt;=0.1,0,BX176/CE176*(CE176-0.1))</f>
        <v/>
      </c>
      <c r="CG176" s="34">
        <f>IF((CF176)&lt;0,MAX(F176:G176)*(CF176)*1.03,MIN(F176:G176)*(CF176)*0.97)</f>
        <v/>
      </c>
      <c r="CH176" s="34">
        <f>IF(CE176&gt;0.1,1,0)</f>
        <v/>
      </c>
      <c r="CI176" s="34">
        <f>(F176*BX176)-BY176</f>
        <v/>
      </c>
      <c r="CJ176" s="34">
        <f>IF(AY176=0,0,CI176/AY176)</f>
        <v/>
      </c>
    </row>
    <row r="177">
      <c r="A177" s="29" t="n">
        <v>46211.25</v>
      </c>
      <c r="B177" s="29" t="inlineStr">
        <is>
          <t>06:00</t>
        </is>
      </c>
      <c r="C177" s="35">
        <f>INT(A177)</f>
        <v/>
      </c>
      <c r="D177" s="36">
        <f>MONTH(A177)</f>
        <v/>
      </c>
      <c r="E177" s="147" t="inlineStr">
        <is>
          <t>Enerji Açığı</t>
        </is>
      </c>
      <c r="F177" s="30" t="n">
        <v>2050</v>
      </c>
      <c r="G177" s="30" t="n">
        <v>3000</v>
      </c>
      <c r="H177" s="30" t="n">
        <v>43.86</v>
      </c>
      <c r="I177" s="30" t="n">
        <v>2807.53</v>
      </c>
      <c r="J177" s="119" t="n">
        <v>0</v>
      </c>
      <c r="K177" s="34">
        <f>F177*J177</f>
        <v/>
      </c>
      <c r="L177" s="119" t="n">
        <v>0</v>
      </c>
      <c r="M177" s="34">
        <f>L177*F177</f>
        <v/>
      </c>
      <c r="N177" s="119" t="n">
        <v>23.2</v>
      </c>
      <c r="O177" s="34">
        <f>F177</f>
        <v/>
      </c>
      <c r="P177" s="34">
        <f>N177*O177</f>
        <v/>
      </c>
      <c r="Q177" s="117" t="n">
        <v>0</v>
      </c>
      <c r="R177" s="34">
        <f>F177</f>
        <v/>
      </c>
      <c r="S177" s="34">
        <f>R177*Q177</f>
        <v/>
      </c>
      <c r="T177" s="34" t="n"/>
      <c r="U177" s="34">
        <f>IFERROR(W177/T177,0)</f>
        <v/>
      </c>
      <c r="V177" s="34">
        <f>IF(U177=0,0,U177-F177)</f>
        <v/>
      </c>
      <c r="W177" s="34" t="n"/>
      <c r="X177" s="34" t="n"/>
      <c r="Y177" s="34">
        <f>IFERROR(AA177/X177,0)</f>
        <v/>
      </c>
      <c r="Z177" s="34">
        <f>IF(Y177=0,0,F177-Y177)</f>
        <v/>
      </c>
      <c r="AA177" s="34" t="n"/>
      <c r="AB177" s="34" t="n">
        <v>0</v>
      </c>
      <c r="AC177" s="34" t="n">
        <v>0</v>
      </c>
      <c r="AD177" s="34">
        <f>IF(AB177&gt;AC177*1.05,AB177-AC177*1.05,IF(AB177&lt;AC177*0.95,AC177*0.95-AB177,0))</f>
        <v/>
      </c>
      <c r="AE177" s="34">
        <f>MAX(F177,G177,750)*0.05*AD177</f>
        <v/>
      </c>
      <c r="AF177" s="34" t="n">
        <v>0</v>
      </c>
      <c r="AG177" s="34">
        <f>IF(AB177&gt;AF177*1.05,AB177-AF177*1.05,IF(AB177&lt;AF177*0.95,AF177*0.95-AB177,0))</f>
        <v/>
      </c>
      <c r="AH177" s="34">
        <f>MAX(I177,J177,750)*0.05*AG177</f>
        <v/>
      </c>
      <c r="AI177" t="n">
        <v>10.12</v>
      </c>
      <c r="AJ177" t="n">
        <v>10</v>
      </c>
      <c r="AK177" s="34">
        <f>IF(AI177&gt;AJ177*1.05,AI177-AJ177*1.05,IF(AI177&lt;AJ177*0.95,AJ177*0.95-AI177,0))</f>
        <v/>
      </c>
      <c r="AL177" s="34">
        <f>MAX(F177,G177,750)*0.05*AK177</f>
        <v/>
      </c>
      <c r="AM177" s="39" t="n">
        <v>10</v>
      </c>
      <c r="AN177" s="34">
        <f>IF(AI177&gt;AM177*1.05,AI177-AM177*1.05,IF(AI177&lt;AM177*0.95,AM177*0.95-AI177,0))</f>
        <v/>
      </c>
      <c r="AO177" s="34">
        <f>MAX(F177,G177,750)*0.05*AN177</f>
        <v/>
      </c>
      <c r="AP177" s="34" t="n">
        <v>13.32</v>
      </c>
      <c r="AQ177" s="34" t="n">
        <v>13.2</v>
      </c>
      <c r="AR177" s="34">
        <f>IF(AP177&gt;AQ177*1.05,AP177-AQ177*1.05,IF(AP177&lt;AQ177*0.95,AQ177*0.95-AP177,0))</f>
        <v/>
      </c>
      <c r="AS177" s="34">
        <f>MAX(F177:G177,750)*0.05*AR177</f>
        <v/>
      </c>
      <c r="AT177" t="n">
        <v>13.2</v>
      </c>
      <c r="AU177" s="34">
        <f>IF(AP177&gt;AT177*1.05,AP177-AT177*1.05,IF(AP177&lt;AT177*0.95,AT177*0.95-AP177,0))</f>
        <v/>
      </c>
      <c r="AV177" s="34">
        <f>MAX(F177:G177,750)*0.05*AU177</f>
        <v/>
      </c>
      <c r="AW177" s="34">
        <f>AC177+AJ177+AQ177</f>
        <v/>
      </c>
      <c r="AX177" s="34">
        <f>AF177+AM177+AT177</f>
        <v/>
      </c>
      <c r="AY177" s="34">
        <f>AB177+AI177+AP177</f>
        <v/>
      </c>
      <c r="AZ177" s="34" t="n">
        <v>0</v>
      </c>
      <c r="BA177" s="34">
        <f>AD177+AK177+AR177</f>
        <v/>
      </c>
      <c r="BB177" s="34">
        <f>MAX(F177:G177,750)*0.05*BA177</f>
        <v/>
      </c>
      <c r="BC177" s="34">
        <f>AG177+AN177+AU177</f>
        <v/>
      </c>
      <c r="BD177" s="34">
        <f>MAX(F177:G177,750)*0.05*BC177</f>
        <v/>
      </c>
      <c r="BE177" s="34">
        <f>F177*AY177</f>
        <v/>
      </c>
      <c r="BF177" s="34">
        <f>K177-M177</f>
        <v/>
      </c>
      <c r="BG177" s="34">
        <f>P177-S177</f>
        <v/>
      </c>
      <c r="BH177" s="34">
        <f>W177-AA177</f>
        <v/>
      </c>
      <c r="BI177" s="34">
        <f>BF177+BG177+BL177-BN177</f>
        <v/>
      </c>
      <c r="BJ177" s="34">
        <f>ABS(BK177)</f>
        <v/>
      </c>
      <c r="BK177" s="34">
        <f>AY177-(J177-L177+N177-Q177)</f>
        <v/>
      </c>
      <c r="BL177" s="34">
        <f>IF(AND(BK177&gt;0,MIN($F177:$G177)&lt;150,$E177="Enerji Açığı"),-100*BK177*1.03,IF(AND(BK177&gt;0,MIN($F177:$G177)&lt;150,$E177="Enerji Fazlası"),-100*BK177*1.06,IF(AND(BK177&gt;0,MIN($F177:$G177)&gt;=150,$E177="Enerji Açığı"),BK177*MIN($F177:$G177)*0.97,IF(AND(BK177&gt;0,MIN($F177:$G177)&gt;=150,$E177="Enerji Fazlası"),BK177*MIN($F177:$G177)*0.94,IF(AND(BK177&lt;0,MAX($F177:$G177)=4500,$E177="Enerji Açığı"),4500*1.05*1.06*BK177,IF(AND(BK177&lt;0,MAX($F177:$G177)=4500,$E177="Enerji Fazlası"),4500*1.05*1.03*BK177,IF(AND(BK177&lt;0,$E177="Enerji Açığı"),MAX($F177,$G177,150)*BK177*1.06,IF(AND(BK177&lt;0,$E177="Enerji Fazlası"),MAX($F177,$G177,150)*BK177*1.03,IF(AND(BK177&lt;0,$E177="Dengede"),MAX($F177:$G177,150)*1.03*BK177,MIN($F177:$G177)*0.97*BK177)))))))))</f>
        <v/>
      </c>
      <c r="BM177" s="34">
        <f>BE177-BI177-BN177</f>
        <v/>
      </c>
      <c r="BN177" s="34">
        <f>BB177</f>
        <v/>
      </c>
      <c r="BO177" s="34">
        <f>BE177-BI177</f>
        <v/>
      </c>
      <c r="BP177" s="34">
        <f>IF(AY177=0,0,BO177/AY177)</f>
        <v/>
      </c>
      <c r="BQ177" s="34">
        <f>MAX((AY177+MAX((-J177+L177-N177+Q177),0)),(MAX((J177-L177+N177-Q177),0)))</f>
        <v/>
      </c>
      <c r="BR177" s="82">
        <f>IFERROR(ABS(BK177/BQ177),0)</f>
        <v/>
      </c>
      <c r="BS177" s="34">
        <f>IF(BR177&lt;=0.1,0,BK177/BR177*(BR177-0.1))</f>
        <v/>
      </c>
      <c r="BT177" s="34">
        <f>IF((BS177)&lt;0,MAX(F177:G177)*(BS177)*1.03,MIN(F177:G177)*(BS177)*0.97)</f>
        <v/>
      </c>
      <c r="BU177" s="34">
        <f>IF(BR177&gt;0.1,1,0)</f>
        <v/>
      </c>
      <c r="BV177" s="34">
        <f>BF177+BG177+BH177+BY177-CA177</f>
        <v/>
      </c>
      <c r="BW177" s="34">
        <f>ABS(BX177)</f>
        <v/>
      </c>
      <c r="BX177" s="34">
        <f>AY177-(J177-L177+N177-Q177+T177-X177)</f>
        <v/>
      </c>
      <c r="BY177" s="34">
        <f>IF(AND(BX177&gt;0,MIN($F177:$G177)&lt;150,$E177="Enerji Açığı"),-100*BX177*1.03,IF(AND(BX177&gt;0,MIN($F177:$G177)&lt;150,$E177="Enerji Fazlası"),-100*BX177*1.06,IF(AND(BX177&gt;0,MIN($F177:$G177)&gt;=150,$E177="Enerji Açığı"),BX177*MIN($F177:$G177)*0.97,IF(AND(BX177&gt;0,MIN($F177:$G177)&gt;=150,$E177="Enerji Fazlası"),BX177*MIN($F177:$G177)*0.94,IF(AND(BX177&lt;0,MAX($F177:$G177)=4500,$E177="Enerji Açığı"),4500*1.05*1.06*BX177,IF(AND(BX177&lt;0,MAX($F177:$G177)=4500,$E177="Enerji Fazlası"),4500*1.05*1.03*BX177,IF(AND(BX177&lt;0,$E177="Enerji Açığı"),MAX($F177,$G177,150)*BX177*1.06,IF(AND(BX177&lt;0,$E177="Enerji Fazlası"),MAX($F177,$G177,150)*BX177*1.03,IF(AND(BX177&lt;0,$E177="Dengede"),MAX($F177:$G177,150)*1.03*BX177,MIN($F177:$G177)*0.97*BX177)))))))))</f>
        <v/>
      </c>
      <c r="BZ177" s="34">
        <f>BE177-BV177-CA177</f>
        <v/>
      </c>
      <c r="CA177" s="34">
        <f>BD177</f>
        <v/>
      </c>
      <c r="CB177" s="33">
        <f>BE177-BV177</f>
        <v/>
      </c>
      <c r="CC177" s="34">
        <f>IF(AY177=0,0,CB177/AY177)</f>
        <v/>
      </c>
      <c r="CD177" s="34">
        <f>MAX((AY177+MAX((-J177+L177-N177+Q177-T177+X177),0)),(MAX((J177-L177+N177-Q177+T177-X177),0)))</f>
        <v/>
      </c>
      <c r="CE177" s="82">
        <f>IFERROR(ABS(BX177/CD177),0)</f>
        <v/>
      </c>
      <c r="CF177" s="34">
        <f>IF(CE177&lt;=0.1,0,BX177/CE177*(CE177-0.1))</f>
        <v/>
      </c>
      <c r="CG177" s="34">
        <f>IF((CF177)&lt;0,MAX(F177:G177)*(CF177)*1.03,MIN(F177:G177)*(CF177)*0.97)</f>
        <v/>
      </c>
      <c r="CH177" s="34">
        <f>IF(CE177&gt;0.1,1,0)</f>
        <v/>
      </c>
      <c r="CI177" s="34">
        <f>(F177*BX177)-BY177</f>
        <v/>
      </c>
      <c r="CJ177" s="34">
        <f>IF(AY177=0,0,CI177/AY177)</f>
        <v/>
      </c>
    </row>
    <row r="178">
      <c r="A178" s="29" t="n">
        <v>46211.29166666666</v>
      </c>
      <c r="B178" s="29" t="inlineStr">
        <is>
          <t>07:00</t>
        </is>
      </c>
      <c r="C178" s="35">
        <f>INT(A178)</f>
        <v/>
      </c>
      <c r="D178" s="36">
        <f>MONTH(A178)</f>
        <v/>
      </c>
      <c r="E178" s="147" t="inlineStr">
        <is>
          <t>Enerji Fazlası</t>
        </is>
      </c>
      <c r="F178" s="30" t="n">
        <v>1499.97</v>
      </c>
      <c r="G178" s="30" t="n">
        <v>1000</v>
      </c>
      <c r="H178" s="30" t="n">
        <v>32.09</v>
      </c>
      <c r="I178" s="30" t="n">
        <v>2127.28</v>
      </c>
      <c r="J178" s="119" t="n">
        <v>0</v>
      </c>
      <c r="K178" s="34">
        <f>F178*J178</f>
        <v/>
      </c>
      <c r="L178" s="119" t="n">
        <v>0</v>
      </c>
      <c r="M178" s="34">
        <f>L178*F178</f>
        <v/>
      </c>
      <c r="N178" s="119" t="n">
        <v>23.5</v>
      </c>
      <c r="O178" s="34">
        <f>F178</f>
        <v/>
      </c>
      <c r="P178" s="34">
        <f>N178*O178</f>
        <v/>
      </c>
      <c r="Q178" s="117" t="n">
        <v>0</v>
      </c>
      <c r="R178" s="34">
        <f>F178</f>
        <v/>
      </c>
      <c r="S178" s="34">
        <f>R178*Q178</f>
        <v/>
      </c>
      <c r="T178" s="34" t="n"/>
      <c r="U178" s="34">
        <f>IFERROR(W178/T178,0)</f>
        <v/>
      </c>
      <c r="V178" s="34">
        <f>IF(U178=0,0,U178-F178)</f>
        <v/>
      </c>
      <c r="W178" s="34" t="n"/>
      <c r="X178" s="34" t="n"/>
      <c r="Y178" s="34">
        <f>IFERROR(AA178/X178,0)</f>
        <v/>
      </c>
      <c r="Z178" s="34">
        <f>IF(Y178=0,0,F178-Y178)</f>
        <v/>
      </c>
      <c r="AA178" s="34" t="n"/>
      <c r="AB178" s="34" t="n">
        <v>0</v>
      </c>
      <c r="AC178" s="34" t="n">
        <v>0</v>
      </c>
      <c r="AD178" s="34">
        <f>IF(AB178&gt;AC178*1.05,AB178-AC178*1.05,IF(AB178&lt;AC178*0.95,AC178*0.95-AB178,0))</f>
        <v/>
      </c>
      <c r="AE178" s="34">
        <f>MAX(F178,G178,750)*0.05*AD178</f>
        <v/>
      </c>
      <c r="AF178" s="34" t="n">
        <v>0</v>
      </c>
      <c r="AG178" s="34">
        <f>IF(AB178&gt;AF178*1.05,AB178-AF178*1.05,IF(AB178&lt;AF178*0.95,AF178*0.95-AB178,0))</f>
        <v/>
      </c>
      <c r="AH178" s="34">
        <f>MAX(I178,J178,750)*0.05*AG178</f>
        <v/>
      </c>
      <c r="AI178" t="n">
        <v>10.08</v>
      </c>
      <c r="AJ178" t="n">
        <v>10</v>
      </c>
      <c r="AK178" s="34">
        <f>IF(AI178&gt;AJ178*1.05,AI178-AJ178*1.05,IF(AI178&lt;AJ178*0.95,AJ178*0.95-AI178,0))</f>
        <v/>
      </c>
      <c r="AL178" s="34">
        <f>MAX(F178,G178,750)*0.05*AK178</f>
        <v/>
      </c>
      <c r="AM178" s="39" t="n">
        <v>10</v>
      </c>
      <c r="AN178" s="34">
        <f>IF(AI178&gt;AM178*1.05,AI178-AM178*1.05,IF(AI178&lt;AM178*0.95,AM178*0.95-AI178,0))</f>
        <v/>
      </c>
      <c r="AO178" s="34">
        <f>MAX(F178,G178,750)*0.05*AN178</f>
        <v/>
      </c>
      <c r="AP178" s="34" t="n">
        <v>13.73</v>
      </c>
      <c r="AQ178" s="34" t="n">
        <v>13.5</v>
      </c>
      <c r="AR178" s="34">
        <f>IF(AP178&gt;AQ178*1.05,AP178-AQ178*1.05,IF(AP178&lt;AQ178*0.95,AQ178*0.95-AP178,0))</f>
        <v/>
      </c>
      <c r="AS178" s="34">
        <f>MAX(F178:G178,750)*0.05*AR178</f>
        <v/>
      </c>
      <c r="AT178" t="n">
        <v>13.5</v>
      </c>
      <c r="AU178" s="34">
        <f>IF(AP178&gt;AT178*1.05,AP178-AT178*1.05,IF(AP178&lt;AT178*0.95,AT178*0.95-AP178,0))</f>
        <v/>
      </c>
      <c r="AV178" s="34">
        <f>MAX(F178:G178,750)*0.05*AU178</f>
        <v/>
      </c>
      <c r="AW178" s="34">
        <f>AC178+AJ178+AQ178</f>
        <v/>
      </c>
      <c r="AX178" s="34">
        <f>AF178+AM178+AT178</f>
        <v/>
      </c>
      <c r="AY178" s="34">
        <f>AB178+AI178+AP178</f>
        <v/>
      </c>
      <c r="AZ178" s="34" t="n">
        <v>0</v>
      </c>
      <c r="BA178" s="34">
        <f>AD178+AK178+AR178</f>
        <v/>
      </c>
      <c r="BB178" s="34">
        <f>MAX(F178:G178,750)*0.05*BA178</f>
        <v/>
      </c>
      <c r="BC178" s="34">
        <f>AG178+AN178+AU178</f>
        <v/>
      </c>
      <c r="BD178" s="34">
        <f>MAX(F178:G178,750)*0.05*BC178</f>
        <v/>
      </c>
      <c r="BE178" s="34">
        <f>F178*AY178</f>
        <v/>
      </c>
      <c r="BF178" s="34">
        <f>K178-M178</f>
        <v/>
      </c>
      <c r="BG178" s="34">
        <f>P178-S178</f>
        <v/>
      </c>
      <c r="BH178" s="34">
        <f>W178-AA178</f>
        <v/>
      </c>
      <c r="BI178" s="34">
        <f>BF178+BG178+BL178-BN178</f>
        <v/>
      </c>
      <c r="BJ178" s="34">
        <f>ABS(BK178)</f>
        <v/>
      </c>
      <c r="BK178" s="34">
        <f>AY178-(J178-L178+N178-Q178)</f>
        <v/>
      </c>
      <c r="BL178" s="34">
        <f>IF(AND(BK178&gt;0,MIN($F178:$G178)&lt;150,$E178="Enerji Açığı"),-100*BK178*1.03,IF(AND(BK178&gt;0,MIN($F178:$G178)&lt;150,$E178="Enerji Fazlası"),-100*BK178*1.06,IF(AND(BK178&gt;0,MIN($F178:$G178)&gt;=150,$E178="Enerji Açığı"),BK178*MIN($F178:$G178)*0.97,IF(AND(BK178&gt;0,MIN($F178:$G178)&gt;=150,$E178="Enerji Fazlası"),BK178*MIN($F178:$G178)*0.94,IF(AND(BK178&lt;0,MAX($F178:$G178)=4500,$E178="Enerji Açığı"),4500*1.05*1.06*BK178,IF(AND(BK178&lt;0,MAX($F178:$G178)=4500,$E178="Enerji Fazlası"),4500*1.05*1.03*BK178,IF(AND(BK178&lt;0,$E178="Enerji Açığı"),MAX($F178,$G178,150)*BK178*1.06,IF(AND(BK178&lt;0,$E178="Enerji Fazlası"),MAX($F178,$G178,150)*BK178*1.03,IF(AND(BK178&lt;0,$E178="Dengede"),MAX($F178:$G178,150)*1.03*BK178,MIN($F178:$G178)*0.97*BK178)))))))))</f>
        <v/>
      </c>
      <c r="BM178" s="34">
        <f>BE178-BI178-BN178</f>
        <v/>
      </c>
      <c r="BN178" s="34">
        <f>BB178</f>
        <v/>
      </c>
      <c r="BO178" s="34">
        <f>BE178-BI178</f>
        <v/>
      </c>
      <c r="BP178" s="34">
        <f>IF(AY178=0,0,BO178/AY178)</f>
        <v/>
      </c>
      <c r="BQ178" s="34">
        <f>MAX((AY178+MAX((-J178+L178-N178+Q178),0)),(MAX((J178-L178+N178-Q178),0)))</f>
        <v/>
      </c>
      <c r="BR178" s="82">
        <f>IFERROR(ABS(BK178/BQ178),0)</f>
        <v/>
      </c>
      <c r="BS178" s="34">
        <f>IF(BR178&lt;=0.1,0,BK178/BR178*(BR178-0.1))</f>
        <v/>
      </c>
      <c r="BT178" s="34">
        <f>IF((BS178)&lt;0,MAX(F178:G178)*(BS178)*1.03,MIN(F178:G178)*(BS178)*0.97)</f>
        <v/>
      </c>
      <c r="BU178" s="34">
        <f>IF(BR178&gt;0.1,1,0)</f>
        <v/>
      </c>
      <c r="BV178" s="34">
        <f>BF178+BG178+BH178+BY178-CA178</f>
        <v/>
      </c>
      <c r="BW178" s="34">
        <f>ABS(BX178)</f>
        <v/>
      </c>
      <c r="BX178" s="34">
        <f>AY178-(J178-L178+N178-Q178+T178-X178)</f>
        <v/>
      </c>
      <c r="BY178" s="34">
        <f>IF(AND(BX178&gt;0,MIN($F178:$G178)&lt;150,$E178="Enerji Açığı"),-100*BX178*1.03,IF(AND(BX178&gt;0,MIN($F178:$G178)&lt;150,$E178="Enerji Fazlası"),-100*BX178*1.06,IF(AND(BX178&gt;0,MIN($F178:$G178)&gt;=150,$E178="Enerji Açığı"),BX178*MIN($F178:$G178)*0.97,IF(AND(BX178&gt;0,MIN($F178:$G178)&gt;=150,$E178="Enerji Fazlası"),BX178*MIN($F178:$G178)*0.94,IF(AND(BX178&lt;0,MAX($F178:$G178)=4500,$E178="Enerji Açığı"),4500*1.05*1.06*BX178,IF(AND(BX178&lt;0,MAX($F178:$G178)=4500,$E178="Enerji Fazlası"),4500*1.05*1.03*BX178,IF(AND(BX178&lt;0,$E178="Enerji Açığı"),MAX($F178,$G178,150)*BX178*1.06,IF(AND(BX178&lt;0,$E178="Enerji Fazlası"),MAX($F178,$G178,150)*BX178*1.03,IF(AND(BX178&lt;0,$E178="Dengede"),MAX($F178:$G178,150)*1.03*BX178,MIN($F178:$G178)*0.97*BX178)))))))))</f>
        <v/>
      </c>
      <c r="BZ178" s="34">
        <f>BE178-BV178-CA178</f>
        <v/>
      </c>
      <c r="CA178" s="34">
        <f>BD178</f>
        <v/>
      </c>
      <c r="CB178" s="33">
        <f>BE178-BV178</f>
        <v/>
      </c>
      <c r="CC178" s="34">
        <f>IF(AY178=0,0,CB178/AY178)</f>
        <v/>
      </c>
      <c r="CD178" s="34">
        <f>MAX((AY178+MAX((-J178+L178-N178+Q178-T178+X178),0)),(MAX((J178-L178+N178-Q178+T178-X178),0)))</f>
        <v/>
      </c>
      <c r="CE178" s="82">
        <f>IFERROR(ABS(BX178/CD178),0)</f>
        <v/>
      </c>
      <c r="CF178" s="34">
        <f>IF(CE178&lt;=0.1,0,BX178/CE178*(CE178-0.1))</f>
        <v/>
      </c>
      <c r="CG178" s="34">
        <f>IF((CF178)&lt;0,MAX(F178:G178)*(CF178)*1.03,MIN(F178:G178)*(CF178)*0.97)</f>
        <v/>
      </c>
      <c r="CH178" s="34">
        <f>IF(CE178&gt;0.1,1,0)</f>
        <v/>
      </c>
      <c r="CI178" s="34">
        <f>(F178*BX178)-BY178</f>
        <v/>
      </c>
      <c r="CJ178" s="34">
        <f>IF(AY178=0,0,CI178/AY178)</f>
        <v/>
      </c>
    </row>
    <row r="179">
      <c r="A179" s="29" t="n">
        <v>46211.33333333334</v>
      </c>
      <c r="B179" s="29" t="inlineStr">
        <is>
          <t>08:00</t>
        </is>
      </c>
      <c r="C179" s="35">
        <f>INT(A179)</f>
        <v/>
      </c>
      <c r="D179" s="36">
        <f>MONTH(A179)</f>
        <v/>
      </c>
      <c r="E179" s="147" t="inlineStr">
        <is>
          <t>Enerji Açığı</t>
        </is>
      </c>
      <c r="F179" s="30" t="n">
        <v>2797.99</v>
      </c>
      <c r="G179" s="30" t="n">
        <v>4018</v>
      </c>
      <c r="H179" s="30" t="n">
        <v>59.87</v>
      </c>
      <c r="I179" s="30" t="n">
        <v>3191.93</v>
      </c>
      <c r="J179" s="119" t="n">
        <v>0</v>
      </c>
      <c r="K179" s="34">
        <f>F179*J179</f>
        <v/>
      </c>
      <c r="L179" s="119" t="n">
        <v>0</v>
      </c>
      <c r="M179" s="34">
        <f>L179*F179</f>
        <v/>
      </c>
      <c r="N179" s="119" t="n">
        <v>24</v>
      </c>
      <c r="O179" s="34">
        <f>F179</f>
        <v/>
      </c>
      <c r="P179" s="34">
        <f>N179*O179</f>
        <v/>
      </c>
      <c r="Q179" s="117" t="n">
        <v>0</v>
      </c>
      <c r="R179" s="34">
        <f>F179</f>
        <v/>
      </c>
      <c r="S179" s="34">
        <f>R179*Q179</f>
        <v/>
      </c>
      <c r="T179" s="34" t="n"/>
      <c r="U179" s="34">
        <f>IFERROR(W179/T179,0)</f>
        <v/>
      </c>
      <c r="V179" s="34">
        <f>IF(U179=0,0,U179-F179)</f>
        <v/>
      </c>
      <c r="W179" s="34" t="n"/>
      <c r="X179" s="34" t="n"/>
      <c r="Y179" s="34">
        <f>IFERROR(AA179/X179,0)</f>
        <v/>
      </c>
      <c r="Z179" s="34">
        <f>IF(Y179=0,0,F179-Y179)</f>
        <v/>
      </c>
      <c r="AA179" s="34" t="n"/>
      <c r="AB179" s="34" t="n">
        <v>0</v>
      </c>
      <c r="AC179" s="34" t="n">
        <v>0</v>
      </c>
      <c r="AD179" s="34">
        <f>IF(AB179&gt;AC179*1.05,AB179-AC179*1.05,IF(AB179&lt;AC179*0.95,AC179*0.95-AB179,0))</f>
        <v/>
      </c>
      <c r="AE179" s="34">
        <f>MAX(F179,G179,750)*0.05*AD179</f>
        <v/>
      </c>
      <c r="AF179" s="34" t="n">
        <v>0</v>
      </c>
      <c r="AG179" s="34">
        <f>IF(AB179&gt;AF179*1.05,AB179-AF179*1.05,IF(AB179&lt;AF179*0.95,AF179*0.95-AB179,0))</f>
        <v/>
      </c>
      <c r="AH179" s="34">
        <f>MAX(I179,J179,750)*0.05*AG179</f>
        <v/>
      </c>
      <c r="AI179" t="n">
        <v>10.08</v>
      </c>
      <c r="AJ179" t="n">
        <v>10</v>
      </c>
      <c r="AK179" s="34">
        <f>IF(AI179&gt;AJ179*1.05,AI179-AJ179*1.05,IF(AI179&lt;AJ179*0.95,AJ179*0.95-AI179,0))</f>
        <v/>
      </c>
      <c r="AL179" s="34">
        <f>MAX(F179,G179,750)*0.05*AK179</f>
        <v/>
      </c>
      <c r="AM179" s="39" t="n">
        <v>10</v>
      </c>
      <c r="AN179" s="34">
        <f>IF(AI179&gt;AM179*1.05,AI179-AM179*1.05,IF(AI179&lt;AM179*0.95,AM179*0.95-AI179,0))</f>
        <v/>
      </c>
      <c r="AO179" s="34">
        <f>MAX(F179,G179,750)*0.05*AN179</f>
        <v/>
      </c>
      <c r="AP179" s="34" t="n">
        <v>14.24</v>
      </c>
      <c r="AQ179" s="34" t="n">
        <v>14</v>
      </c>
      <c r="AR179" s="34">
        <f>IF(AP179&gt;AQ179*1.05,AP179-AQ179*1.05,IF(AP179&lt;AQ179*0.95,AQ179*0.95-AP179,0))</f>
        <v/>
      </c>
      <c r="AS179" s="34">
        <f>MAX(F179:G179,750)*0.05*AR179</f>
        <v/>
      </c>
      <c r="AT179" t="n">
        <v>14</v>
      </c>
      <c r="AU179" s="34">
        <f>IF(AP179&gt;AT179*1.05,AP179-AT179*1.05,IF(AP179&lt;AT179*0.95,AT179*0.95-AP179,0))</f>
        <v/>
      </c>
      <c r="AV179" s="34">
        <f>MAX(F179:G179,750)*0.05*AU179</f>
        <v/>
      </c>
      <c r="AW179" s="34">
        <f>AC179+AJ179+AQ179</f>
        <v/>
      </c>
      <c r="AX179" s="34">
        <f>AF179+AM179+AT179</f>
        <v/>
      </c>
      <c r="AY179" s="34">
        <f>AB179+AI179+AP179</f>
        <v/>
      </c>
      <c r="AZ179" s="34" t="n">
        <v>0</v>
      </c>
      <c r="BA179" s="34">
        <f>AD179+AK179+AR179</f>
        <v/>
      </c>
      <c r="BB179" s="34">
        <f>MAX(F179:G179,750)*0.05*BA179</f>
        <v/>
      </c>
      <c r="BC179" s="34">
        <f>AG179+AN179+AU179</f>
        <v/>
      </c>
      <c r="BD179" s="34">
        <f>MAX(F179:G179,750)*0.05*BC179</f>
        <v/>
      </c>
      <c r="BE179" s="34">
        <f>F179*AY179</f>
        <v/>
      </c>
      <c r="BF179" s="34">
        <f>K179-M179</f>
        <v/>
      </c>
      <c r="BG179" s="34">
        <f>P179-S179</f>
        <v/>
      </c>
      <c r="BH179" s="34">
        <f>W179-AA179</f>
        <v/>
      </c>
      <c r="BI179" s="34">
        <f>BF179+BG179+BL179-BN179</f>
        <v/>
      </c>
      <c r="BJ179" s="34">
        <f>ABS(BK179)</f>
        <v/>
      </c>
      <c r="BK179" s="34">
        <f>AY179-(J179-L179+N179-Q179)</f>
        <v/>
      </c>
      <c r="BL179" s="34">
        <f>IF(AND(BK179&gt;0,MIN($F179:$G179)&lt;150,$E179="Enerji Açığı"),-100*BK179*1.03,IF(AND(BK179&gt;0,MIN($F179:$G179)&lt;150,$E179="Enerji Fazlası"),-100*BK179*1.06,IF(AND(BK179&gt;0,MIN($F179:$G179)&gt;=150,$E179="Enerji Açığı"),BK179*MIN($F179:$G179)*0.97,IF(AND(BK179&gt;0,MIN($F179:$G179)&gt;=150,$E179="Enerji Fazlası"),BK179*MIN($F179:$G179)*0.94,IF(AND(BK179&lt;0,MAX($F179:$G179)=4500,$E179="Enerji Açığı"),4500*1.05*1.06*BK179,IF(AND(BK179&lt;0,MAX($F179:$G179)=4500,$E179="Enerji Fazlası"),4500*1.05*1.03*BK179,IF(AND(BK179&lt;0,$E179="Enerji Açığı"),MAX($F179,$G179,150)*BK179*1.06,IF(AND(BK179&lt;0,$E179="Enerji Fazlası"),MAX($F179,$G179,150)*BK179*1.03,IF(AND(BK179&lt;0,$E179="Dengede"),MAX($F179:$G179,150)*1.03*BK179,MIN($F179:$G179)*0.97*BK179)))))))))</f>
        <v/>
      </c>
      <c r="BM179" s="34">
        <f>BE179-BI179-BN179</f>
        <v/>
      </c>
      <c r="BN179" s="34">
        <f>BB179</f>
        <v/>
      </c>
      <c r="BO179" s="34">
        <f>BE179-BI179</f>
        <v/>
      </c>
      <c r="BP179" s="34">
        <f>IF(AY179=0,0,BO179/AY179)</f>
        <v/>
      </c>
      <c r="BQ179" s="34">
        <f>MAX((AY179+MAX((-J179+L179-N179+Q179),0)),(MAX((J179-L179+N179-Q179),0)))</f>
        <v/>
      </c>
      <c r="BR179" s="82">
        <f>IFERROR(ABS(BK179/BQ179),0)</f>
        <v/>
      </c>
      <c r="BS179" s="34">
        <f>IF(BR179&lt;=0.1,0,BK179/BR179*(BR179-0.1))</f>
        <v/>
      </c>
      <c r="BT179" s="34">
        <f>IF((BS179)&lt;0,MAX(F179:G179)*(BS179)*1.03,MIN(F179:G179)*(BS179)*0.97)</f>
        <v/>
      </c>
      <c r="BU179" s="34">
        <f>IF(BR179&gt;0.1,1,0)</f>
        <v/>
      </c>
      <c r="BV179" s="34">
        <f>BF179+BG179+BH179+BY179-CA179</f>
        <v/>
      </c>
      <c r="BW179" s="34">
        <f>ABS(BX179)</f>
        <v/>
      </c>
      <c r="BX179" s="34">
        <f>AY179-(J179-L179+N179-Q179+T179-X179)</f>
        <v/>
      </c>
      <c r="BY179" s="34">
        <f>IF(AND(BX179&gt;0,MIN($F179:$G179)&lt;150,$E179="Enerji Açığı"),-100*BX179*1.03,IF(AND(BX179&gt;0,MIN($F179:$G179)&lt;150,$E179="Enerji Fazlası"),-100*BX179*1.06,IF(AND(BX179&gt;0,MIN($F179:$G179)&gt;=150,$E179="Enerji Açığı"),BX179*MIN($F179:$G179)*0.97,IF(AND(BX179&gt;0,MIN($F179:$G179)&gt;=150,$E179="Enerji Fazlası"),BX179*MIN($F179:$G179)*0.94,IF(AND(BX179&lt;0,MAX($F179:$G179)=4500,$E179="Enerji Açığı"),4500*1.05*1.06*BX179,IF(AND(BX179&lt;0,MAX($F179:$G179)=4500,$E179="Enerji Fazlası"),4500*1.05*1.03*BX179,IF(AND(BX179&lt;0,$E179="Enerji Açığı"),MAX($F179,$G179,150)*BX179*1.06,IF(AND(BX179&lt;0,$E179="Enerji Fazlası"),MAX($F179,$G179,150)*BX179*1.03,IF(AND(BX179&lt;0,$E179="Dengede"),MAX($F179:$G179,150)*1.03*BX179,MIN($F179:$G179)*0.97*BX179)))))))))</f>
        <v/>
      </c>
      <c r="BZ179" s="34">
        <f>BE179-BV179-CA179</f>
        <v/>
      </c>
      <c r="CA179" s="34">
        <f>BD179</f>
        <v/>
      </c>
      <c r="CB179" s="33">
        <f>BE179-BV179</f>
        <v/>
      </c>
      <c r="CC179" s="34">
        <f>IF(AY179=0,0,CB179/AY179)</f>
        <v/>
      </c>
      <c r="CD179" s="34">
        <f>MAX((AY179+MAX((-J179+L179-N179+Q179-T179+X179),0)),(MAX((J179-L179+N179-Q179+T179-X179),0)))</f>
        <v/>
      </c>
      <c r="CE179" s="82">
        <f>IFERROR(ABS(BX179/CD179),0)</f>
        <v/>
      </c>
      <c r="CF179" s="34">
        <f>IF(CE179&lt;=0.1,0,BX179/CE179*(CE179-0.1))</f>
        <v/>
      </c>
      <c r="CG179" s="34">
        <f>IF((CF179)&lt;0,MAX(F179:G179)*(CF179)*1.03,MIN(F179:G179)*(CF179)*0.97)</f>
        <v/>
      </c>
      <c r="CH179" s="34">
        <f>IF(CE179&gt;0.1,1,0)</f>
        <v/>
      </c>
      <c r="CI179" s="34">
        <f>(F179*BX179)-BY179</f>
        <v/>
      </c>
      <c r="CJ179" s="34">
        <f>IF(AY179=0,0,CI179/AY179)</f>
        <v/>
      </c>
    </row>
    <row r="180">
      <c r="A180" s="29" t="n">
        <v>46211.375</v>
      </c>
      <c r="B180" s="29" t="inlineStr">
        <is>
          <t>09:00</t>
        </is>
      </c>
      <c r="C180" s="35">
        <f>INT(A180)</f>
        <v/>
      </c>
      <c r="D180" s="36">
        <f>MONTH(A180)</f>
        <v/>
      </c>
      <c r="E180" s="147" t="inlineStr">
        <is>
          <t>Enerji Açığı</t>
        </is>
      </c>
      <c r="F180" s="30" t="n">
        <v>2499.68</v>
      </c>
      <c r="G180" s="30" t="n">
        <v>3972.58</v>
      </c>
      <c r="H180" s="30" t="n">
        <v>53.48</v>
      </c>
      <c r="I180" s="30" t="n">
        <v>3222.04</v>
      </c>
      <c r="J180" s="119" t="n">
        <v>0</v>
      </c>
      <c r="K180" s="34">
        <f>F180*J180</f>
        <v/>
      </c>
      <c r="L180" s="119" t="n">
        <v>0</v>
      </c>
      <c r="M180" s="34">
        <f>L180*F180</f>
        <v/>
      </c>
      <c r="N180" s="119" t="n">
        <v>24</v>
      </c>
      <c r="O180" s="34">
        <f>F180</f>
        <v/>
      </c>
      <c r="P180" s="34">
        <f>N180*O180</f>
        <v/>
      </c>
      <c r="Q180" s="117" t="n">
        <v>0</v>
      </c>
      <c r="R180" s="34">
        <f>F180</f>
        <v/>
      </c>
      <c r="S180" s="34">
        <f>R180*Q180</f>
        <v/>
      </c>
      <c r="T180" s="34" t="n"/>
      <c r="U180" s="34">
        <f>IFERROR(W180/T180,0)</f>
        <v/>
      </c>
      <c r="V180" s="34">
        <f>IF(U180=0,0,U180-F180)</f>
        <v/>
      </c>
      <c r="W180" s="34" t="n"/>
      <c r="X180" s="34" t="n"/>
      <c r="Y180" s="34">
        <f>IFERROR(AA180/X180,0)</f>
        <v/>
      </c>
      <c r="Z180" s="34">
        <f>IF(Y180=0,0,F180-Y180)</f>
        <v/>
      </c>
      <c r="AA180" s="34" t="n"/>
      <c r="AB180" s="34" t="n">
        <v>0</v>
      </c>
      <c r="AC180" s="34" t="n">
        <v>0</v>
      </c>
      <c r="AD180" s="34">
        <f>IF(AB180&gt;AC180*1.05,AB180-AC180*1.05,IF(AB180&lt;AC180*0.95,AC180*0.95-AB180,0))</f>
        <v/>
      </c>
      <c r="AE180" s="34">
        <f>MAX(F180,G180,750)*0.05*AD180</f>
        <v/>
      </c>
      <c r="AF180" s="34" t="n">
        <v>0</v>
      </c>
      <c r="AG180" s="34">
        <f>IF(AB180&gt;AF180*1.05,AB180-AF180*1.05,IF(AB180&lt;AF180*0.95,AF180*0.95-AB180,0))</f>
        <v/>
      </c>
      <c r="AH180" s="34">
        <f>MAX(I180,J180,750)*0.05*AG180</f>
        <v/>
      </c>
      <c r="AI180" t="n">
        <v>10.07</v>
      </c>
      <c r="AJ180" t="n">
        <v>10</v>
      </c>
      <c r="AK180" s="34">
        <f>IF(AI180&gt;AJ180*1.05,AI180-AJ180*1.05,IF(AI180&lt;AJ180*0.95,AJ180*0.95-AI180,0))</f>
        <v/>
      </c>
      <c r="AL180" s="34">
        <f>MAX(F180,G180,750)*0.05*AK180</f>
        <v/>
      </c>
      <c r="AM180" s="39" t="n">
        <v>10</v>
      </c>
      <c r="AN180" s="34">
        <f>IF(AI180&gt;AM180*1.05,AI180-AM180*1.05,IF(AI180&lt;AM180*0.95,AM180*0.95-AI180,0))</f>
        <v/>
      </c>
      <c r="AO180" s="34">
        <f>MAX(F180,G180,750)*0.05*AN180</f>
        <v/>
      </c>
      <c r="AP180" s="34" t="n">
        <v>14.17</v>
      </c>
      <c r="AQ180" s="34" t="n">
        <v>14</v>
      </c>
      <c r="AR180" s="34">
        <f>IF(AP180&gt;AQ180*1.05,AP180-AQ180*1.05,IF(AP180&lt;AQ180*0.95,AQ180*0.95-AP180,0))</f>
        <v/>
      </c>
      <c r="AS180" s="34">
        <f>MAX(F180:G180,750)*0.05*AR180</f>
        <v/>
      </c>
      <c r="AT180" t="n">
        <v>14</v>
      </c>
      <c r="AU180" s="34">
        <f>IF(AP180&gt;AT180*1.05,AP180-AT180*1.05,IF(AP180&lt;AT180*0.95,AT180*0.95-AP180,0))</f>
        <v/>
      </c>
      <c r="AV180" s="34">
        <f>MAX(F180:G180,750)*0.05*AU180</f>
        <v/>
      </c>
      <c r="AW180" s="34">
        <f>AC180+AJ180+AQ180</f>
        <v/>
      </c>
      <c r="AX180" s="34">
        <f>AF180+AM180+AT180</f>
        <v/>
      </c>
      <c r="AY180" s="34">
        <f>AB180+AI180+AP180</f>
        <v/>
      </c>
      <c r="AZ180" s="34" t="n">
        <v>0</v>
      </c>
      <c r="BA180" s="34">
        <f>AD180+AK180+AR180</f>
        <v/>
      </c>
      <c r="BB180" s="34">
        <f>MAX(F180:G180,750)*0.05*BA180</f>
        <v/>
      </c>
      <c r="BC180" s="34">
        <f>AG180+AN180+AU180</f>
        <v/>
      </c>
      <c r="BD180" s="34">
        <f>MAX(F180:G180,750)*0.05*BC180</f>
        <v/>
      </c>
      <c r="BE180" s="34">
        <f>F180*AY180</f>
        <v/>
      </c>
      <c r="BF180" s="34">
        <f>K180-M180</f>
        <v/>
      </c>
      <c r="BG180" s="34">
        <f>P180-S180</f>
        <v/>
      </c>
      <c r="BH180" s="34">
        <f>W180-AA180</f>
        <v/>
      </c>
      <c r="BI180" s="34">
        <f>BF180+BG180+BL180-BN180</f>
        <v/>
      </c>
      <c r="BJ180" s="34">
        <f>ABS(BK180)</f>
        <v/>
      </c>
      <c r="BK180" s="34">
        <f>AY180-(J180-L180+N180-Q180)</f>
        <v/>
      </c>
      <c r="BL180" s="34">
        <f>IF(AND(BK180&gt;0,MIN($F180:$G180)&lt;150,$E180="Enerji Açığı"),-100*BK180*1.03,IF(AND(BK180&gt;0,MIN($F180:$G180)&lt;150,$E180="Enerji Fazlası"),-100*BK180*1.06,IF(AND(BK180&gt;0,MIN($F180:$G180)&gt;=150,$E180="Enerji Açığı"),BK180*MIN($F180:$G180)*0.97,IF(AND(BK180&gt;0,MIN($F180:$G180)&gt;=150,$E180="Enerji Fazlası"),BK180*MIN($F180:$G180)*0.94,IF(AND(BK180&lt;0,MAX($F180:$G180)=4500,$E180="Enerji Açığı"),4500*1.05*1.06*BK180,IF(AND(BK180&lt;0,MAX($F180:$G180)=4500,$E180="Enerji Fazlası"),4500*1.05*1.03*BK180,IF(AND(BK180&lt;0,$E180="Enerji Açığı"),MAX($F180,$G180,150)*BK180*1.06,IF(AND(BK180&lt;0,$E180="Enerji Fazlası"),MAX($F180,$G180,150)*BK180*1.03,IF(AND(BK180&lt;0,$E180="Dengede"),MAX($F180:$G180,150)*1.03*BK180,MIN($F180:$G180)*0.97*BK180)))))))))</f>
        <v/>
      </c>
      <c r="BM180" s="34">
        <f>BE180-BI180-BN180</f>
        <v/>
      </c>
      <c r="BN180" s="34">
        <f>BB180</f>
        <v/>
      </c>
      <c r="BO180" s="34">
        <f>BE180-BI180</f>
        <v/>
      </c>
      <c r="BP180" s="34">
        <f>IF(AY180=0,0,BO180/AY180)</f>
        <v/>
      </c>
      <c r="BQ180" s="34">
        <f>MAX((AY180+MAX((-J180+L180-N180+Q180),0)),(MAX((J180-L180+N180-Q180),0)))</f>
        <v/>
      </c>
      <c r="BR180" s="82">
        <f>IFERROR(ABS(BK180/BQ180),0)</f>
        <v/>
      </c>
      <c r="BS180" s="34">
        <f>IF(BR180&lt;=0.1,0,BK180/BR180*(BR180-0.1))</f>
        <v/>
      </c>
      <c r="BT180" s="34">
        <f>IF((BS180)&lt;0,MAX(F180:G180)*(BS180)*1.03,MIN(F180:G180)*(BS180)*0.97)</f>
        <v/>
      </c>
      <c r="BU180" s="34">
        <f>IF(BR180&gt;0.1,1,0)</f>
        <v/>
      </c>
      <c r="BV180" s="34">
        <f>BF180+BG180+BH180+BY180-CA180</f>
        <v/>
      </c>
      <c r="BW180" s="34">
        <f>ABS(BX180)</f>
        <v/>
      </c>
      <c r="BX180" s="34">
        <f>AY180-(J180-L180+N180-Q180+T180-X180)</f>
        <v/>
      </c>
      <c r="BY180" s="34">
        <f>IF(AND(BX180&gt;0,MIN($F180:$G180)&lt;150,$E180="Enerji Açığı"),-100*BX180*1.03,IF(AND(BX180&gt;0,MIN($F180:$G180)&lt;150,$E180="Enerji Fazlası"),-100*BX180*1.06,IF(AND(BX180&gt;0,MIN($F180:$G180)&gt;=150,$E180="Enerji Açığı"),BX180*MIN($F180:$G180)*0.97,IF(AND(BX180&gt;0,MIN($F180:$G180)&gt;=150,$E180="Enerji Fazlası"),BX180*MIN($F180:$G180)*0.94,IF(AND(BX180&lt;0,MAX($F180:$G180)=4500,$E180="Enerji Açığı"),4500*1.05*1.06*BX180,IF(AND(BX180&lt;0,MAX($F180:$G180)=4500,$E180="Enerji Fazlası"),4500*1.05*1.03*BX180,IF(AND(BX180&lt;0,$E180="Enerji Açığı"),MAX($F180,$G180,150)*BX180*1.06,IF(AND(BX180&lt;0,$E180="Enerji Fazlası"),MAX($F180,$G180,150)*BX180*1.03,IF(AND(BX180&lt;0,$E180="Dengede"),MAX($F180:$G180,150)*1.03*BX180,MIN($F180:$G180)*0.97*BX180)))))))))</f>
        <v/>
      </c>
      <c r="BZ180" s="34">
        <f>BE180-BV180-CA180</f>
        <v/>
      </c>
      <c r="CA180" s="34">
        <f>BD180</f>
        <v/>
      </c>
      <c r="CB180" s="33">
        <f>BE180-BV180</f>
        <v/>
      </c>
      <c r="CC180" s="34">
        <f>IF(AY180=0,0,CB180/AY180)</f>
        <v/>
      </c>
      <c r="CD180" s="34">
        <f>MAX((AY180+MAX((-J180+L180-N180+Q180-T180+X180),0)),(MAX((J180-L180+N180-Q180+T180-X180),0)))</f>
        <v/>
      </c>
      <c r="CE180" s="82">
        <f>IFERROR(ABS(BX180/CD180),0)</f>
        <v/>
      </c>
      <c r="CF180" s="34">
        <f>IF(CE180&lt;=0.1,0,BX180/CE180*(CE180-0.1))</f>
        <v/>
      </c>
      <c r="CG180" s="34">
        <f>IF((CF180)&lt;0,MAX(F180:G180)*(CF180)*1.03,MIN(F180:G180)*(CF180)*0.97)</f>
        <v/>
      </c>
      <c r="CH180" s="34">
        <f>IF(CE180&gt;0.1,1,0)</f>
        <v/>
      </c>
      <c r="CI180" s="34">
        <f>(F180*BX180)-BY180</f>
        <v/>
      </c>
      <c r="CJ180" s="34">
        <f>IF(AY180=0,0,CI180/AY180)</f>
        <v/>
      </c>
    </row>
    <row r="181">
      <c r="A181" s="29" t="n">
        <v>46211.41666666666</v>
      </c>
      <c r="B181" s="29" t="inlineStr">
        <is>
          <t>10:00</t>
        </is>
      </c>
      <c r="C181" s="35">
        <f>INT(A181)</f>
        <v/>
      </c>
      <c r="D181" s="36">
        <f>MONTH(A181)</f>
        <v/>
      </c>
      <c r="E181" s="147" t="inlineStr">
        <is>
          <t>Enerji Açığı</t>
        </is>
      </c>
      <c r="F181" s="30" t="n">
        <v>1672</v>
      </c>
      <c r="G181" s="30" t="n">
        <v>2500</v>
      </c>
      <c r="H181" s="30" t="n">
        <v>35.78</v>
      </c>
      <c r="I181" s="30" t="n">
        <v>2382.94</v>
      </c>
      <c r="J181" s="119" t="n">
        <v>0</v>
      </c>
      <c r="K181" s="34">
        <f>F181*J181</f>
        <v/>
      </c>
      <c r="L181" s="119" t="n">
        <v>0</v>
      </c>
      <c r="M181" s="34">
        <f>L181*F181</f>
        <v/>
      </c>
      <c r="N181" s="119" t="n">
        <v>24.3</v>
      </c>
      <c r="O181" s="34">
        <f>F181</f>
        <v/>
      </c>
      <c r="P181" s="34">
        <f>N181*O181</f>
        <v/>
      </c>
      <c r="Q181" s="117" t="n">
        <v>0</v>
      </c>
      <c r="R181" s="34">
        <f>F181</f>
        <v/>
      </c>
      <c r="S181" s="34">
        <f>R181*Q181</f>
        <v/>
      </c>
      <c r="T181" s="34" t="n"/>
      <c r="U181" s="34">
        <f>IFERROR(W181/T181,0)</f>
        <v/>
      </c>
      <c r="V181" s="34">
        <f>IF(U181=0,0,U181-F181)</f>
        <v/>
      </c>
      <c r="W181" s="34" t="n"/>
      <c r="X181" s="34" t="n"/>
      <c r="Y181" s="34">
        <f>IFERROR(AA181/X181,0)</f>
        <v/>
      </c>
      <c r="Z181" s="34">
        <f>IF(Y181=0,0,F181-Y181)</f>
        <v/>
      </c>
      <c r="AA181" s="34" t="n"/>
      <c r="AB181" s="34" t="n">
        <v>0</v>
      </c>
      <c r="AC181" s="34" t="n">
        <v>0</v>
      </c>
      <c r="AD181" s="34">
        <f>IF(AB181&gt;AC181*1.05,AB181-AC181*1.05,IF(AB181&lt;AC181*0.95,AC181*0.95-AB181,0))</f>
        <v/>
      </c>
      <c r="AE181" s="34">
        <f>MAX(F181,G181,750)*0.05*AD181</f>
        <v/>
      </c>
      <c r="AF181" s="34" t="n">
        <v>0</v>
      </c>
      <c r="AG181" s="34">
        <f>IF(AB181&gt;AF181*1.05,AB181-AF181*1.05,IF(AB181&lt;AF181*0.95,AF181*0.95-AB181,0))</f>
        <v/>
      </c>
      <c r="AH181" s="34">
        <f>MAX(I181,J181,750)*0.05*AG181</f>
        <v/>
      </c>
      <c r="AI181" t="n">
        <v>10.12</v>
      </c>
      <c r="AJ181" t="n">
        <v>10</v>
      </c>
      <c r="AK181" s="34">
        <f>IF(AI181&gt;AJ181*1.05,AI181-AJ181*1.05,IF(AI181&lt;AJ181*0.95,AJ181*0.95-AI181,0))</f>
        <v/>
      </c>
      <c r="AL181" s="34">
        <f>MAX(F181,G181,750)*0.05*AK181</f>
        <v/>
      </c>
      <c r="AM181" s="39" t="n">
        <v>10</v>
      </c>
      <c r="AN181" s="34">
        <f>IF(AI181&gt;AM181*1.05,AI181-AM181*1.05,IF(AI181&lt;AM181*0.95,AM181*0.95-AI181,0))</f>
        <v/>
      </c>
      <c r="AO181" s="34">
        <f>MAX(F181,G181,750)*0.05*AN181</f>
        <v/>
      </c>
      <c r="AP181" s="34" t="n">
        <v>14.33</v>
      </c>
      <c r="AQ181" s="34" t="n">
        <v>14.3</v>
      </c>
      <c r="AR181" s="34">
        <f>IF(AP181&gt;AQ181*1.05,AP181-AQ181*1.05,IF(AP181&lt;AQ181*0.95,AQ181*0.95-AP181,0))</f>
        <v/>
      </c>
      <c r="AS181" s="34">
        <f>MAX(F181:G181,750)*0.05*AR181</f>
        <v/>
      </c>
      <c r="AT181" t="n">
        <v>14.3</v>
      </c>
      <c r="AU181" s="34">
        <f>IF(AP181&gt;AT181*1.05,AP181-AT181*1.05,IF(AP181&lt;AT181*0.95,AT181*0.95-AP181,0))</f>
        <v/>
      </c>
      <c r="AV181" s="34">
        <f>MAX(F181:G181,750)*0.05*AU181</f>
        <v/>
      </c>
      <c r="AW181" s="34">
        <f>AC181+AJ181+AQ181</f>
        <v/>
      </c>
      <c r="AX181" s="34">
        <f>AF181+AM181+AT181</f>
        <v/>
      </c>
      <c r="AY181" s="34">
        <f>AB181+AI181+AP181</f>
        <v/>
      </c>
      <c r="AZ181" s="34" t="n">
        <v>0</v>
      </c>
      <c r="BA181" s="34">
        <f>AD181+AK181+AR181</f>
        <v/>
      </c>
      <c r="BB181" s="34">
        <f>MAX(F181:G181,750)*0.05*BA181</f>
        <v/>
      </c>
      <c r="BC181" s="34">
        <f>AG181+AN181+AU181</f>
        <v/>
      </c>
      <c r="BD181" s="34">
        <f>MAX(F181:G181,750)*0.05*BC181</f>
        <v/>
      </c>
      <c r="BE181" s="34">
        <f>F181*AY181</f>
        <v/>
      </c>
      <c r="BF181" s="34">
        <f>K181-M181</f>
        <v/>
      </c>
      <c r="BG181" s="34">
        <f>P181-S181</f>
        <v/>
      </c>
      <c r="BH181" s="34">
        <f>W181-AA181</f>
        <v/>
      </c>
      <c r="BI181" s="34">
        <f>BF181+BG181+BL181-BN181</f>
        <v/>
      </c>
      <c r="BJ181" s="34">
        <f>ABS(BK181)</f>
        <v/>
      </c>
      <c r="BK181" s="34">
        <f>AY181-(J181-L181+N181-Q181)</f>
        <v/>
      </c>
      <c r="BL181" s="34">
        <f>IF(AND(BK181&gt;0,MIN($F181:$G181)&lt;150,$E181="Enerji Açığı"),-100*BK181*1.03,IF(AND(BK181&gt;0,MIN($F181:$G181)&lt;150,$E181="Enerji Fazlası"),-100*BK181*1.06,IF(AND(BK181&gt;0,MIN($F181:$G181)&gt;=150,$E181="Enerji Açığı"),BK181*MIN($F181:$G181)*0.97,IF(AND(BK181&gt;0,MIN($F181:$G181)&gt;=150,$E181="Enerji Fazlası"),BK181*MIN($F181:$G181)*0.94,IF(AND(BK181&lt;0,MAX($F181:$G181)=4500,$E181="Enerji Açığı"),4500*1.05*1.06*BK181,IF(AND(BK181&lt;0,MAX($F181:$G181)=4500,$E181="Enerji Fazlası"),4500*1.05*1.03*BK181,IF(AND(BK181&lt;0,$E181="Enerji Açığı"),MAX($F181,$G181,150)*BK181*1.06,IF(AND(BK181&lt;0,$E181="Enerji Fazlası"),MAX($F181,$G181,150)*BK181*1.03,IF(AND(BK181&lt;0,$E181="Dengede"),MAX($F181:$G181,150)*1.03*BK181,MIN($F181:$G181)*0.97*BK181)))))))))</f>
        <v/>
      </c>
      <c r="BM181" s="34">
        <f>BE181-BI181-BN181</f>
        <v/>
      </c>
      <c r="BN181" s="34">
        <f>BB181</f>
        <v/>
      </c>
      <c r="BO181" s="34">
        <f>BE181-BI181</f>
        <v/>
      </c>
      <c r="BP181" s="34">
        <f>IF(AY181=0,0,BO181/AY181)</f>
        <v/>
      </c>
      <c r="BQ181" s="34">
        <f>MAX((AY181+MAX((-J181+L181-N181+Q181),0)),(MAX((J181-L181+N181-Q181),0)))</f>
        <v/>
      </c>
      <c r="BR181" s="82">
        <f>IFERROR(ABS(BK181/BQ181),0)</f>
        <v/>
      </c>
      <c r="BS181" s="34">
        <f>IF(BR181&lt;=0.1,0,BK181/BR181*(BR181-0.1))</f>
        <v/>
      </c>
      <c r="BT181" s="34">
        <f>IF((BS181)&lt;0,MAX(F181:G181)*(BS181)*1.03,MIN(F181:G181)*(BS181)*0.97)</f>
        <v/>
      </c>
      <c r="BU181" s="34">
        <f>IF(BR181&gt;0.1,1,0)</f>
        <v/>
      </c>
      <c r="BV181" s="34">
        <f>BF181+BG181+BH181+BY181-CA181</f>
        <v/>
      </c>
      <c r="BW181" s="34">
        <f>ABS(BX181)</f>
        <v/>
      </c>
      <c r="BX181" s="34">
        <f>AY181-(J181-L181+N181-Q181+T181-X181)</f>
        <v/>
      </c>
      <c r="BY181" s="34">
        <f>IF(AND(BX181&gt;0,MIN($F181:$G181)&lt;150,$E181="Enerji Açığı"),-100*BX181*1.03,IF(AND(BX181&gt;0,MIN($F181:$G181)&lt;150,$E181="Enerji Fazlası"),-100*BX181*1.06,IF(AND(BX181&gt;0,MIN($F181:$G181)&gt;=150,$E181="Enerji Açığı"),BX181*MIN($F181:$G181)*0.97,IF(AND(BX181&gt;0,MIN($F181:$G181)&gt;=150,$E181="Enerji Fazlası"),BX181*MIN($F181:$G181)*0.94,IF(AND(BX181&lt;0,MAX($F181:$G181)=4500,$E181="Enerji Açığı"),4500*1.05*1.06*BX181,IF(AND(BX181&lt;0,MAX($F181:$G181)=4500,$E181="Enerji Fazlası"),4500*1.05*1.03*BX181,IF(AND(BX181&lt;0,$E181="Enerji Açığı"),MAX($F181,$G181,150)*BX181*1.06,IF(AND(BX181&lt;0,$E181="Enerji Fazlası"),MAX($F181,$G181,150)*BX181*1.03,IF(AND(BX181&lt;0,$E181="Dengede"),MAX($F181:$G181,150)*1.03*BX181,MIN($F181:$G181)*0.97*BX181)))))))))</f>
        <v/>
      </c>
      <c r="BZ181" s="34">
        <f>BE181-BV181-CA181</f>
        <v/>
      </c>
      <c r="CA181" s="34">
        <f>BD181</f>
        <v/>
      </c>
      <c r="CB181" s="33">
        <f>BE181-BV181</f>
        <v/>
      </c>
      <c r="CC181" s="34">
        <f>IF(AY181=0,0,CB181/AY181)</f>
        <v/>
      </c>
      <c r="CD181" s="34">
        <f>MAX((AY181+MAX((-J181+L181-N181+Q181-T181+X181),0)),(MAX((J181-L181+N181-Q181+T181-X181),0)))</f>
        <v/>
      </c>
      <c r="CE181" s="82">
        <f>IFERROR(ABS(BX181/CD181),0)</f>
        <v/>
      </c>
      <c r="CF181" s="34">
        <f>IF(CE181&lt;=0.1,0,BX181/CE181*(CE181-0.1))</f>
        <v/>
      </c>
      <c r="CG181" s="34">
        <f>IF((CF181)&lt;0,MAX(F181:G181)*(CF181)*1.03,MIN(F181:G181)*(CF181)*0.97)</f>
        <v/>
      </c>
      <c r="CH181" s="34">
        <f>IF(CE181&gt;0.1,1,0)</f>
        <v/>
      </c>
      <c r="CI181" s="34">
        <f>(F181*BX181)-BY181</f>
        <v/>
      </c>
      <c r="CJ181" s="34">
        <f>IF(AY181=0,0,CI181/AY181)</f>
        <v/>
      </c>
    </row>
    <row r="182">
      <c r="A182" s="29" t="n">
        <v>46211.45833333334</v>
      </c>
      <c r="B182" s="29" t="inlineStr">
        <is>
          <t>11:00</t>
        </is>
      </c>
      <c r="C182" s="35">
        <f>INT(A182)</f>
        <v/>
      </c>
      <c r="D182" s="36">
        <f>MONTH(A182)</f>
        <v/>
      </c>
      <c r="E182" s="147" t="inlineStr">
        <is>
          <t>Enerji Açığı</t>
        </is>
      </c>
      <c r="F182" s="30" t="n">
        <v>1799.97</v>
      </c>
      <c r="G182" s="30" t="n">
        <v>2500</v>
      </c>
      <c r="H182" s="30" t="n">
        <v>38.51</v>
      </c>
      <c r="I182" s="30" t="n">
        <v>2532.37</v>
      </c>
      <c r="J182" s="119" t="n">
        <v>0</v>
      </c>
      <c r="K182" s="34">
        <f>F182*J182</f>
        <v/>
      </c>
      <c r="L182" s="119" t="n">
        <v>0</v>
      </c>
      <c r="M182" s="34">
        <f>L182*F182</f>
        <v/>
      </c>
      <c r="N182" s="119" t="n">
        <v>24.3</v>
      </c>
      <c r="O182" s="34">
        <f>F182</f>
        <v/>
      </c>
      <c r="P182" s="34">
        <f>N182*O182</f>
        <v/>
      </c>
      <c r="Q182" s="117" t="n">
        <v>0</v>
      </c>
      <c r="R182" s="34">
        <f>F182</f>
        <v/>
      </c>
      <c r="S182" s="34">
        <f>R182*Q182</f>
        <v/>
      </c>
      <c r="T182" s="34" t="n"/>
      <c r="U182" s="34">
        <f>IFERROR(W182/T182,0)</f>
        <v/>
      </c>
      <c r="V182" s="34">
        <f>IF(U182=0,0,U182-F182)</f>
        <v/>
      </c>
      <c r="W182" s="34" t="n"/>
      <c r="X182" s="34" t="n"/>
      <c r="Y182" s="34">
        <f>IFERROR(AA182/X182,0)</f>
        <v/>
      </c>
      <c r="Z182" s="34">
        <f>IF(Y182=0,0,F182-Y182)</f>
        <v/>
      </c>
      <c r="AA182" s="34" t="n"/>
      <c r="AB182" s="34" t="n">
        <v>0</v>
      </c>
      <c r="AC182" s="34" t="n">
        <v>0</v>
      </c>
      <c r="AD182" s="34">
        <f>IF(AB182&gt;AC182*1.05,AB182-AC182*1.05,IF(AB182&lt;AC182*0.95,AC182*0.95-AB182,0))</f>
        <v/>
      </c>
      <c r="AE182" s="34">
        <f>MAX(F182,G182,750)*0.05*AD182</f>
        <v/>
      </c>
      <c r="AF182" s="34" t="n">
        <v>0</v>
      </c>
      <c r="AG182" s="34">
        <f>IF(AB182&gt;AF182*1.05,AB182-AF182*1.05,IF(AB182&lt;AF182*0.95,AF182*0.95-AB182,0))</f>
        <v/>
      </c>
      <c r="AH182" s="34">
        <f>MAX(I182,J182,750)*0.05*AG182</f>
        <v/>
      </c>
      <c r="AI182" t="n">
        <v>10.12</v>
      </c>
      <c r="AJ182" t="n">
        <v>10</v>
      </c>
      <c r="AK182" s="34">
        <f>IF(AI182&gt;AJ182*1.05,AI182-AJ182*1.05,IF(AI182&lt;AJ182*0.95,AJ182*0.95-AI182,0))</f>
        <v/>
      </c>
      <c r="AL182" s="34">
        <f>MAX(F182,G182,750)*0.05*AK182</f>
        <v/>
      </c>
      <c r="AM182" s="39" t="n">
        <v>10</v>
      </c>
      <c r="AN182" s="34">
        <f>IF(AI182&gt;AM182*1.05,AI182-AM182*1.05,IF(AI182&lt;AM182*0.95,AM182*0.95-AI182,0))</f>
        <v/>
      </c>
      <c r="AO182" s="34">
        <f>MAX(F182,G182,750)*0.05*AN182</f>
        <v/>
      </c>
      <c r="AP182" s="34" t="n">
        <v>14.49</v>
      </c>
      <c r="AQ182" s="34" t="n">
        <v>14.3</v>
      </c>
      <c r="AR182" s="34">
        <f>IF(AP182&gt;AQ182*1.05,AP182-AQ182*1.05,IF(AP182&lt;AQ182*0.95,AQ182*0.95-AP182,0))</f>
        <v/>
      </c>
      <c r="AS182" s="34">
        <f>MAX(F182:G182,750)*0.05*AR182</f>
        <v/>
      </c>
      <c r="AT182" t="n">
        <v>14.3</v>
      </c>
      <c r="AU182" s="34">
        <f>IF(AP182&gt;AT182*1.05,AP182-AT182*1.05,IF(AP182&lt;AT182*0.95,AT182*0.95-AP182,0))</f>
        <v/>
      </c>
      <c r="AV182" s="34">
        <f>MAX(F182:G182,750)*0.05*AU182</f>
        <v/>
      </c>
      <c r="AW182" s="34">
        <f>AC182+AJ182+AQ182</f>
        <v/>
      </c>
      <c r="AX182" s="34">
        <f>AF182+AM182+AT182</f>
        <v/>
      </c>
      <c r="AY182" s="34">
        <f>AB182+AI182+AP182</f>
        <v/>
      </c>
      <c r="AZ182" s="34" t="n">
        <v>0</v>
      </c>
      <c r="BA182" s="34">
        <f>AD182+AK182+AR182</f>
        <v/>
      </c>
      <c r="BB182" s="34">
        <f>MAX(F182:G182,750)*0.05*BA182</f>
        <v/>
      </c>
      <c r="BC182" s="34">
        <f>AG182+AN182+AU182</f>
        <v/>
      </c>
      <c r="BD182" s="34">
        <f>MAX(F182:G182,750)*0.05*BC182</f>
        <v/>
      </c>
      <c r="BE182" s="34">
        <f>F182*AY182</f>
        <v/>
      </c>
      <c r="BF182" s="34">
        <f>K182-M182</f>
        <v/>
      </c>
      <c r="BG182" s="34">
        <f>P182-S182</f>
        <v/>
      </c>
      <c r="BH182" s="34">
        <f>W182-AA182</f>
        <v/>
      </c>
      <c r="BI182" s="34">
        <f>BF182+BG182+BL182-BN182</f>
        <v/>
      </c>
      <c r="BJ182" s="34">
        <f>ABS(BK182)</f>
        <v/>
      </c>
      <c r="BK182" s="34">
        <f>AY182-(J182-L182+N182-Q182)</f>
        <v/>
      </c>
      <c r="BL182" s="34">
        <f>IF(AND(BK182&gt;0,MIN($F182:$G182)&lt;150,$E182="Enerji Açığı"),-100*BK182*1.03,IF(AND(BK182&gt;0,MIN($F182:$G182)&lt;150,$E182="Enerji Fazlası"),-100*BK182*1.06,IF(AND(BK182&gt;0,MIN($F182:$G182)&gt;=150,$E182="Enerji Açığı"),BK182*MIN($F182:$G182)*0.97,IF(AND(BK182&gt;0,MIN($F182:$G182)&gt;=150,$E182="Enerji Fazlası"),BK182*MIN($F182:$G182)*0.94,IF(AND(BK182&lt;0,MAX($F182:$G182)=4500,$E182="Enerji Açığı"),4500*1.05*1.06*BK182,IF(AND(BK182&lt;0,MAX($F182:$G182)=4500,$E182="Enerji Fazlası"),4500*1.05*1.03*BK182,IF(AND(BK182&lt;0,$E182="Enerji Açığı"),MAX($F182,$G182,150)*BK182*1.06,IF(AND(BK182&lt;0,$E182="Enerji Fazlası"),MAX($F182,$G182,150)*BK182*1.03,IF(AND(BK182&lt;0,$E182="Dengede"),MAX($F182:$G182,150)*1.03*BK182,MIN($F182:$G182)*0.97*BK182)))))))))</f>
        <v/>
      </c>
      <c r="BM182" s="34">
        <f>BE182-BI182-BN182</f>
        <v/>
      </c>
      <c r="BN182" s="34">
        <f>BB182</f>
        <v/>
      </c>
      <c r="BO182" s="34">
        <f>BE182-BI182</f>
        <v/>
      </c>
      <c r="BP182" s="34">
        <f>IF(AY182=0,0,BO182/AY182)</f>
        <v/>
      </c>
      <c r="BQ182" s="34">
        <f>MAX((AY182+MAX((-J182+L182-N182+Q182),0)),(MAX((J182-L182+N182-Q182),0)))</f>
        <v/>
      </c>
      <c r="BR182" s="82">
        <f>IFERROR(ABS(BK182/BQ182),0)</f>
        <v/>
      </c>
      <c r="BS182" s="34">
        <f>IF(BR182&lt;=0.1,0,BK182/BR182*(BR182-0.1))</f>
        <v/>
      </c>
      <c r="BT182" s="34">
        <f>IF((BS182)&lt;0,MAX(F182:G182)*(BS182)*1.03,MIN(F182:G182)*(BS182)*0.97)</f>
        <v/>
      </c>
      <c r="BU182" s="34">
        <f>IF(BR182&gt;0.1,1,0)</f>
        <v/>
      </c>
      <c r="BV182" s="34">
        <f>BF182+BG182+BH182+BY182-CA182</f>
        <v/>
      </c>
      <c r="BW182" s="34">
        <f>ABS(BX182)</f>
        <v/>
      </c>
      <c r="BX182" s="34">
        <f>AY182-(J182-L182+N182-Q182+T182-X182)</f>
        <v/>
      </c>
      <c r="BY182" s="34">
        <f>IF(AND(BX182&gt;0,MIN($F182:$G182)&lt;150,$E182="Enerji Açığı"),-100*BX182*1.03,IF(AND(BX182&gt;0,MIN($F182:$G182)&lt;150,$E182="Enerji Fazlası"),-100*BX182*1.06,IF(AND(BX182&gt;0,MIN($F182:$G182)&gt;=150,$E182="Enerji Açığı"),BX182*MIN($F182:$G182)*0.97,IF(AND(BX182&gt;0,MIN($F182:$G182)&gt;=150,$E182="Enerji Fazlası"),BX182*MIN($F182:$G182)*0.94,IF(AND(BX182&lt;0,MAX($F182:$G182)=4500,$E182="Enerji Açığı"),4500*1.05*1.06*BX182,IF(AND(BX182&lt;0,MAX($F182:$G182)=4500,$E182="Enerji Fazlası"),4500*1.05*1.03*BX182,IF(AND(BX182&lt;0,$E182="Enerji Açığı"),MAX($F182,$G182,150)*BX182*1.06,IF(AND(BX182&lt;0,$E182="Enerji Fazlası"),MAX($F182,$G182,150)*BX182*1.03,IF(AND(BX182&lt;0,$E182="Dengede"),MAX($F182:$G182,150)*1.03*BX182,MIN($F182:$G182)*0.97*BX182)))))))))</f>
        <v/>
      </c>
      <c r="BZ182" s="34">
        <f>BE182-BV182-CA182</f>
        <v/>
      </c>
      <c r="CA182" s="34">
        <f>BD182</f>
        <v/>
      </c>
      <c r="CB182" s="33">
        <f>BE182-BV182</f>
        <v/>
      </c>
      <c r="CC182" s="34">
        <f>IF(AY182=0,0,CB182/AY182)</f>
        <v/>
      </c>
      <c r="CD182" s="34">
        <f>MAX((AY182+MAX((-J182+L182-N182+Q182-T182+X182),0)),(MAX((J182-L182+N182-Q182+T182-X182),0)))</f>
        <v/>
      </c>
      <c r="CE182" s="82">
        <f>IFERROR(ABS(BX182/CD182),0)</f>
        <v/>
      </c>
      <c r="CF182" s="34">
        <f>IF(CE182&lt;=0.1,0,BX182/CE182*(CE182-0.1))</f>
        <v/>
      </c>
      <c r="CG182" s="34">
        <f>IF((CF182)&lt;0,MAX(F182:G182)*(CF182)*1.03,MIN(F182:G182)*(CF182)*0.97)</f>
        <v/>
      </c>
      <c r="CH182" s="34">
        <f>IF(CE182&gt;0.1,1,0)</f>
        <v/>
      </c>
      <c r="CI182" s="34">
        <f>(F182*BX182)-BY182</f>
        <v/>
      </c>
      <c r="CJ182" s="34">
        <f>IF(AY182=0,0,CI182/AY182)</f>
        <v/>
      </c>
    </row>
    <row r="183">
      <c r="A183" s="29" t="n">
        <v>46211.5</v>
      </c>
      <c r="B183" s="29" t="inlineStr">
        <is>
          <t>12:00</t>
        </is>
      </c>
      <c r="C183" s="35">
        <f>INT(A183)</f>
        <v/>
      </c>
      <c r="D183" s="36">
        <f>MONTH(A183)</f>
        <v/>
      </c>
      <c r="E183" s="147" t="inlineStr">
        <is>
          <t>Enerji Fazlası</t>
        </is>
      </c>
      <c r="F183" s="30" t="n">
        <v>998</v>
      </c>
      <c r="G183" s="30" t="n">
        <v>773</v>
      </c>
      <c r="H183" s="30" t="n">
        <v>21.35</v>
      </c>
      <c r="I183" s="30" t="n">
        <v>1279.84</v>
      </c>
      <c r="J183" s="119" t="n">
        <v>0</v>
      </c>
      <c r="K183" s="34">
        <f>F183*J183</f>
        <v/>
      </c>
      <c r="L183" s="119" t="n">
        <v>0</v>
      </c>
      <c r="M183" s="34">
        <f>L183*F183</f>
        <v/>
      </c>
      <c r="N183" s="119" t="n">
        <v>24.5</v>
      </c>
      <c r="O183" s="34">
        <f>F183</f>
        <v/>
      </c>
      <c r="P183" s="34">
        <f>N183*O183</f>
        <v/>
      </c>
      <c r="Q183" s="117" t="n">
        <v>0</v>
      </c>
      <c r="R183" s="34">
        <f>F183</f>
        <v/>
      </c>
      <c r="S183" s="34">
        <f>R183*Q183</f>
        <v/>
      </c>
      <c r="T183" s="34" t="n"/>
      <c r="U183" s="34">
        <f>IFERROR(W183/T183,0)</f>
        <v/>
      </c>
      <c r="V183" s="34">
        <f>IF(U183=0,0,U183-F183)</f>
        <v/>
      </c>
      <c r="W183" s="34" t="n"/>
      <c r="X183" s="34" t="n"/>
      <c r="Y183" s="34">
        <f>IFERROR(AA183/X183,0)</f>
        <v/>
      </c>
      <c r="Z183" s="34">
        <f>IF(Y183=0,0,F183-Y183)</f>
        <v/>
      </c>
      <c r="AA183" s="34" t="n"/>
      <c r="AB183" s="34" t="n">
        <v>0</v>
      </c>
      <c r="AC183" s="34" t="n">
        <v>0</v>
      </c>
      <c r="AD183" s="34">
        <f>IF(AB183&gt;AC183*1.05,AB183-AC183*1.05,IF(AB183&lt;AC183*0.95,AC183*0.95-AB183,0))</f>
        <v/>
      </c>
      <c r="AE183" s="34">
        <f>MAX(F183,G183,750)*0.05*AD183</f>
        <v/>
      </c>
      <c r="AF183" s="34" t="n">
        <v>0</v>
      </c>
      <c r="AG183" s="34">
        <f>IF(AB183&gt;AF183*1.05,AB183-AF183*1.05,IF(AB183&lt;AF183*0.95,AF183*0.95-AB183,0))</f>
        <v/>
      </c>
      <c r="AH183" s="34">
        <f>MAX(I183,J183,750)*0.05*AG183</f>
        <v/>
      </c>
      <c r="AI183" t="n">
        <v>10.12</v>
      </c>
      <c r="AJ183" t="n">
        <v>10</v>
      </c>
      <c r="AK183" s="34">
        <f>IF(AI183&gt;AJ183*1.05,AI183-AJ183*1.05,IF(AI183&lt;AJ183*0.95,AJ183*0.95-AI183,0))</f>
        <v/>
      </c>
      <c r="AL183" s="34">
        <f>MAX(F183,G183,750)*0.05*AK183</f>
        <v/>
      </c>
      <c r="AM183" s="39" t="n">
        <v>10</v>
      </c>
      <c r="AN183" s="34">
        <f>IF(AI183&gt;AM183*1.05,AI183-AM183*1.05,IF(AI183&lt;AM183*0.95,AM183*0.95-AI183,0))</f>
        <v/>
      </c>
      <c r="AO183" s="34">
        <f>MAX(F183,G183,750)*0.05*AN183</f>
        <v/>
      </c>
      <c r="AP183" s="34" t="n">
        <v>14.58</v>
      </c>
      <c r="AQ183" s="34" t="n">
        <v>14.5</v>
      </c>
      <c r="AR183" s="34">
        <f>IF(AP183&gt;AQ183*1.05,AP183-AQ183*1.05,IF(AP183&lt;AQ183*0.95,AQ183*0.95-AP183,0))</f>
        <v/>
      </c>
      <c r="AS183" s="34">
        <f>MAX(F183:G183,750)*0.05*AR183</f>
        <v/>
      </c>
      <c r="AT183" t="n">
        <v>14.5</v>
      </c>
      <c r="AU183" s="34">
        <f>IF(AP183&gt;AT183*1.05,AP183-AT183*1.05,IF(AP183&lt;AT183*0.95,AT183*0.95-AP183,0))</f>
        <v/>
      </c>
      <c r="AV183" s="34">
        <f>MAX(F183:G183,750)*0.05*AU183</f>
        <v/>
      </c>
      <c r="AW183" s="34">
        <f>AC183+AJ183+AQ183</f>
        <v/>
      </c>
      <c r="AX183" s="34">
        <f>AF183+AM183+AT183</f>
        <v/>
      </c>
      <c r="AY183" s="34">
        <f>AB183+AI183+AP183</f>
        <v/>
      </c>
      <c r="AZ183" s="34" t="n">
        <v>0</v>
      </c>
      <c r="BA183" s="34">
        <f>AD183+AK183+AR183</f>
        <v/>
      </c>
      <c r="BB183" s="34">
        <f>MAX(F183:G183,750)*0.05*BA183</f>
        <v/>
      </c>
      <c r="BC183" s="34">
        <f>AG183+AN183+AU183</f>
        <v/>
      </c>
      <c r="BD183" s="34">
        <f>MAX(F183:G183,750)*0.05*BC183</f>
        <v/>
      </c>
      <c r="BE183" s="34">
        <f>F183*AY183</f>
        <v/>
      </c>
      <c r="BF183" s="34">
        <f>K183-M183</f>
        <v/>
      </c>
      <c r="BG183" s="34">
        <f>P183-S183</f>
        <v/>
      </c>
      <c r="BH183" s="34">
        <f>W183-AA183</f>
        <v/>
      </c>
      <c r="BI183" s="34">
        <f>BF183+BG183+BL183-BN183</f>
        <v/>
      </c>
      <c r="BJ183" s="34">
        <f>ABS(BK183)</f>
        <v/>
      </c>
      <c r="BK183" s="34">
        <f>AY183-(J183-L183+N183-Q183)</f>
        <v/>
      </c>
      <c r="BL183" s="34">
        <f>IF(AND(BK183&gt;0,MIN($F183:$G183)&lt;150,$E183="Enerji Açığı"),-100*BK183*1.03,IF(AND(BK183&gt;0,MIN($F183:$G183)&lt;150,$E183="Enerji Fazlası"),-100*BK183*1.06,IF(AND(BK183&gt;0,MIN($F183:$G183)&gt;=150,$E183="Enerji Açığı"),BK183*MIN($F183:$G183)*0.97,IF(AND(BK183&gt;0,MIN($F183:$G183)&gt;=150,$E183="Enerji Fazlası"),BK183*MIN($F183:$G183)*0.94,IF(AND(BK183&lt;0,MAX($F183:$G183)=4500,$E183="Enerji Açığı"),4500*1.05*1.06*BK183,IF(AND(BK183&lt;0,MAX($F183:$G183)=4500,$E183="Enerji Fazlası"),4500*1.05*1.03*BK183,IF(AND(BK183&lt;0,$E183="Enerji Açığı"),MAX($F183,$G183,150)*BK183*1.06,IF(AND(BK183&lt;0,$E183="Enerji Fazlası"),MAX($F183,$G183,150)*BK183*1.03,IF(AND(BK183&lt;0,$E183="Dengede"),MAX($F183:$G183,150)*1.03*BK183,MIN($F183:$G183)*0.97*BK183)))))))))</f>
        <v/>
      </c>
      <c r="BM183" s="34">
        <f>BE183-BI183-BN183</f>
        <v/>
      </c>
      <c r="BN183" s="34">
        <f>BB183</f>
        <v/>
      </c>
      <c r="BO183" s="34">
        <f>BE183-BI183</f>
        <v/>
      </c>
      <c r="BP183" s="34">
        <f>IF(AY183=0,0,BO183/AY183)</f>
        <v/>
      </c>
      <c r="BQ183" s="34">
        <f>MAX((AY183+MAX((-J183+L183-N183+Q183),0)),(MAX((J183-L183+N183-Q183),0)))</f>
        <v/>
      </c>
      <c r="BR183" s="82">
        <f>IFERROR(ABS(BK183/BQ183),0)</f>
        <v/>
      </c>
      <c r="BS183" s="34">
        <f>IF(BR183&lt;=0.1,0,BK183/BR183*(BR183-0.1))</f>
        <v/>
      </c>
      <c r="BT183" s="34">
        <f>IF((BS183)&lt;0,MAX(F183:G183)*(BS183)*1.03,MIN(F183:G183)*(BS183)*0.97)</f>
        <v/>
      </c>
      <c r="BU183" s="34">
        <f>IF(BR183&gt;0.1,1,0)</f>
        <v/>
      </c>
      <c r="BV183" s="34">
        <f>BF183+BG183+BH183+BY183-CA183</f>
        <v/>
      </c>
      <c r="BW183" s="34">
        <f>ABS(BX183)</f>
        <v/>
      </c>
      <c r="BX183" s="34">
        <f>AY183-(J183-L183+N183-Q183+T183-X183)</f>
        <v/>
      </c>
      <c r="BY183" s="34">
        <f>IF(AND(BX183&gt;0,MIN($F183:$G183)&lt;150,$E183="Enerji Açığı"),-100*BX183*1.03,IF(AND(BX183&gt;0,MIN($F183:$G183)&lt;150,$E183="Enerji Fazlası"),-100*BX183*1.06,IF(AND(BX183&gt;0,MIN($F183:$G183)&gt;=150,$E183="Enerji Açığı"),BX183*MIN($F183:$G183)*0.97,IF(AND(BX183&gt;0,MIN($F183:$G183)&gt;=150,$E183="Enerji Fazlası"),BX183*MIN($F183:$G183)*0.94,IF(AND(BX183&lt;0,MAX($F183:$G183)=4500,$E183="Enerji Açığı"),4500*1.05*1.06*BX183,IF(AND(BX183&lt;0,MAX($F183:$G183)=4500,$E183="Enerji Fazlası"),4500*1.05*1.03*BX183,IF(AND(BX183&lt;0,$E183="Enerji Açığı"),MAX($F183,$G183,150)*BX183*1.06,IF(AND(BX183&lt;0,$E183="Enerji Fazlası"),MAX($F183,$G183,150)*BX183*1.03,IF(AND(BX183&lt;0,$E183="Dengede"),MAX($F183:$G183,150)*1.03*BX183,MIN($F183:$G183)*0.97*BX183)))))))))</f>
        <v/>
      </c>
      <c r="BZ183" s="34">
        <f>BE183-BV183-CA183</f>
        <v/>
      </c>
      <c r="CA183" s="34">
        <f>BD183</f>
        <v/>
      </c>
      <c r="CB183" s="33">
        <f>BE183-BV183</f>
        <v/>
      </c>
      <c r="CC183" s="34">
        <f>IF(AY183=0,0,CB183/AY183)</f>
        <v/>
      </c>
      <c r="CD183" s="34">
        <f>MAX((AY183+MAX((-J183+L183-N183+Q183-T183+X183),0)),(MAX((J183-L183+N183-Q183+T183-X183),0)))</f>
        <v/>
      </c>
      <c r="CE183" s="82">
        <f>IFERROR(ABS(BX183/CD183),0)</f>
        <v/>
      </c>
      <c r="CF183" s="34">
        <f>IF(CE183&lt;=0.1,0,BX183/CE183*(CE183-0.1))</f>
        <v/>
      </c>
      <c r="CG183" s="34">
        <f>IF((CF183)&lt;0,MAX(F183:G183)*(CF183)*1.03,MIN(F183:G183)*(CF183)*0.97)</f>
        <v/>
      </c>
      <c r="CH183" s="34">
        <f>IF(CE183&gt;0.1,1,0)</f>
        <v/>
      </c>
      <c r="CI183" s="34">
        <f>(F183*BX183)-BY183</f>
        <v/>
      </c>
      <c r="CJ183" s="34">
        <f>IF(AY183=0,0,CI183/AY183)</f>
        <v/>
      </c>
    </row>
    <row r="184">
      <c r="A184" s="29" t="n">
        <v>46211.54166666666</v>
      </c>
      <c r="B184" s="29" t="inlineStr">
        <is>
          <t>13:00</t>
        </is>
      </c>
      <c r="C184" s="35">
        <f>INT(A184)</f>
        <v/>
      </c>
      <c r="D184" s="36">
        <f>MONTH(A184)</f>
        <v/>
      </c>
      <c r="E184" s="147" t="inlineStr">
        <is>
          <t>Enerji Açığı</t>
        </is>
      </c>
      <c r="F184" s="30" t="n">
        <v>1799.97</v>
      </c>
      <c r="G184" s="30" t="n">
        <v>2500.01</v>
      </c>
      <c r="H184" s="30" t="n">
        <v>38.51</v>
      </c>
      <c r="I184" s="30" t="n">
        <v>2170.68</v>
      </c>
      <c r="J184" s="119" t="n">
        <v>0</v>
      </c>
      <c r="K184" s="34">
        <f>F184*J184</f>
        <v/>
      </c>
      <c r="L184" s="119" t="n">
        <v>0</v>
      </c>
      <c r="M184" s="34">
        <f>L184*F184</f>
        <v/>
      </c>
      <c r="N184" s="119" t="n">
        <v>24.5</v>
      </c>
      <c r="O184" s="34">
        <f>F184</f>
        <v/>
      </c>
      <c r="P184" s="34">
        <f>N184*O184</f>
        <v/>
      </c>
      <c r="Q184" s="117" t="n">
        <v>0</v>
      </c>
      <c r="R184" s="34">
        <f>F184</f>
        <v/>
      </c>
      <c r="S184" s="34">
        <f>R184*Q184</f>
        <v/>
      </c>
      <c r="T184" s="34" t="n"/>
      <c r="U184" s="34">
        <f>IFERROR(W184/T184,0)</f>
        <v/>
      </c>
      <c r="V184" s="34">
        <f>IF(U184=0,0,U184-F184)</f>
        <v/>
      </c>
      <c r="W184" s="34" t="n"/>
      <c r="X184" s="34" t="n"/>
      <c r="Y184" s="34">
        <f>IFERROR(AA184/X184,0)</f>
        <v/>
      </c>
      <c r="Z184" s="34">
        <f>IF(Y184=0,0,F184-Y184)</f>
        <v/>
      </c>
      <c r="AA184" s="34" t="n"/>
      <c r="AB184" s="34" t="n">
        <v>0</v>
      </c>
      <c r="AC184" s="34" t="n">
        <v>0</v>
      </c>
      <c r="AD184" s="34">
        <f>IF(AB184&gt;AC184*1.05,AB184-AC184*1.05,IF(AB184&lt;AC184*0.95,AC184*0.95-AB184,0))</f>
        <v/>
      </c>
      <c r="AE184" s="34">
        <f>MAX(F184,G184,750)*0.05*AD184</f>
        <v/>
      </c>
      <c r="AF184" s="34" t="n">
        <v>0</v>
      </c>
      <c r="AG184" s="34">
        <f>IF(AB184&gt;AF184*1.05,AB184-AF184*1.05,IF(AB184&lt;AF184*0.95,AF184*0.95-AB184,0))</f>
        <v/>
      </c>
      <c r="AH184" s="34">
        <f>MAX(I184,J184,750)*0.05*AG184</f>
        <v/>
      </c>
      <c r="AI184" t="n">
        <v>10.07</v>
      </c>
      <c r="AJ184" t="n">
        <v>10</v>
      </c>
      <c r="AK184" s="34">
        <f>IF(AI184&gt;AJ184*1.05,AI184-AJ184*1.05,IF(AI184&lt;AJ184*0.95,AJ184*0.95-AI184,0))</f>
        <v/>
      </c>
      <c r="AL184" s="34">
        <f>MAX(F184,G184,750)*0.05*AK184</f>
        <v/>
      </c>
      <c r="AM184" s="39" t="n">
        <v>10</v>
      </c>
      <c r="AN184" s="34">
        <f>IF(AI184&gt;AM184*1.05,AI184-AM184*1.05,IF(AI184&lt;AM184*0.95,AM184*0.95-AI184,0))</f>
        <v/>
      </c>
      <c r="AO184" s="34">
        <f>MAX(F184,G184,750)*0.05*AN184</f>
        <v/>
      </c>
      <c r="AP184" s="34" t="n">
        <v>14.55</v>
      </c>
      <c r="AQ184" s="34" t="n">
        <v>14.5</v>
      </c>
      <c r="AR184" s="34">
        <f>IF(AP184&gt;AQ184*1.05,AP184-AQ184*1.05,IF(AP184&lt;AQ184*0.95,AQ184*0.95-AP184,0))</f>
        <v/>
      </c>
      <c r="AS184" s="34">
        <f>MAX(F184:G184,750)*0.05*AR184</f>
        <v/>
      </c>
      <c r="AT184" t="n">
        <v>14.5</v>
      </c>
      <c r="AU184" s="34">
        <f>IF(AP184&gt;AT184*1.05,AP184-AT184*1.05,IF(AP184&lt;AT184*0.95,AT184*0.95-AP184,0))</f>
        <v/>
      </c>
      <c r="AV184" s="34">
        <f>MAX(F184:G184,750)*0.05*AU184</f>
        <v/>
      </c>
      <c r="AW184" s="34">
        <f>AC184+AJ184+AQ184</f>
        <v/>
      </c>
      <c r="AX184" s="34">
        <f>AF184+AM184+AT184</f>
        <v/>
      </c>
      <c r="AY184" s="34">
        <f>AB184+AI184+AP184</f>
        <v/>
      </c>
      <c r="AZ184" s="34" t="n">
        <v>0</v>
      </c>
      <c r="BA184" s="34">
        <f>AD184+AK184+AR184</f>
        <v/>
      </c>
      <c r="BB184" s="34">
        <f>MAX(F184:G184,750)*0.05*BA184</f>
        <v/>
      </c>
      <c r="BC184" s="34">
        <f>AG184+AN184+AU184</f>
        <v/>
      </c>
      <c r="BD184" s="34">
        <f>MAX(F184:G184,750)*0.05*BC184</f>
        <v/>
      </c>
      <c r="BE184" s="34">
        <f>F184*AY184</f>
        <v/>
      </c>
      <c r="BF184" s="34">
        <f>K184-M184</f>
        <v/>
      </c>
      <c r="BG184" s="34">
        <f>P184-S184</f>
        <v/>
      </c>
      <c r="BH184" s="34">
        <f>W184-AA184</f>
        <v/>
      </c>
      <c r="BI184" s="34">
        <f>BF184+BG184+BL184-BN184</f>
        <v/>
      </c>
      <c r="BJ184" s="34">
        <f>ABS(BK184)</f>
        <v/>
      </c>
      <c r="BK184" s="34">
        <f>AY184-(J184-L184+N184-Q184)</f>
        <v/>
      </c>
      <c r="BL184" s="34">
        <f>IF(AND(BK184&gt;0,MIN($F184:$G184)&lt;150,$E184="Enerji Açığı"),-100*BK184*1.03,IF(AND(BK184&gt;0,MIN($F184:$G184)&lt;150,$E184="Enerji Fazlası"),-100*BK184*1.06,IF(AND(BK184&gt;0,MIN($F184:$G184)&gt;=150,$E184="Enerji Açığı"),BK184*MIN($F184:$G184)*0.97,IF(AND(BK184&gt;0,MIN($F184:$G184)&gt;=150,$E184="Enerji Fazlası"),BK184*MIN($F184:$G184)*0.94,IF(AND(BK184&lt;0,MAX($F184:$G184)=4500,$E184="Enerji Açığı"),4500*1.05*1.06*BK184,IF(AND(BK184&lt;0,MAX($F184:$G184)=4500,$E184="Enerji Fazlası"),4500*1.05*1.03*BK184,IF(AND(BK184&lt;0,$E184="Enerji Açığı"),MAX($F184,$G184,150)*BK184*1.06,IF(AND(BK184&lt;0,$E184="Enerji Fazlası"),MAX($F184,$G184,150)*BK184*1.03,IF(AND(BK184&lt;0,$E184="Dengede"),MAX($F184:$G184,150)*1.03*BK184,MIN($F184:$G184)*0.97*BK184)))))))))</f>
        <v/>
      </c>
      <c r="BM184" s="34">
        <f>BE184-BI184-BN184</f>
        <v/>
      </c>
      <c r="BN184" s="34">
        <f>BB184</f>
        <v/>
      </c>
      <c r="BO184" s="34">
        <f>BE184-BI184</f>
        <v/>
      </c>
      <c r="BP184" s="34">
        <f>IF(AY184=0,0,BO184/AY184)</f>
        <v/>
      </c>
      <c r="BQ184" s="34">
        <f>MAX((AY184+MAX((-J184+L184-N184+Q184),0)),(MAX((J184-L184+N184-Q184),0)))</f>
        <v/>
      </c>
      <c r="BR184" s="82">
        <f>IFERROR(ABS(BK184/BQ184),0)</f>
        <v/>
      </c>
      <c r="BS184" s="34">
        <f>IF(BR184&lt;=0.1,0,BK184/BR184*(BR184-0.1))</f>
        <v/>
      </c>
      <c r="BT184" s="34">
        <f>IF((BS184)&lt;0,MAX(F184:G184)*(BS184)*1.03,MIN(F184:G184)*(BS184)*0.97)</f>
        <v/>
      </c>
      <c r="BU184" s="34">
        <f>IF(BR184&gt;0.1,1,0)</f>
        <v/>
      </c>
      <c r="BV184" s="34">
        <f>BF184+BG184+BH184+BY184-CA184</f>
        <v/>
      </c>
      <c r="BW184" s="34">
        <f>ABS(BX184)</f>
        <v/>
      </c>
      <c r="BX184" s="34">
        <f>AY184-(J184-L184+N184-Q184+T184-X184)</f>
        <v/>
      </c>
      <c r="BY184" s="34">
        <f>IF(AND(BX184&gt;0,MIN($F184:$G184)&lt;150,$E184="Enerji Açığı"),-100*BX184*1.03,IF(AND(BX184&gt;0,MIN($F184:$G184)&lt;150,$E184="Enerji Fazlası"),-100*BX184*1.06,IF(AND(BX184&gt;0,MIN($F184:$G184)&gt;=150,$E184="Enerji Açığı"),BX184*MIN($F184:$G184)*0.97,IF(AND(BX184&gt;0,MIN($F184:$G184)&gt;=150,$E184="Enerji Fazlası"),BX184*MIN($F184:$G184)*0.94,IF(AND(BX184&lt;0,MAX($F184:$G184)=4500,$E184="Enerji Açığı"),4500*1.05*1.06*BX184,IF(AND(BX184&lt;0,MAX($F184:$G184)=4500,$E184="Enerji Fazlası"),4500*1.05*1.03*BX184,IF(AND(BX184&lt;0,$E184="Enerji Açığı"),MAX($F184,$G184,150)*BX184*1.06,IF(AND(BX184&lt;0,$E184="Enerji Fazlası"),MAX($F184,$G184,150)*BX184*1.03,IF(AND(BX184&lt;0,$E184="Dengede"),MAX($F184:$G184,150)*1.03*BX184,MIN($F184:$G184)*0.97*BX184)))))))))</f>
        <v/>
      </c>
      <c r="BZ184" s="34">
        <f>BE184-BV184-CA184</f>
        <v/>
      </c>
      <c r="CA184" s="34">
        <f>BD184</f>
        <v/>
      </c>
      <c r="CB184" s="33">
        <f>BE184-BV184</f>
        <v/>
      </c>
      <c r="CC184" s="34">
        <f>IF(AY184=0,0,CB184/AY184)</f>
        <v/>
      </c>
      <c r="CD184" s="34">
        <f>MAX((AY184+MAX((-J184+L184-N184+Q184-T184+X184),0)),(MAX((J184-L184+N184-Q184+T184-X184),0)))</f>
        <v/>
      </c>
      <c r="CE184" s="82">
        <f>IFERROR(ABS(BX184/CD184),0)</f>
        <v/>
      </c>
      <c r="CF184" s="34">
        <f>IF(CE184&lt;=0.1,0,BX184/CE184*(CE184-0.1))</f>
        <v/>
      </c>
      <c r="CG184" s="34">
        <f>IF((CF184)&lt;0,MAX(F184:G184)*(CF184)*1.03,MIN(F184:G184)*(CF184)*0.97)</f>
        <v/>
      </c>
      <c r="CH184" s="34">
        <f>IF(CE184&gt;0.1,1,0)</f>
        <v/>
      </c>
      <c r="CI184" s="34">
        <f>(F184*BX184)-BY184</f>
        <v/>
      </c>
      <c r="CJ184" s="34">
        <f>IF(AY184=0,0,CI184/AY184)</f>
        <v/>
      </c>
    </row>
    <row r="185">
      <c r="A185" s="29" t="n">
        <v>46211.58333333334</v>
      </c>
      <c r="B185" s="29" t="inlineStr">
        <is>
          <t>14:00</t>
        </is>
      </c>
      <c r="C185" s="35">
        <f>INT(A185)</f>
        <v/>
      </c>
      <c r="D185" s="36">
        <f>MONTH(A185)</f>
        <v/>
      </c>
      <c r="E185" s="147" t="inlineStr">
        <is>
          <t>Enerji Açığı</t>
        </is>
      </c>
      <c r="F185" s="30" t="n">
        <v>2116.41</v>
      </c>
      <c r="G185" s="30" t="n">
        <v>4000</v>
      </c>
      <c r="H185" s="30" t="n">
        <v>45.28</v>
      </c>
      <c r="I185" s="30" t="n">
        <v>2370.69</v>
      </c>
      <c r="J185" s="119" t="n">
        <v>0</v>
      </c>
      <c r="K185" s="34">
        <f>F185*J185</f>
        <v/>
      </c>
      <c r="L185" s="119" t="n">
        <v>0</v>
      </c>
      <c r="M185" s="34">
        <f>L185*F185</f>
        <v/>
      </c>
      <c r="N185" s="119" t="n">
        <v>24.5</v>
      </c>
      <c r="O185" s="34">
        <f>F185</f>
        <v/>
      </c>
      <c r="P185" s="34">
        <f>N185*O185</f>
        <v/>
      </c>
      <c r="Q185" s="117" t="n">
        <v>0</v>
      </c>
      <c r="R185" s="34">
        <f>F185</f>
        <v/>
      </c>
      <c r="S185" s="34">
        <f>R185*Q185</f>
        <v/>
      </c>
      <c r="T185" s="34" t="n"/>
      <c r="U185" s="34">
        <f>IFERROR(W185/T185,0)</f>
        <v/>
      </c>
      <c r="V185" s="34">
        <f>IF(U185=0,0,U185-F185)</f>
        <v/>
      </c>
      <c r="W185" s="34" t="n"/>
      <c r="X185" s="34" t="n"/>
      <c r="Y185" s="34">
        <f>IFERROR(AA185/X185,0)</f>
        <v/>
      </c>
      <c r="Z185" s="34">
        <f>IF(Y185=0,0,F185-Y185)</f>
        <v/>
      </c>
      <c r="AA185" s="34" t="n"/>
      <c r="AB185" s="34" t="n">
        <v>0</v>
      </c>
      <c r="AC185" s="34" t="n">
        <v>0</v>
      </c>
      <c r="AD185" s="34">
        <f>IF(AB185&gt;AC185*1.05,AB185-AC185*1.05,IF(AB185&lt;AC185*0.95,AC185*0.95-AB185,0))</f>
        <v/>
      </c>
      <c r="AE185" s="34">
        <f>MAX(F185,G185,750)*0.05*AD185</f>
        <v/>
      </c>
      <c r="AF185" s="34" t="n">
        <v>0</v>
      </c>
      <c r="AG185" s="34">
        <f>IF(AB185&gt;AF185*1.05,AB185-AF185*1.05,IF(AB185&lt;AF185*0.95,AF185*0.95-AB185,0))</f>
        <v/>
      </c>
      <c r="AH185" s="34">
        <f>MAX(I185,J185,750)*0.05*AG185</f>
        <v/>
      </c>
      <c r="AI185" t="n">
        <v>10.01</v>
      </c>
      <c r="AJ185" t="n">
        <v>10</v>
      </c>
      <c r="AK185" s="34">
        <f>IF(AI185&gt;AJ185*1.05,AI185-AJ185*1.05,IF(AI185&lt;AJ185*0.95,AJ185*0.95-AI185,0))</f>
        <v/>
      </c>
      <c r="AL185" s="34">
        <f>MAX(F185,G185,750)*0.05*AK185</f>
        <v/>
      </c>
      <c r="AM185" s="39" t="n">
        <v>10</v>
      </c>
      <c r="AN185" s="34">
        <f>IF(AI185&gt;AM185*1.05,AI185-AM185*1.05,IF(AI185&lt;AM185*0.95,AM185*0.95-AI185,0))</f>
        <v/>
      </c>
      <c r="AO185" s="34">
        <f>MAX(F185,G185,750)*0.05*AN185</f>
        <v/>
      </c>
      <c r="AP185" s="34" t="n">
        <v>14.4</v>
      </c>
      <c r="AQ185" s="34" t="n">
        <v>14.5</v>
      </c>
      <c r="AR185" s="34">
        <f>IF(AP185&gt;AQ185*1.05,AP185-AQ185*1.05,IF(AP185&lt;AQ185*0.95,AQ185*0.95-AP185,0))</f>
        <v/>
      </c>
      <c r="AS185" s="34">
        <f>MAX(F185:G185,750)*0.05*AR185</f>
        <v/>
      </c>
      <c r="AT185" t="n">
        <v>14.5</v>
      </c>
      <c r="AU185" s="34">
        <f>IF(AP185&gt;AT185*1.05,AP185-AT185*1.05,IF(AP185&lt;AT185*0.95,AT185*0.95-AP185,0))</f>
        <v/>
      </c>
      <c r="AV185" s="34">
        <f>MAX(F185:G185,750)*0.05*AU185</f>
        <v/>
      </c>
      <c r="AW185" s="34">
        <f>AC185+AJ185+AQ185</f>
        <v/>
      </c>
      <c r="AX185" s="34">
        <f>AF185+AM185+AT185</f>
        <v/>
      </c>
      <c r="AY185" s="34">
        <f>AB185+AI185+AP185</f>
        <v/>
      </c>
      <c r="AZ185" s="34" t="n">
        <v>0</v>
      </c>
      <c r="BA185" s="34">
        <f>AD185+AK185+AR185</f>
        <v/>
      </c>
      <c r="BB185" s="34">
        <f>MAX(F185:G185,750)*0.05*BA185</f>
        <v/>
      </c>
      <c r="BC185" s="34">
        <f>AG185+AN185+AU185</f>
        <v/>
      </c>
      <c r="BD185" s="34">
        <f>MAX(F185:G185,750)*0.05*BC185</f>
        <v/>
      </c>
      <c r="BE185" s="34">
        <f>F185*AY185</f>
        <v/>
      </c>
      <c r="BF185" s="34">
        <f>K185-M185</f>
        <v/>
      </c>
      <c r="BG185" s="34">
        <f>P185-S185</f>
        <v/>
      </c>
      <c r="BH185" s="34">
        <f>W185-AA185</f>
        <v/>
      </c>
      <c r="BI185" s="34">
        <f>BF185+BG185+BL185-BN185</f>
        <v/>
      </c>
      <c r="BJ185" s="34">
        <f>ABS(BK185)</f>
        <v/>
      </c>
      <c r="BK185" s="34">
        <f>AY185-(J185-L185+N185-Q185)</f>
        <v/>
      </c>
      <c r="BL185" s="34">
        <f>IF(AND(BK185&gt;0,MIN($F185:$G185)&lt;150,$E185="Enerji Açığı"),-100*BK185*1.03,IF(AND(BK185&gt;0,MIN($F185:$G185)&lt;150,$E185="Enerji Fazlası"),-100*BK185*1.06,IF(AND(BK185&gt;0,MIN($F185:$G185)&gt;=150,$E185="Enerji Açığı"),BK185*MIN($F185:$G185)*0.97,IF(AND(BK185&gt;0,MIN($F185:$G185)&gt;=150,$E185="Enerji Fazlası"),BK185*MIN($F185:$G185)*0.94,IF(AND(BK185&lt;0,MAX($F185:$G185)=4500,$E185="Enerji Açığı"),4500*1.05*1.06*BK185,IF(AND(BK185&lt;0,MAX($F185:$G185)=4500,$E185="Enerji Fazlası"),4500*1.05*1.03*BK185,IF(AND(BK185&lt;0,$E185="Enerji Açığı"),MAX($F185,$G185,150)*BK185*1.06,IF(AND(BK185&lt;0,$E185="Enerji Fazlası"),MAX($F185,$G185,150)*BK185*1.03,IF(AND(BK185&lt;0,$E185="Dengede"),MAX($F185:$G185,150)*1.03*BK185,MIN($F185:$G185)*0.97*BK185)))))))))</f>
        <v/>
      </c>
      <c r="BM185" s="34">
        <f>BE185-BI185-BN185</f>
        <v/>
      </c>
      <c r="BN185" s="34">
        <f>BB185</f>
        <v/>
      </c>
      <c r="BO185" s="34">
        <f>BE185-BI185</f>
        <v/>
      </c>
      <c r="BP185" s="34">
        <f>IF(AY185=0,0,BO185/AY185)</f>
        <v/>
      </c>
      <c r="BQ185" s="34">
        <f>MAX((AY185+MAX((-J185+L185-N185+Q185),0)),(MAX((J185-L185+N185-Q185),0)))</f>
        <v/>
      </c>
      <c r="BR185" s="82">
        <f>IFERROR(ABS(BK185/BQ185),0)</f>
        <v/>
      </c>
      <c r="BS185" s="34">
        <f>IF(BR185&lt;=0.1,0,BK185/BR185*(BR185-0.1))</f>
        <v/>
      </c>
      <c r="BT185" s="34">
        <f>IF((BS185)&lt;0,MAX(F185:G185)*(BS185)*1.03,MIN(F185:G185)*(BS185)*0.97)</f>
        <v/>
      </c>
      <c r="BU185" s="34">
        <f>IF(BR185&gt;0.1,1,0)</f>
        <v/>
      </c>
      <c r="BV185" s="34">
        <f>BF185+BG185+BH185+BY185-CA185</f>
        <v/>
      </c>
      <c r="BW185" s="34">
        <f>ABS(BX185)</f>
        <v/>
      </c>
      <c r="BX185" s="34">
        <f>AY185-(J185-L185+N185-Q185+T185-X185)</f>
        <v/>
      </c>
      <c r="BY185" s="34">
        <f>IF(AND(BX185&gt;0,MIN($F185:$G185)&lt;150,$E185="Enerji Açığı"),-100*BX185*1.03,IF(AND(BX185&gt;0,MIN($F185:$G185)&lt;150,$E185="Enerji Fazlası"),-100*BX185*1.06,IF(AND(BX185&gt;0,MIN($F185:$G185)&gt;=150,$E185="Enerji Açığı"),BX185*MIN($F185:$G185)*0.97,IF(AND(BX185&gt;0,MIN($F185:$G185)&gt;=150,$E185="Enerji Fazlası"),BX185*MIN($F185:$G185)*0.94,IF(AND(BX185&lt;0,MAX($F185:$G185)=4500,$E185="Enerji Açığı"),4500*1.05*1.06*BX185,IF(AND(BX185&lt;0,MAX($F185:$G185)=4500,$E185="Enerji Fazlası"),4500*1.05*1.03*BX185,IF(AND(BX185&lt;0,$E185="Enerji Açığı"),MAX($F185,$G185,150)*BX185*1.06,IF(AND(BX185&lt;0,$E185="Enerji Fazlası"),MAX($F185,$G185,150)*BX185*1.03,IF(AND(BX185&lt;0,$E185="Dengede"),MAX($F185:$G185,150)*1.03*BX185,MIN($F185:$G185)*0.97*BX185)))))))))</f>
        <v/>
      </c>
      <c r="BZ185" s="34">
        <f>BE185-BV185-CA185</f>
        <v/>
      </c>
      <c r="CA185" s="34">
        <f>BD185</f>
        <v/>
      </c>
      <c r="CB185" s="33">
        <f>BE185-BV185</f>
        <v/>
      </c>
      <c r="CC185" s="34">
        <f>IF(AY185=0,0,CB185/AY185)</f>
        <v/>
      </c>
      <c r="CD185" s="34">
        <f>MAX((AY185+MAX((-J185+L185-N185+Q185-T185+X185),0)),(MAX((J185-L185+N185-Q185+T185-X185),0)))</f>
        <v/>
      </c>
      <c r="CE185" s="82">
        <f>IFERROR(ABS(BX185/CD185),0)</f>
        <v/>
      </c>
      <c r="CF185" s="34">
        <f>IF(CE185&lt;=0.1,0,BX185/CE185*(CE185-0.1))</f>
        <v/>
      </c>
      <c r="CG185" s="34">
        <f>IF((CF185)&lt;0,MAX(F185:G185)*(CF185)*1.03,MIN(F185:G185)*(CF185)*0.97)</f>
        <v/>
      </c>
      <c r="CH185" s="34">
        <f>IF(CE185&gt;0.1,1,0)</f>
        <v/>
      </c>
      <c r="CI185" s="34">
        <f>(F185*BX185)-BY185</f>
        <v/>
      </c>
      <c r="CJ185" s="34">
        <f>IF(AY185=0,0,CI185/AY185)</f>
        <v/>
      </c>
    </row>
    <row r="186">
      <c r="A186" s="29" t="n">
        <v>46211.625</v>
      </c>
      <c r="B186" s="29" t="inlineStr">
        <is>
          <t>15:00</t>
        </is>
      </c>
      <c r="C186" s="35">
        <f>INT(A186)</f>
        <v/>
      </c>
      <c r="D186" s="36">
        <f>MONTH(A186)</f>
        <v/>
      </c>
      <c r="E186" s="147" t="inlineStr">
        <is>
          <t>Enerji Açığı</t>
        </is>
      </c>
      <c r="F186" s="30" t="n">
        <v>2500</v>
      </c>
      <c r="G186" s="30" t="n">
        <v>3500</v>
      </c>
      <c r="H186" s="30" t="n">
        <v>53.49</v>
      </c>
      <c r="I186" s="30" t="n">
        <v>2733.81</v>
      </c>
      <c r="J186" s="119" t="n">
        <v>0</v>
      </c>
      <c r="K186" s="34">
        <f>F186*J186</f>
        <v/>
      </c>
      <c r="L186" s="119" t="n">
        <v>0</v>
      </c>
      <c r="M186" s="34">
        <f>L186*F186</f>
        <v/>
      </c>
      <c r="N186" s="119" t="n">
        <v>24.3</v>
      </c>
      <c r="O186" s="34">
        <f>F186</f>
        <v/>
      </c>
      <c r="P186" s="34">
        <f>N186*O186</f>
        <v/>
      </c>
      <c r="Q186" s="117" t="n">
        <v>0</v>
      </c>
      <c r="R186" s="34">
        <f>F186</f>
        <v/>
      </c>
      <c r="S186" s="34">
        <f>R186*Q186</f>
        <v/>
      </c>
      <c r="T186" s="34" t="n"/>
      <c r="U186" s="34">
        <f>IFERROR(W186/T186,0)</f>
        <v/>
      </c>
      <c r="V186" s="34">
        <f>IF(U186=0,0,U186-F186)</f>
        <v/>
      </c>
      <c r="W186" s="34" t="n"/>
      <c r="X186" s="34" t="n"/>
      <c r="Y186" s="34">
        <f>IFERROR(AA186/X186,0)</f>
        <v/>
      </c>
      <c r="Z186" s="34">
        <f>IF(Y186=0,0,F186-Y186)</f>
        <v/>
      </c>
      <c r="AA186" s="34" t="n"/>
      <c r="AB186" s="34" t="n">
        <v>0</v>
      </c>
      <c r="AC186" s="34" t="n">
        <v>0</v>
      </c>
      <c r="AD186" s="34">
        <f>IF(AB186&gt;AC186*1.05,AB186-AC186*1.05,IF(AB186&lt;AC186*0.95,AC186*0.95-AB186,0))</f>
        <v/>
      </c>
      <c r="AE186" s="34">
        <f>MAX(F186,G186,750)*0.05*AD186</f>
        <v/>
      </c>
      <c r="AF186" s="34" t="n">
        <v>0</v>
      </c>
      <c r="AG186" s="34">
        <f>IF(AB186&gt;AF186*1.05,AB186-AF186*1.05,IF(AB186&lt;AF186*0.95,AF186*0.95-AB186,0))</f>
        <v/>
      </c>
      <c r="AH186" s="34">
        <f>MAX(I186,J186,750)*0.05*AG186</f>
        <v/>
      </c>
      <c r="AI186" t="n">
        <v>9.9</v>
      </c>
      <c r="AJ186" t="n">
        <v>10</v>
      </c>
      <c r="AK186" s="34">
        <f>IF(AI186&gt;AJ186*1.05,AI186-AJ186*1.05,IF(AI186&lt;AJ186*0.95,AJ186*0.95-AI186,0))</f>
        <v/>
      </c>
      <c r="AL186" s="34">
        <f>MAX(F186,G186,750)*0.05*AK186</f>
        <v/>
      </c>
      <c r="AM186" s="39" t="n">
        <v>10</v>
      </c>
      <c r="AN186" s="34">
        <f>IF(AI186&gt;AM186*1.05,AI186-AM186*1.05,IF(AI186&lt;AM186*0.95,AM186*0.95-AI186,0))</f>
        <v/>
      </c>
      <c r="AO186" s="34">
        <f>MAX(F186,G186,750)*0.05*AN186</f>
        <v/>
      </c>
      <c r="AP186" s="34" t="n">
        <v>14.27</v>
      </c>
      <c r="AQ186" s="34" t="n">
        <v>14.3</v>
      </c>
      <c r="AR186" s="34">
        <f>IF(AP186&gt;AQ186*1.05,AP186-AQ186*1.05,IF(AP186&lt;AQ186*0.95,AQ186*0.95-AP186,0))</f>
        <v/>
      </c>
      <c r="AS186" s="34">
        <f>MAX(F186:G186,750)*0.05*AR186</f>
        <v/>
      </c>
      <c r="AT186" t="n">
        <v>14.3</v>
      </c>
      <c r="AU186" s="34">
        <f>IF(AP186&gt;AT186*1.05,AP186-AT186*1.05,IF(AP186&lt;AT186*0.95,AT186*0.95-AP186,0))</f>
        <v/>
      </c>
      <c r="AV186" s="34">
        <f>MAX(F186:G186,750)*0.05*AU186</f>
        <v/>
      </c>
      <c r="AW186" s="34">
        <f>AC186+AJ186+AQ186</f>
        <v/>
      </c>
      <c r="AX186" s="34">
        <f>AF186+AM186+AT186</f>
        <v/>
      </c>
      <c r="AY186" s="34">
        <f>AB186+AI186+AP186</f>
        <v/>
      </c>
      <c r="AZ186" s="34" t="n">
        <v>0</v>
      </c>
      <c r="BA186" s="34">
        <f>AD186+AK186+AR186</f>
        <v/>
      </c>
      <c r="BB186" s="34">
        <f>MAX(F186:G186,750)*0.05*BA186</f>
        <v/>
      </c>
      <c r="BC186" s="34">
        <f>AG186+AN186+AU186</f>
        <v/>
      </c>
      <c r="BD186" s="34">
        <f>MAX(F186:G186,750)*0.05*BC186</f>
        <v/>
      </c>
      <c r="BE186" s="34">
        <f>F186*AY186</f>
        <v/>
      </c>
      <c r="BF186" s="34">
        <f>K186-M186</f>
        <v/>
      </c>
      <c r="BG186" s="34">
        <f>P186-S186</f>
        <v/>
      </c>
      <c r="BH186" s="34">
        <f>W186-AA186</f>
        <v/>
      </c>
      <c r="BI186" s="34">
        <f>BF186+BG186+BL186-BN186</f>
        <v/>
      </c>
      <c r="BJ186" s="34">
        <f>ABS(BK186)</f>
        <v/>
      </c>
      <c r="BK186" s="34">
        <f>AY186-(J186-L186+N186-Q186)</f>
        <v/>
      </c>
      <c r="BL186" s="34">
        <f>IF(AND(BK186&gt;0,MIN($F186:$G186)&lt;150,$E186="Enerji Açığı"),-100*BK186*1.03,IF(AND(BK186&gt;0,MIN($F186:$G186)&lt;150,$E186="Enerji Fazlası"),-100*BK186*1.06,IF(AND(BK186&gt;0,MIN($F186:$G186)&gt;=150,$E186="Enerji Açığı"),BK186*MIN($F186:$G186)*0.97,IF(AND(BK186&gt;0,MIN($F186:$G186)&gt;=150,$E186="Enerji Fazlası"),BK186*MIN($F186:$G186)*0.94,IF(AND(BK186&lt;0,MAX($F186:$G186)=4500,$E186="Enerji Açığı"),4500*1.05*1.06*BK186,IF(AND(BK186&lt;0,MAX($F186:$G186)=4500,$E186="Enerji Fazlası"),4500*1.05*1.03*BK186,IF(AND(BK186&lt;0,$E186="Enerji Açığı"),MAX($F186,$G186,150)*BK186*1.06,IF(AND(BK186&lt;0,$E186="Enerji Fazlası"),MAX($F186,$G186,150)*BK186*1.03,IF(AND(BK186&lt;0,$E186="Dengede"),MAX($F186:$G186,150)*1.03*BK186,MIN($F186:$G186)*0.97*BK186)))))))))</f>
        <v/>
      </c>
      <c r="BM186" s="34">
        <f>BE186-BI186-BN186</f>
        <v/>
      </c>
      <c r="BN186" s="34">
        <f>BB186</f>
        <v/>
      </c>
      <c r="BO186" s="34">
        <f>BE186-BI186</f>
        <v/>
      </c>
      <c r="BP186" s="34">
        <f>IF(AY186=0,0,BO186/AY186)</f>
        <v/>
      </c>
      <c r="BQ186" s="34">
        <f>MAX((AY186+MAX((-J186+L186-N186+Q186),0)),(MAX((J186-L186+N186-Q186),0)))</f>
        <v/>
      </c>
      <c r="BR186" s="82">
        <f>IFERROR(ABS(BK186/BQ186),0)</f>
        <v/>
      </c>
      <c r="BS186" s="34">
        <f>IF(BR186&lt;=0.1,0,BK186/BR186*(BR186-0.1))</f>
        <v/>
      </c>
      <c r="BT186" s="34">
        <f>IF((BS186)&lt;0,MAX(F186:G186)*(BS186)*1.03,MIN(F186:G186)*(BS186)*0.97)</f>
        <v/>
      </c>
      <c r="BU186" s="34">
        <f>IF(BR186&gt;0.1,1,0)</f>
        <v/>
      </c>
      <c r="BV186" s="34">
        <f>BF186+BG186+BH186+BY186-CA186</f>
        <v/>
      </c>
      <c r="BW186" s="34">
        <f>ABS(BX186)</f>
        <v/>
      </c>
      <c r="BX186" s="34">
        <f>AY186-(J186-L186+N186-Q186+T186-X186)</f>
        <v/>
      </c>
      <c r="BY186" s="34">
        <f>IF(AND(BX186&gt;0,MIN($F186:$G186)&lt;150,$E186="Enerji Açığı"),-100*BX186*1.03,IF(AND(BX186&gt;0,MIN($F186:$G186)&lt;150,$E186="Enerji Fazlası"),-100*BX186*1.06,IF(AND(BX186&gt;0,MIN($F186:$G186)&gt;=150,$E186="Enerji Açığı"),BX186*MIN($F186:$G186)*0.97,IF(AND(BX186&gt;0,MIN($F186:$G186)&gt;=150,$E186="Enerji Fazlası"),BX186*MIN($F186:$G186)*0.94,IF(AND(BX186&lt;0,MAX($F186:$G186)=4500,$E186="Enerji Açığı"),4500*1.05*1.06*BX186,IF(AND(BX186&lt;0,MAX($F186:$G186)=4500,$E186="Enerji Fazlası"),4500*1.05*1.03*BX186,IF(AND(BX186&lt;0,$E186="Enerji Açığı"),MAX($F186,$G186,150)*BX186*1.06,IF(AND(BX186&lt;0,$E186="Enerji Fazlası"),MAX($F186,$G186,150)*BX186*1.03,IF(AND(BX186&lt;0,$E186="Dengede"),MAX($F186:$G186,150)*1.03*BX186,MIN($F186:$G186)*0.97*BX186)))))))))</f>
        <v/>
      </c>
      <c r="BZ186" s="34">
        <f>BE186-BV186-CA186</f>
        <v/>
      </c>
      <c r="CA186" s="34">
        <f>BD186</f>
        <v/>
      </c>
      <c r="CB186" s="33">
        <f>BE186-BV186</f>
        <v/>
      </c>
      <c r="CC186" s="34">
        <f>IF(AY186=0,0,CB186/AY186)</f>
        <v/>
      </c>
      <c r="CD186" s="34">
        <f>MAX((AY186+MAX((-J186+L186-N186+Q186-T186+X186),0)),(MAX((J186-L186+N186-Q186+T186-X186),0)))</f>
        <v/>
      </c>
      <c r="CE186" s="82">
        <f>IFERROR(ABS(BX186/CD186),0)</f>
        <v/>
      </c>
      <c r="CF186" s="34">
        <f>IF(CE186&lt;=0.1,0,BX186/CE186*(CE186-0.1))</f>
        <v/>
      </c>
      <c r="CG186" s="34">
        <f>IF((CF186)&lt;0,MAX(F186:G186)*(CF186)*1.03,MIN(F186:G186)*(CF186)*0.97)</f>
        <v/>
      </c>
      <c r="CH186" s="34">
        <f>IF(CE186&gt;0.1,1,0)</f>
        <v/>
      </c>
      <c r="CI186" s="34">
        <f>(F186*BX186)-BY186</f>
        <v/>
      </c>
      <c r="CJ186" s="34">
        <f>IF(AY186=0,0,CI186/AY186)</f>
        <v/>
      </c>
    </row>
    <row r="187">
      <c r="A187" s="29" t="n">
        <v>46211.66666666666</v>
      </c>
      <c r="B187" s="29" t="inlineStr">
        <is>
          <t>16:00</t>
        </is>
      </c>
      <c r="C187" s="35">
        <f>INT(A187)</f>
        <v/>
      </c>
      <c r="D187" s="36">
        <f>MONTH(A187)</f>
        <v/>
      </c>
      <c r="E187" s="147" t="inlineStr">
        <is>
          <t>Enerji Açığı</t>
        </is>
      </c>
      <c r="F187" s="30" t="n">
        <v>3400.01</v>
      </c>
      <c r="G187" s="30" t="n">
        <v>3750</v>
      </c>
      <c r="H187" s="30" t="n">
        <v>72.75</v>
      </c>
      <c r="I187" s="30" t="n">
        <v>3453.94</v>
      </c>
      <c r="J187" s="119" t="n">
        <v>0</v>
      </c>
      <c r="K187" s="34">
        <f>F187*J187</f>
        <v/>
      </c>
      <c r="L187" s="119" t="n">
        <v>0</v>
      </c>
      <c r="M187" s="34">
        <f>L187*F187</f>
        <v/>
      </c>
      <c r="N187" s="119" t="n">
        <v>24</v>
      </c>
      <c r="O187" s="34">
        <f>F187</f>
        <v/>
      </c>
      <c r="P187" s="34">
        <f>N187*O187</f>
        <v/>
      </c>
      <c r="Q187" s="117" t="n">
        <v>0</v>
      </c>
      <c r="R187" s="34">
        <f>F187</f>
        <v/>
      </c>
      <c r="S187" s="34">
        <f>R187*Q187</f>
        <v/>
      </c>
      <c r="T187" s="34" t="n"/>
      <c r="U187" s="34">
        <f>IFERROR(W187/T187,0)</f>
        <v/>
      </c>
      <c r="V187" s="34">
        <f>IF(U187=0,0,U187-F187)</f>
        <v/>
      </c>
      <c r="W187" s="34" t="n"/>
      <c r="X187" s="34" t="n"/>
      <c r="Y187" s="34">
        <f>IFERROR(AA187/X187,0)</f>
        <v/>
      </c>
      <c r="Z187" s="34">
        <f>IF(Y187=0,0,F187-Y187)</f>
        <v/>
      </c>
      <c r="AA187" s="34" t="n"/>
      <c r="AB187" s="34" t="n">
        <v>0</v>
      </c>
      <c r="AC187" s="34" t="n">
        <v>0</v>
      </c>
      <c r="AD187" s="34">
        <f>IF(AB187&gt;AC187*1.05,AB187-AC187*1.05,IF(AB187&lt;AC187*0.95,AC187*0.95-AB187,0))</f>
        <v/>
      </c>
      <c r="AE187" s="34">
        <f>MAX(F187,G187,750)*0.05*AD187</f>
        <v/>
      </c>
      <c r="AF187" s="34" t="n">
        <v>0</v>
      </c>
      <c r="AG187" s="34">
        <f>IF(AB187&gt;AF187*1.05,AB187-AF187*1.05,IF(AB187&lt;AF187*0.95,AF187*0.95-AB187,0))</f>
        <v/>
      </c>
      <c r="AH187" s="34">
        <f>MAX(I187,J187,750)*0.05*AG187</f>
        <v/>
      </c>
      <c r="AI187" t="n">
        <v>8.4</v>
      </c>
      <c r="AJ187" t="n">
        <v>10</v>
      </c>
      <c r="AK187" s="34">
        <f>IF(AI187&gt;AJ187*1.05,AI187-AJ187*1.05,IF(AI187&lt;AJ187*0.95,AJ187*0.95-AI187,0))</f>
        <v/>
      </c>
      <c r="AL187" s="34">
        <f>MAX(F187,G187,750)*0.05*AK187</f>
        <v/>
      </c>
      <c r="AM187" s="39" t="n">
        <v>10</v>
      </c>
      <c r="AN187" s="34">
        <f>IF(AI187&gt;AM187*1.05,AI187-AM187*1.05,IF(AI187&lt;AM187*0.95,AM187*0.95-AI187,0))</f>
        <v/>
      </c>
      <c r="AO187" s="34">
        <f>MAX(F187,G187,750)*0.05*AN187</f>
        <v/>
      </c>
      <c r="AP187" s="34" t="n">
        <v>14.61</v>
      </c>
      <c r="AQ187" s="34" t="n">
        <v>14</v>
      </c>
      <c r="AR187" s="34">
        <f>IF(AP187&gt;AQ187*1.05,AP187-AQ187*1.05,IF(AP187&lt;AQ187*0.95,AQ187*0.95-AP187,0))</f>
        <v/>
      </c>
      <c r="AS187" s="34">
        <f>MAX(F187:G187,750)*0.05*AR187</f>
        <v/>
      </c>
      <c r="AT187" t="n">
        <v>14</v>
      </c>
      <c r="AU187" s="34">
        <f>IF(AP187&gt;AT187*1.05,AP187-AT187*1.05,IF(AP187&lt;AT187*0.95,AT187*0.95-AP187,0))</f>
        <v/>
      </c>
      <c r="AV187" s="34">
        <f>MAX(F187:G187,750)*0.05*AU187</f>
        <v/>
      </c>
      <c r="AW187" s="34">
        <f>AC187+AJ187+AQ187</f>
        <v/>
      </c>
      <c r="AX187" s="34">
        <f>AF187+AM187+AT187</f>
        <v/>
      </c>
      <c r="AY187" s="34">
        <f>AB187+AI187+AP187</f>
        <v/>
      </c>
      <c r="AZ187" s="34" t="n">
        <v>0</v>
      </c>
      <c r="BA187" s="34">
        <f>AD187+AK187+AR187</f>
        <v/>
      </c>
      <c r="BB187" s="34">
        <f>MAX(F187:G187,750)*0.05*BA187</f>
        <v/>
      </c>
      <c r="BC187" s="34">
        <f>AG187+AN187+AU187</f>
        <v/>
      </c>
      <c r="BD187" s="34">
        <f>MAX(F187:G187,750)*0.05*BC187</f>
        <v/>
      </c>
      <c r="BE187" s="34">
        <f>F187*AY187</f>
        <v/>
      </c>
      <c r="BF187" s="34">
        <f>K187-M187</f>
        <v/>
      </c>
      <c r="BG187" s="34">
        <f>P187-S187</f>
        <v/>
      </c>
      <c r="BH187" s="34">
        <f>W187-AA187</f>
        <v/>
      </c>
      <c r="BI187" s="34">
        <f>BF187+BG187+BL187-BN187</f>
        <v/>
      </c>
      <c r="BJ187" s="34">
        <f>ABS(BK187)</f>
        <v/>
      </c>
      <c r="BK187" s="34">
        <f>AY187-(J187-L187+N187-Q187)</f>
        <v/>
      </c>
      <c r="BL187" s="34">
        <f>IF(AND(BK187&gt;0,MIN($F187:$G187)&lt;150,$E187="Enerji Açığı"),-100*BK187*1.03,IF(AND(BK187&gt;0,MIN($F187:$G187)&lt;150,$E187="Enerji Fazlası"),-100*BK187*1.06,IF(AND(BK187&gt;0,MIN($F187:$G187)&gt;=150,$E187="Enerji Açığı"),BK187*MIN($F187:$G187)*0.97,IF(AND(BK187&gt;0,MIN($F187:$G187)&gt;=150,$E187="Enerji Fazlası"),BK187*MIN($F187:$G187)*0.94,IF(AND(BK187&lt;0,MAX($F187:$G187)=4500,$E187="Enerji Açığı"),4500*1.05*1.06*BK187,IF(AND(BK187&lt;0,MAX($F187:$G187)=4500,$E187="Enerji Fazlası"),4500*1.05*1.03*BK187,IF(AND(BK187&lt;0,$E187="Enerji Açığı"),MAX($F187,$G187,150)*BK187*1.06,IF(AND(BK187&lt;0,$E187="Enerji Fazlası"),MAX($F187,$G187,150)*BK187*1.03,IF(AND(BK187&lt;0,$E187="Dengede"),MAX($F187:$G187,150)*1.03*BK187,MIN($F187:$G187)*0.97*BK187)))))))))</f>
        <v/>
      </c>
      <c r="BM187" s="34">
        <f>BE187-BI187-BN187</f>
        <v/>
      </c>
      <c r="BN187" s="34">
        <f>BB187</f>
        <v/>
      </c>
      <c r="BO187" s="34">
        <f>BE187-BI187</f>
        <v/>
      </c>
      <c r="BP187" s="34">
        <f>IF(AY187=0,0,BO187/AY187)</f>
        <v/>
      </c>
      <c r="BQ187" s="34">
        <f>MAX((AY187+MAX((-J187+L187-N187+Q187),0)),(MAX((J187-L187+N187-Q187),0)))</f>
        <v/>
      </c>
      <c r="BR187" s="82">
        <f>IFERROR(ABS(BK187/BQ187),0)</f>
        <v/>
      </c>
      <c r="BS187" s="34">
        <f>IF(BR187&lt;=0.1,0,BK187/BR187*(BR187-0.1))</f>
        <v/>
      </c>
      <c r="BT187" s="34">
        <f>IF((BS187)&lt;0,MAX(F187:G187)*(BS187)*1.03,MIN(F187:G187)*(BS187)*0.97)</f>
        <v/>
      </c>
      <c r="BU187" s="34">
        <f>IF(BR187&gt;0.1,1,0)</f>
        <v/>
      </c>
      <c r="BV187" s="34">
        <f>BF187+BG187+BH187+BY187-CA187</f>
        <v/>
      </c>
      <c r="BW187" s="34">
        <f>ABS(BX187)</f>
        <v/>
      </c>
      <c r="BX187" s="34">
        <f>AY187-(J187-L187+N187-Q187+T187-X187)</f>
        <v/>
      </c>
      <c r="BY187" s="34">
        <f>IF(AND(BX187&gt;0,MIN($F187:$G187)&lt;150,$E187="Enerji Açığı"),-100*BX187*1.03,IF(AND(BX187&gt;0,MIN($F187:$G187)&lt;150,$E187="Enerji Fazlası"),-100*BX187*1.06,IF(AND(BX187&gt;0,MIN($F187:$G187)&gt;=150,$E187="Enerji Açığı"),BX187*MIN($F187:$G187)*0.97,IF(AND(BX187&gt;0,MIN($F187:$G187)&gt;=150,$E187="Enerji Fazlası"),BX187*MIN($F187:$G187)*0.94,IF(AND(BX187&lt;0,MAX($F187:$G187)=4500,$E187="Enerji Açığı"),4500*1.05*1.06*BX187,IF(AND(BX187&lt;0,MAX($F187:$G187)=4500,$E187="Enerji Fazlası"),4500*1.05*1.03*BX187,IF(AND(BX187&lt;0,$E187="Enerji Açığı"),MAX($F187,$G187,150)*BX187*1.06,IF(AND(BX187&lt;0,$E187="Enerji Fazlası"),MAX($F187,$G187,150)*BX187*1.03,IF(AND(BX187&lt;0,$E187="Dengede"),MAX($F187:$G187,150)*1.03*BX187,MIN($F187:$G187)*0.97*BX187)))))))))</f>
        <v/>
      </c>
      <c r="BZ187" s="34">
        <f>BE187-BV187-CA187</f>
        <v/>
      </c>
      <c r="CA187" s="34">
        <f>BD187</f>
        <v/>
      </c>
      <c r="CB187" s="33">
        <f>BE187-BV187</f>
        <v/>
      </c>
      <c r="CC187" s="34">
        <f>IF(AY187=0,0,CB187/AY187)</f>
        <v/>
      </c>
      <c r="CD187" s="34">
        <f>MAX((AY187+MAX((-J187+L187-N187+Q187-T187+X187),0)),(MAX((J187-L187+N187-Q187+T187-X187),0)))</f>
        <v/>
      </c>
      <c r="CE187" s="82">
        <f>IFERROR(ABS(BX187/CD187),0)</f>
        <v/>
      </c>
      <c r="CF187" s="34">
        <f>IF(CE187&lt;=0.1,0,BX187/CE187*(CE187-0.1))</f>
        <v/>
      </c>
      <c r="CG187" s="34">
        <f>IF((CF187)&lt;0,MAX(F187:G187)*(CF187)*1.03,MIN(F187:G187)*(CF187)*0.97)</f>
        <v/>
      </c>
      <c r="CH187" s="34">
        <f>IF(CE187&gt;0.1,1,0)</f>
        <v/>
      </c>
      <c r="CI187" s="34">
        <f>(F187*BX187)-BY187</f>
        <v/>
      </c>
      <c r="CJ187" s="34">
        <f>IF(AY187=0,0,CI187/AY187)</f>
        <v/>
      </c>
    </row>
    <row r="188">
      <c r="A188" s="29" t="n">
        <v>46211.70833333334</v>
      </c>
      <c r="B188" s="29" t="inlineStr">
        <is>
          <t>17:00</t>
        </is>
      </c>
      <c r="C188" s="35">
        <f>INT(A188)</f>
        <v/>
      </c>
      <c r="D188" s="36">
        <f>MONTH(A188)</f>
        <v/>
      </c>
      <c r="E188" s="147" t="inlineStr">
        <is>
          <t>Enerji Açığı</t>
        </is>
      </c>
      <c r="F188" s="30" t="n">
        <v>3449.99</v>
      </c>
      <c r="G188" s="30" t="n">
        <v>4457</v>
      </c>
      <c r="H188" s="30" t="n">
        <v>73.81999999999999</v>
      </c>
      <c r="I188" s="30" t="n">
        <v>3588.58</v>
      </c>
      <c r="J188" s="119" t="n">
        <v>0</v>
      </c>
      <c r="K188" s="34">
        <f>F188*J188</f>
        <v/>
      </c>
      <c r="L188" s="119" t="n">
        <v>0</v>
      </c>
      <c r="M188" s="34">
        <f>L188*F188</f>
        <v/>
      </c>
      <c r="N188" s="119" t="n">
        <v>23.5</v>
      </c>
      <c r="O188" s="34">
        <f>F188</f>
        <v/>
      </c>
      <c r="P188" s="34">
        <f>N188*O188</f>
        <v/>
      </c>
      <c r="Q188" s="117" t="n">
        <v>0</v>
      </c>
      <c r="R188" s="34">
        <f>F188</f>
        <v/>
      </c>
      <c r="S188" s="34">
        <f>R188*Q188</f>
        <v/>
      </c>
      <c r="T188" s="34" t="n"/>
      <c r="U188" s="34">
        <f>IFERROR(W188/T188,0)</f>
        <v/>
      </c>
      <c r="V188" s="34">
        <f>IF(U188=0,0,U188-F188)</f>
        <v/>
      </c>
      <c r="W188" s="34" t="n"/>
      <c r="X188" s="34" t="n"/>
      <c r="Y188" s="34">
        <f>IFERROR(AA188/X188,0)</f>
        <v/>
      </c>
      <c r="Z188" s="34">
        <f>IF(Y188=0,0,F188-Y188)</f>
        <v/>
      </c>
      <c r="AA188" s="34" t="n"/>
      <c r="AB188" s="34" t="n">
        <v>0</v>
      </c>
      <c r="AC188" s="34" t="n">
        <v>0</v>
      </c>
      <c r="AD188" s="34">
        <f>IF(AB188&gt;AC188*1.05,AB188-AC188*1.05,IF(AB188&lt;AC188*0.95,AC188*0.95-AB188,0))</f>
        <v/>
      </c>
      <c r="AE188" s="34">
        <f>MAX(F188,G188,750)*0.05*AD188</f>
        <v/>
      </c>
      <c r="AF188" s="34" t="n">
        <v>0</v>
      </c>
      <c r="AG188" s="34">
        <f>IF(AB188&gt;AF188*1.05,AB188-AF188*1.05,IF(AB188&lt;AF188*0.95,AF188*0.95-AB188,0))</f>
        <v/>
      </c>
      <c r="AH188" s="34">
        <f>MAX(I188,J188,750)*0.05*AG188</f>
        <v/>
      </c>
      <c r="AI188" t="n">
        <v>7.98</v>
      </c>
      <c r="AJ188" t="n">
        <v>10</v>
      </c>
      <c r="AK188" s="34">
        <f>IF(AI188&gt;AJ188*1.05,AI188-AJ188*1.05,IF(AI188&lt;AJ188*0.95,AJ188*0.95-AI188,0))</f>
        <v/>
      </c>
      <c r="AL188" s="34">
        <f>MAX(F188,G188,750)*0.05*AK188</f>
        <v/>
      </c>
      <c r="AM188" s="39" t="n">
        <v>8</v>
      </c>
      <c r="AN188" s="34">
        <f>IF(AI188&gt;AM188*1.05,AI188-AM188*1.05,IF(AI188&lt;AM188*0.95,AM188*0.95-AI188,0))</f>
        <v/>
      </c>
      <c r="AO188" s="34">
        <f>MAX(F188,G188,750)*0.05*AN188</f>
        <v/>
      </c>
      <c r="AP188" s="34" t="n">
        <v>12.08</v>
      </c>
      <c r="AQ188" s="34" t="n">
        <v>13.5</v>
      </c>
      <c r="AR188" s="34">
        <f>IF(AP188&gt;AQ188*1.05,AP188-AQ188*1.05,IF(AP188&lt;AQ188*0.95,AQ188*0.95-AP188,0))</f>
        <v/>
      </c>
      <c r="AS188" s="34">
        <f>MAX(F188:G188,750)*0.05*AR188</f>
        <v/>
      </c>
      <c r="AT188" t="n">
        <v>11.5</v>
      </c>
      <c r="AU188" s="34">
        <f>IF(AP188&gt;AT188*1.05,AP188-AT188*1.05,IF(AP188&lt;AT188*0.95,AT188*0.95-AP188,0))</f>
        <v/>
      </c>
      <c r="AV188" s="34">
        <f>MAX(F188:G188,750)*0.05*AU188</f>
        <v/>
      </c>
      <c r="AW188" s="34">
        <f>AC188+AJ188+AQ188</f>
        <v/>
      </c>
      <c r="AX188" s="34">
        <f>AF188+AM188+AT188</f>
        <v/>
      </c>
      <c r="AY188" s="34">
        <f>AB188+AI188+AP188</f>
        <v/>
      </c>
      <c r="AZ188" s="34" t="n">
        <v>0</v>
      </c>
      <c r="BA188" s="34">
        <f>AD188+AK188+AR188</f>
        <v/>
      </c>
      <c r="BB188" s="34">
        <f>MAX(F188:G188,750)*0.05*BA188</f>
        <v/>
      </c>
      <c r="BC188" s="34">
        <f>AG188+AN188+AU188</f>
        <v/>
      </c>
      <c r="BD188" s="34">
        <f>MAX(F188:G188,750)*0.05*BC188</f>
        <v/>
      </c>
      <c r="BE188" s="34">
        <f>F188*AY188</f>
        <v/>
      </c>
      <c r="BF188" s="34">
        <f>K188-M188</f>
        <v/>
      </c>
      <c r="BG188" s="34">
        <f>P188-S188</f>
        <v/>
      </c>
      <c r="BH188" s="34">
        <f>W188-AA188</f>
        <v/>
      </c>
      <c r="BI188" s="34">
        <f>BF188+BG188+BL188-BN188</f>
        <v/>
      </c>
      <c r="BJ188" s="34">
        <f>ABS(BK188)</f>
        <v/>
      </c>
      <c r="BK188" s="34">
        <f>AY188-(J188-L188+N188-Q188)</f>
        <v/>
      </c>
      <c r="BL188" s="34">
        <f>IF(AND(BK188&gt;0,MIN($F188:$G188)&lt;150,$E188="Enerji Açığı"),-100*BK188*1.03,IF(AND(BK188&gt;0,MIN($F188:$G188)&lt;150,$E188="Enerji Fazlası"),-100*BK188*1.06,IF(AND(BK188&gt;0,MIN($F188:$G188)&gt;=150,$E188="Enerji Açığı"),BK188*MIN($F188:$G188)*0.97,IF(AND(BK188&gt;0,MIN($F188:$G188)&gt;=150,$E188="Enerji Fazlası"),BK188*MIN($F188:$G188)*0.94,IF(AND(BK188&lt;0,MAX($F188:$G188)=4500,$E188="Enerji Açığı"),4500*1.05*1.06*BK188,IF(AND(BK188&lt;0,MAX($F188:$G188)=4500,$E188="Enerji Fazlası"),4500*1.05*1.03*BK188,IF(AND(BK188&lt;0,$E188="Enerji Açığı"),MAX($F188,$G188,150)*BK188*1.06,IF(AND(BK188&lt;0,$E188="Enerji Fazlası"),MAX($F188,$G188,150)*BK188*1.03,IF(AND(BK188&lt;0,$E188="Dengede"),MAX($F188:$G188,150)*1.03*BK188,MIN($F188:$G188)*0.97*BK188)))))))))</f>
        <v/>
      </c>
      <c r="BM188" s="34">
        <f>BE188-BI188-BN188</f>
        <v/>
      </c>
      <c r="BN188" s="34">
        <f>BB188</f>
        <v/>
      </c>
      <c r="BO188" s="34">
        <f>BE188-BI188</f>
        <v/>
      </c>
      <c r="BP188" s="34">
        <f>IF(AY188=0,0,BO188/AY188)</f>
        <v/>
      </c>
      <c r="BQ188" s="34">
        <f>MAX((AY188+MAX((-J188+L188-N188+Q188),0)),(MAX((J188-L188+N188-Q188),0)))</f>
        <v/>
      </c>
      <c r="BR188" s="82">
        <f>IFERROR(ABS(BK188/BQ188),0)</f>
        <v/>
      </c>
      <c r="BS188" s="34">
        <f>IF(BR188&lt;=0.1,0,BK188/BR188*(BR188-0.1))</f>
        <v/>
      </c>
      <c r="BT188" s="34">
        <f>IF((BS188)&lt;0,MAX(F188:G188)*(BS188)*1.03,MIN(F188:G188)*(BS188)*0.97)</f>
        <v/>
      </c>
      <c r="BU188" s="34">
        <f>IF(BR188&gt;0.1,1,0)</f>
        <v/>
      </c>
      <c r="BV188" s="34">
        <f>BF188+BG188+BH188+BY188-CA188</f>
        <v/>
      </c>
      <c r="BW188" s="34">
        <f>ABS(BX188)</f>
        <v/>
      </c>
      <c r="BX188" s="34">
        <f>AY188-(J188-L188+N188-Q188+T188-X188)</f>
        <v/>
      </c>
      <c r="BY188" s="34">
        <f>IF(AND(BX188&gt;0,MIN($F188:$G188)&lt;150,$E188="Enerji Açığı"),-100*BX188*1.03,IF(AND(BX188&gt;0,MIN($F188:$G188)&lt;150,$E188="Enerji Fazlası"),-100*BX188*1.06,IF(AND(BX188&gt;0,MIN($F188:$G188)&gt;=150,$E188="Enerji Açığı"),BX188*MIN($F188:$G188)*0.97,IF(AND(BX188&gt;0,MIN($F188:$G188)&gt;=150,$E188="Enerji Fazlası"),BX188*MIN($F188:$G188)*0.94,IF(AND(BX188&lt;0,MAX($F188:$G188)=4500,$E188="Enerji Açığı"),4500*1.05*1.06*BX188,IF(AND(BX188&lt;0,MAX($F188:$G188)=4500,$E188="Enerji Fazlası"),4500*1.05*1.03*BX188,IF(AND(BX188&lt;0,$E188="Enerji Açığı"),MAX($F188,$G188,150)*BX188*1.06,IF(AND(BX188&lt;0,$E188="Enerji Fazlası"),MAX($F188,$G188,150)*BX188*1.03,IF(AND(BX188&lt;0,$E188="Dengede"),MAX($F188:$G188,150)*1.03*BX188,MIN($F188:$G188)*0.97*BX188)))))))))</f>
        <v/>
      </c>
      <c r="BZ188" s="34">
        <f>BE188-BV188-CA188</f>
        <v/>
      </c>
      <c r="CA188" s="34">
        <f>BD188</f>
        <v/>
      </c>
      <c r="CB188" s="33">
        <f>BE188-BV188</f>
        <v/>
      </c>
      <c r="CC188" s="34">
        <f>IF(AY188=0,0,CB188/AY188)</f>
        <v/>
      </c>
      <c r="CD188" s="34">
        <f>MAX((AY188+MAX((-J188+L188-N188+Q188-T188+X188),0)),(MAX((J188-L188+N188-Q188+T188-X188),0)))</f>
        <v/>
      </c>
      <c r="CE188" s="82">
        <f>IFERROR(ABS(BX188/CD188),0)</f>
        <v/>
      </c>
      <c r="CF188" s="34">
        <f>IF(CE188&lt;=0.1,0,BX188/CE188*(CE188-0.1))</f>
        <v/>
      </c>
      <c r="CG188" s="34">
        <f>IF((CF188)&lt;0,MAX(F188:G188)*(CF188)*1.03,MIN(F188:G188)*(CF188)*0.97)</f>
        <v/>
      </c>
      <c r="CH188" s="34">
        <f>IF(CE188&gt;0.1,1,0)</f>
        <v/>
      </c>
      <c r="CI188" s="34">
        <f>(F188*BX188)-BY188</f>
        <v/>
      </c>
      <c r="CJ188" s="34">
        <f>IF(AY188=0,0,CI188/AY188)</f>
        <v/>
      </c>
    </row>
    <row r="189">
      <c r="A189" s="29" t="n">
        <v>46211.75</v>
      </c>
      <c r="B189" s="29" t="inlineStr">
        <is>
          <t>18:00</t>
        </is>
      </c>
      <c r="C189" s="35">
        <f>INT(A189)</f>
        <v/>
      </c>
      <c r="D189" s="36">
        <f>MONTH(A189)</f>
        <v/>
      </c>
      <c r="E189" s="147" t="inlineStr">
        <is>
          <t>Enerji Açığı</t>
        </is>
      </c>
      <c r="F189" s="30" t="n">
        <v>3323.7</v>
      </c>
      <c r="G189" s="30" t="n">
        <v>4457</v>
      </c>
      <c r="H189" s="30" t="n">
        <v>71.12</v>
      </c>
      <c r="I189" s="30" t="n">
        <v>3358.73</v>
      </c>
      <c r="J189" s="119" t="n">
        <v>0</v>
      </c>
      <c r="K189" s="34">
        <f>F189*J189</f>
        <v/>
      </c>
      <c r="L189" s="119" t="n">
        <v>0</v>
      </c>
      <c r="M189" s="34">
        <f>L189*F189</f>
        <v/>
      </c>
      <c r="N189" s="119" t="n">
        <v>23.3</v>
      </c>
      <c r="O189" s="34">
        <f>F189</f>
        <v/>
      </c>
      <c r="P189" s="34">
        <f>N189*O189</f>
        <v/>
      </c>
      <c r="Q189" s="117" t="n">
        <v>0</v>
      </c>
      <c r="R189" s="34">
        <f>F189</f>
        <v/>
      </c>
      <c r="S189" s="34">
        <f>R189*Q189</f>
        <v/>
      </c>
      <c r="T189" s="34" t="n"/>
      <c r="U189" s="34">
        <f>IFERROR(W189/T189,0)</f>
        <v/>
      </c>
      <c r="V189" s="34">
        <f>IF(U189=0,0,U189-F189)</f>
        <v/>
      </c>
      <c r="W189" s="34" t="n"/>
      <c r="X189" s="34" t="n"/>
      <c r="Y189" s="34">
        <f>IFERROR(AA189/X189,0)</f>
        <v/>
      </c>
      <c r="Z189" s="34">
        <f>IF(Y189=0,0,F189-Y189)</f>
        <v/>
      </c>
      <c r="AA189" s="34" t="n"/>
      <c r="AB189" s="34" t="n">
        <v>0</v>
      </c>
      <c r="AC189" s="34" t="n">
        <v>0</v>
      </c>
      <c r="AD189" s="34">
        <f>IF(AB189&gt;AC189*1.05,AB189-AC189*1.05,IF(AB189&lt;AC189*0.95,AC189*0.95-AB189,0))</f>
        <v/>
      </c>
      <c r="AE189" s="34">
        <f>MAX(F189,G189,750)*0.05*AD189</f>
        <v/>
      </c>
      <c r="AF189" s="34" t="n">
        <v>0</v>
      </c>
      <c r="AG189" s="34">
        <f>IF(AB189&gt;AF189*1.05,AB189-AF189*1.05,IF(AB189&lt;AF189*0.95,AF189*0.95-AB189,0))</f>
        <v/>
      </c>
      <c r="AH189" s="34">
        <f>MAX(I189,J189,750)*0.05*AG189</f>
        <v/>
      </c>
      <c r="AI189" t="n">
        <v>7.91</v>
      </c>
      <c r="AJ189" t="n">
        <v>10</v>
      </c>
      <c r="AK189" s="34">
        <f>IF(AI189&gt;AJ189*1.05,AI189-AJ189*1.05,IF(AI189&lt;AJ189*0.95,AJ189*0.95-AI189,0))</f>
        <v/>
      </c>
      <c r="AL189" s="34">
        <f>MAX(F189,G189,750)*0.05*AK189</f>
        <v/>
      </c>
      <c r="AM189" s="39" t="n">
        <v>8</v>
      </c>
      <c r="AN189" s="34">
        <f>IF(AI189&gt;AM189*1.05,AI189-AM189*1.05,IF(AI189&lt;AM189*0.95,AM189*0.95-AI189,0))</f>
        <v/>
      </c>
      <c r="AO189" s="34">
        <f>MAX(F189,G189,750)*0.05*AN189</f>
        <v/>
      </c>
      <c r="AP189" s="34" t="n">
        <v>10.97</v>
      </c>
      <c r="AQ189" s="34" t="n">
        <v>13.3</v>
      </c>
      <c r="AR189" s="34">
        <f>IF(AP189&gt;AQ189*1.05,AP189-AQ189*1.05,IF(AP189&lt;AQ189*0.95,AQ189*0.95-AP189,0))</f>
        <v/>
      </c>
      <c r="AS189" s="34">
        <f>MAX(F189:G189,750)*0.05*AR189</f>
        <v/>
      </c>
      <c r="AT189" t="n">
        <v>11</v>
      </c>
      <c r="AU189" s="34">
        <f>IF(AP189&gt;AT189*1.05,AP189-AT189*1.05,IF(AP189&lt;AT189*0.95,AT189*0.95-AP189,0))</f>
        <v/>
      </c>
      <c r="AV189" s="34">
        <f>MAX(F189:G189,750)*0.05*AU189</f>
        <v/>
      </c>
      <c r="AW189" s="34">
        <f>AC189+AJ189+AQ189</f>
        <v/>
      </c>
      <c r="AX189" s="34">
        <f>AF189+AM189+AT189</f>
        <v/>
      </c>
      <c r="AY189" s="34">
        <f>AB189+AI189+AP189</f>
        <v/>
      </c>
      <c r="AZ189" s="34" t="n">
        <v>0</v>
      </c>
      <c r="BA189" s="34">
        <f>AD189+AK189+AR189</f>
        <v/>
      </c>
      <c r="BB189" s="34">
        <f>MAX(F189:G189,750)*0.05*BA189</f>
        <v/>
      </c>
      <c r="BC189" s="34">
        <f>AG189+AN189+AU189</f>
        <v/>
      </c>
      <c r="BD189" s="34">
        <f>MAX(F189:G189,750)*0.05*BC189</f>
        <v/>
      </c>
      <c r="BE189" s="34">
        <f>F189*AY189</f>
        <v/>
      </c>
      <c r="BF189" s="34">
        <f>K189-M189</f>
        <v/>
      </c>
      <c r="BG189" s="34">
        <f>P189-S189</f>
        <v/>
      </c>
      <c r="BH189" s="34">
        <f>W189-AA189</f>
        <v/>
      </c>
      <c r="BI189" s="34">
        <f>BF189+BG189+BL189-BN189</f>
        <v/>
      </c>
      <c r="BJ189" s="34">
        <f>ABS(BK189)</f>
        <v/>
      </c>
      <c r="BK189" s="34">
        <f>AY189-(J189-L189+N189-Q189)</f>
        <v/>
      </c>
      <c r="BL189" s="34">
        <f>IF(AND(BK189&gt;0,MIN($F189:$G189)&lt;150,$E189="Enerji Açığı"),-100*BK189*1.03,IF(AND(BK189&gt;0,MIN($F189:$G189)&lt;150,$E189="Enerji Fazlası"),-100*BK189*1.06,IF(AND(BK189&gt;0,MIN($F189:$G189)&gt;=150,$E189="Enerji Açığı"),BK189*MIN($F189:$G189)*0.97,IF(AND(BK189&gt;0,MIN($F189:$G189)&gt;=150,$E189="Enerji Fazlası"),BK189*MIN($F189:$G189)*0.94,IF(AND(BK189&lt;0,MAX($F189:$G189)=4500,$E189="Enerji Açığı"),4500*1.05*1.06*BK189,IF(AND(BK189&lt;0,MAX($F189:$G189)=4500,$E189="Enerji Fazlası"),4500*1.05*1.03*BK189,IF(AND(BK189&lt;0,$E189="Enerji Açığı"),MAX($F189,$G189,150)*BK189*1.06,IF(AND(BK189&lt;0,$E189="Enerji Fazlası"),MAX($F189,$G189,150)*BK189*1.03,IF(AND(BK189&lt;0,$E189="Dengede"),MAX($F189:$G189,150)*1.03*BK189,MIN($F189:$G189)*0.97*BK189)))))))))</f>
        <v/>
      </c>
      <c r="BM189" s="34">
        <f>BE189-BI189-BN189</f>
        <v/>
      </c>
      <c r="BN189" s="34">
        <f>BB189</f>
        <v/>
      </c>
      <c r="BO189" s="34">
        <f>BE189-BI189</f>
        <v/>
      </c>
      <c r="BP189" s="34">
        <f>IF(AY189=0,0,BO189/AY189)</f>
        <v/>
      </c>
      <c r="BQ189" s="34">
        <f>MAX((AY189+MAX((-J189+L189-N189+Q189),0)),(MAX((J189-L189+N189-Q189),0)))</f>
        <v/>
      </c>
      <c r="BR189" s="82">
        <f>IFERROR(ABS(BK189/BQ189),0)</f>
        <v/>
      </c>
      <c r="BS189" s="34">
        <f>IF(BR189&lt;=0.1,0,BK189/BR189*(BR189-0.1))</f>
        <v/>
      </c>
      <c r="BT189" s="34">
        <f>IF((BS189)&lt;0,MAX(F189:G189)*(BS189)*1.03,MIN(F189:G189)*(BS189)*0.97)</f>
        <v/>
      </c>
      <c r="BU189" s="34">
        <f>IF(BR189&gt;0.1,1,0)</f>
        <v/>
      </c>
      <c r="BV189" s="34">
        <f>BF189+BG189+BH189+BY189-CA189</f>
        <v/>
      </c>
      <c r="BW189" s="34">
        <f>ABS(BX189)</f>
        <v/>
      </c>
      <c r="BX189" s="34">
        <f>AY189-(J189-L189+N189-Q189+T189-X189)</f>
        <v/>
      </c>
      <c r="BY189" s="34">
        <f>IF(AND(BX189&gt;0,MIN($F189:$G189)&lt;150,$E189="Enerji Açığı"),-100*BX189*1.03,IF(AND(BX189&gt;0,MIN($F189:$G189)&lt;150,$E189="Enerji Fazlası"),-100*BX189*1.06,IF(AND(BX189&gt;0,MIN($F189:$G189)&gt;=150,$E189="Enerji Açığı"),BX189*MIN($F189:$G189)*0.97,IF(AND(BX189&gt;0,MIN($F189:$G189)&gt;=150,$E189="Enerji Fazlası"),BX189*MIN($F189:$G189)*0.94,IF(AND(BX189&lt;0,MAX($F189:$G189)=4500,$E189="Enerji Açığı"),4500*1.05*1.06*BX189,IF(AND(BX189&lt;0,MAX($F189:$G189)=4500,$E189="Enerji Fazlası"),4500*1.05*1.03*BX189,IF(AND(BX189&lt;0,$E189="Enerji Açığı"),MAX($F189,$G189,150)*BX189*1.06,IF(AND(BX189&lt;0,$E189="Enerji Fazlası"),MAX($F189,$G189,150)*BX189*1.03,IF(AND(BX189&lt;0,$E189="Dengede"),MAX($F189:$G189,150)*1.03*BX189,MIN($F189:$G189)*0.97*BX189)))))))))</f>
        <v/>
      </c>
      <c r="BZ189" s="34">
        <f>BE189-BV189-CA189</f>
        <v/>
      </c>
      <c r="CA189" s="34">
        <f>BD189</f>
        <v/>
      </c>
      <c r="CB189" s="33">
        <f>BE189-BV189</f>
        <v/>
      </c>
      <c r="CC189" s="34">
        <f>IF(AY189=0,0,CB189/AY189)</f>
        <v/>
      </c>
      <c r="CD189" s="34">
        <f>MAX((AY189+MAX((-J189+L189-N189+Q189-T189+X189),0)),(MAX((J189-L189+N189-Q189+T189-X189),0)))</f>
        <v/>
      </c>
      <c r="CE189" s="82">
        <f>IFERROR(ABS(BX189/CD189),0)</f>
        <v/>
      </c>
      <c r="CF189" s="34">
        <f>IF(CE189&lt;=0.1,0,BX189/CE189*(CE189-0.1))</f>
        <v/>
      </c>
      <c r="CG189" s="34">
        <f>IF((CF189)&lt;0,MAX(F189:G189)*(CF189)*1.03,MIN(F189:G189)*(CF189)*0.97)</f>
        <v/>
      </c>
      <c r="CH189" s="34">
        <f>IF(CE189&gt;0.1,1,0)</f>
        <v/>
      </c>
      <c r="CI189" s="34">
        <f>(F189*BX189)-BY189</f>
        <v/>
      </c>
      <c r="CJ189" s="34">
        <f>IF(AY189=0,0,CI189/AY189)</f>
        <v/>
      </c>
    </row>
    <row r="190">
      <c r="A190" s="29" t="n">
        <v>46211.79166666666</v>
      </c>
      <c r="B190" s="29" t="inlineStr">
        <is>
          <t>19:00</t>
        </is>
      </c>
      <c r="C190" s="35">
        <f>INT(A190)</f>
        <v/>
      </c>
      <c r="D190" s="36">
        <f>MONTH(A190)</f>
        <v/>
      </c>
      <c r="E190" s="147" t="inlineStr">
        <is>
          <t>Enerji Açığı</t>
        </is>
      </c>
      <c r="F190" s="30" t="n">
        <v>4000</v>
      </c>
      <c r="G190" s="30" t="n">
        <v>4497.2</v>
      </c>
      <c r="H190" s="30" t="n">
        <v>85.59</v>
      </c>
      <c r="I190" s="30" t="n">
        <v>4170.21</v>
      </c>
      <c r="J190" s="119" t="n">
        <v>0</v>
      </c>
      <c r="K190" s="34">
        <f>F190*J190</f>
        <v/>
      </c>
      <c r="L190" s="119" t="n">
        <v>0</v>
      </c>
      <c r="M190" s="34">
        <f>L190*F190</f>
        <v/>
      </c>
      <c r="N190" s="119" t="n">
        <v>23.2</v>
      </c>
      <c r="O190" s="34">
        <f>F190</f>
        <v/>
      </c>
      <c r="P190" s="34">
        <f>N190*O190</f>
        <v/>
      </c>
      <c r="Q190" s="117" t="n">
        <v>0</v>
      </c>
      <c r="R190" s="34">
        <f>F190</f>
        <v/>
      </c>
      <c r="S190" s="34">
        <f>R190*Q190</f>
        <v/>
      </c>
      <c r="T190" s="34" t="n"/>
      <c r="U190" s="34">
        <f>IFERROR(W190/T190,0)</f>
        <v/>
      </c>
      <c r="V190" s="34">
        <f>IF(U190=0,0,U190-F190)</f>
        <v/>
      </c>
      <c r="W190" s="34" t="n"/>
      <c r="X190" s="34" t="n"/>
      <c r="Y190" s="34">
        <f>IFERROR(AA190/X190,0)</f>
        <v/>
      </c>
      <c r="Z190" s="34">
        <f>IF(Y190=0,0,F190-Y190)</f>
        <v/>
      </c>
      <c r="AA190" s="34" t="n"/>
      <c r="AB190" s="34" t="n">
        <v>0</v>
      </c>
      <c r="AC190" s="34" t="n">
        <v>0</v>
      </c>
      <c r="AD190" s="34">
        <f>IF(AB190&gt;AC190*1.05,AB190-AC190*1.05,IF(AB190&lt;AC190*0.95,AC190*0.95-AB190,0))</f>
        <v/>
      </c>
      <c r="AE190" s="34">
        <f>MAX(F190,G190,750)*0.05*AD190</f>
        <v/>
      </c>
      <c r="AF190" s="34" t="n">
        <v>0</v>
      </c>
      <c r="AG190" s="34">
        <f>IF(AB190&gt;AF190*1.05,AB190-AF190*1.05,IF(AB190&lt;AF190*0.95,AF190*0.95-AB190,0))</f>
        <v/>
      </c>
      <c r="AH190" s="34">
        <f>MAX(I190,J190,750)*0.05*AG190</f>
        <v/>
      </c>
      <c r="AI190" t="n">
        <v>7.3</v>
      </c>
      <c r="AJ190" t="n">
        <v>10</v>
      </c>
      <c r="AK190" s="34">
        <f>IF(AI190&gt;AJ190*1.05,AI190-AJ190*1.05,IF(AI190&lt;AJ190*0.95,AJ190*0.95-AI190,0))</f>
        <v/>
      </c>
      <c r="AL190" s="34">
        <f>MAX(F190,G190,750)*0.05*AK190</f>
        <v/>
      </c>
      <c r="AM190" s="39" t="n">
        <v>7</v>
      </c>
      <c r="AN190" s="34">
        <f>IF(AI190&gt;AM190*1.05,AI190-AM190*1.05,IF(AI190&lt;AM190*0.95,AM190*0.95-AI190,0))</f>
        <v/>
      </c>
      <c r="AO190" s="34">
        <f>MAX(F190,G190,750)*0.05*AN190</f>
        <v/>
      </c>
      <c r="AP190" s="34" t="n">
        <v>13.11</v>
      </c>
      <c r="AQ190" s="34" t="n">
        <v>13.2</v>
      </c>
      <c r="AR190" s="34">
        <f>IF(AP190&gt;AQ190*1.05,AP190-AQ190*1.05,IF(AP190&lt;AQ190*0.95,AQ190*0.95-AP190,0))</f>
        <v/>
      </c>
      <c r="AS190" s="34">
        <f>MAX(F190:G190,750)*0.05*AR190</f>
        <v/>
      </c>
      <c r="AT190" t="n">
        <v>13.2</v>
      </c>
      <c r="AU190" s="34">
        <f>IF(AP190&gt;AT190*1.05,AP190-AT190*1.05,IF(AP190&lt;AT190*0.95,AT190*0.95-AP190,0))</f>
        <v/>
      </c>
      <c r="AV190" s="34">
        <f>MAX(F190:G190,750)*0.05*AU190</f>
        <v/>
      </c>
      <c r="AW190" s="34">
        <f>AC190+AJ190+AQ190</f>
        <v/>
      </c>
      <c r="AX190" s="34">
        <f>AF190+AM190+AT190</f>
        <v/>
      </c>
      <c r="AY190" s="34">
        <f>AB190+AI190+AP190</f>
        <v/>
      </c>
      <c r="AZ190" s="34" t="n">
        <v>0</v>
      </c>
      <c r="BA190" s="34">
        <f>AD190+AK190+AR190</f>
        <v/>
      </c>
      <c r="BB190" s="34">
        <f>MAX(F190:G190,750)*0.05*BA190</f>
        <v/>
      </c>
      <c r="BC190" s="34">
        <f>AG190+AN190+AU190</f>
        <v/>
      </c>
      <c r="BD190" s="34">
        <f>MAX(F190:G190,750)*0.05*BC190</f>
        <v/>
      </c>
      <c r="BE190" s="34">
        <f>F190*AY190</f>
        <v/>
      </c>
      <c r="BF190" s="34">
        <f>K190-M190</f>
        <v/>
      </c>
      <c r="BG190" s="34">
        <f>P190-S190</f>
        <v/>
      </c>
      <c r="BH190" s="34">
        <f>W190-AA190</f>
        <v/>
      </c>
      <c r="BI190" s="34">
        <f>BF190+BG190+BL190-BN190</f>
        <v/>
      </c>
      <c r="BJ190" s="34">
        <f>ABS(BK190)</f>
        <v/>
      </c>
      <c r="BK190" s="34">
        <f>AY190-(J190-L190+N190-Q190)</f>
        <v/>
      </c>
      <c r="BL190" s="34">
        <f>IF(AND(BK190&gt;0,MIN($F190:$G190)&lt;150,$E190="Enerji Açığı"),-100*BK190*1.03,IF(AND(BK190&gt;0,MIN($F190:$G190)&lt;150,$E190="Enerji Fazlası"),-100*BK190*1.06,IF(AND(BK190&gt;0,MIN($F190:$G190)&gt;=150,$E190="Enerji Açığı"),BK190*MIN($F190:$G190)*0.97,IF(AND(BK190&gt;0,MIN($F190:$G190)&gt;=150,$E190="Enerji Fazlası"),BK190*MIN($F190:$G190)*0.94,IF(AND(BK190&lt;0,MAX($F190:$G190)=4500,$E190="Enerji Açığı"),4500*1.05*1.06*BK190,IF(AND(BK190&lt;0,MAX($F190:$G190)=4500,$E190="Enerji Fazlası"),4500*1.05*1.03*BK190,IF(AND(BK190&lt;0,$E190="Enerji Açığı"),MAX($F190,$G190,150)*BK190*1.06,IF(AND(BK190&lt;0,$E190="Enerji Fazlası"),MAX($F190,$G190,150)*BK190*1.03,IF(AND(BK190&lt;0,$E190="Dengede"),MAX($F190:$G190,150)*1.03*BK190,MIN($F190:$G190)*0.97*BK190)))))))))</f>
        <v/>
      </c>
      <c r="BM190" s="34">
        <f>BE190-BI190-BN190</f>
        <v/>
      </c>
      <c r="BN190" s="34">
        <f>BB190</f>
        <v/>
      </c>
      <c r="BO190" s="34">
        <f>BE190-BI190</f>
        <v/>
      </c>
      <c r="BP190" s="34">
        <f>IF(AY190=0,0,BO190/AY190)</f>
        <v/>
      </c>
      <c r="BQ190" s="34">
        <f>MAX((AY190+MAX((-J190+L190-N190+Q190),0)),(MAX((J190-L190+N190-Q190),0)))</f>
        <v/>
      </c>
      <c r="BR190" s="82">
        <f>IFERROR(ABS(BK190/BQ190),0)</f>
        <v/>
      </c>
      <c r="BS190" s="34">
        <f>IF(BR190&lt;=0.1,0,BK190/BR190*(BR190-0.1))</f>
        <v/>
      </c>
      <c r="BT190" s="34">
        <f>IF((BS190)&lt;0,MAX(F190:G190)*(BS190)*1.03,MIN(F190:G190)*(BS190)*0.97)</f>
        <v/>
      </c>
      <c r="BU190" s="34">
        <f>IF(BR190&gt;0.1,1,0)</f>
        <v/>
      </c>
      <c r="BV190" s="34">
        <f>BF190+BG190+BH190+BY190-CA190</f>
        <v/>
      </c>
      <c r="BW190" s="34">
        <f>ABS(BX190)</f>
        <v/>
      </c>
      <c r="BX190" s="34">
        <f>AY190-(J190-L190+N190-Q190+T190-X190)</f>
        <v/>
      </c>
      <c r="BY190" s="34">
        <f>IF(AND(BX190&gt;0,MIN($F190:$G190)&lt;150,$E190="Enerji Açığı"),-100*BX190*1.03,IF(AND(BX190&gt;0,MIN($F190:$G190)&lt;150,$E190="Enerji Fazlası"),-100*BX190*1.06,IF(AND(BX190&gt;0,MIN($F190:$G190)&gt;=150,$E190="Enerji Açığı"),BX190*MIN($F190:$G190)*0.97,IF(AND(BX190&gt;0,MIN($F190:$G190)&gt;=150,$E190="Enerji Fazlası"),BX190*MIN($F190:$G190)*0.94,IF(AND(BX190&lt;0,MAX($F190:$G190)=4500,$E190="Enerji Açığı"),4500*1.05*1.06*BX190,IF(AND(BX190&lt;0,MAX($F190:$G190)=4500,$E190="Enerji Fazlası"),4500*1.05*1.03*BX190,IF(AND(BX190&lt;0,$E190="Enerji Açığı"),MAX($F190,$G190,150)*BX190*1.06,IF(AND(BX190&lt;0,$E190="Enerji Fazlası"),MAX($F190,$G190,150)*BX190*1.03,IF(AND(BX190&lt;0,$E190="Dengede"),MAX($F190:$G190,150)*1.03*BX190,MIN($F190:$G190)*0.97*BX190)))))))))</f>
        <v/>
      </c>
      <c r="BZ190" s="34">
        <f>BE190-BV190-CA190</f>
        <v/>
      </c>
      <c r="CA190" s="34">
        <f>BD190</f>
        <v/>
      </c>
      <c r="CB190" s="33">
        <f>BE190-BV190</f>
        <v/>
      </c>
      <c r="CC190" s="34">
        <f>IF(AY190=0,0,CB190/AY190)</f>
        <v/>
      </c>
      <c r="CD190" s="34">
        <f>MAX((AY190+MAX((-J190+L190-N190+Q190-T190+X190),0)),(MAX((J190-L190+N190-Q190+T190-X190),0)))</f>
        <v/>
      </c>
      <c r="CE190" s="82">
        <f>IFERROR(ABS(BX190/CD190),0)</f>
        <v/>
      </c>
      <c r="CF190" s="34">
        <f>IF(CE190&lt;=0.1,0,BX190/CE190*(CE190-0.1))</f>
        <v/>
      </c>
      <c r="CG190" s="34">
        <f>IF((CF190)&lt;0,MAX(F190:G190)*(CF190)*1.03,MIN(F190:G190)*(CF190)*0.97)</f>
        <v/>
      </c>
      <c r="CH190" s="34">
        <f>IF(CE190&gt;0.1,1,0)</f>
        <v/>
      </c>
      <c r="CI190" s="34">
        <f>(F190*BX190)-BY190</f>
        <v/>
      </c>
      <c r="CJ190" s="34">
        <f>IF(AY190=0,0,CI190/AY190)</f>
        <v/>
      </c>
    </row>
    <row r="191">
      <c r="A191" s="29" t="n">
        <v>46211.83333333334</v>
      </c>
      <c r="B191" s="29" t="inlineStr">
        <is>
          <t>20:00</t>
        </is>
      </c>
      <c r="C191" s="35">
        <f>INT(A191)</f>
        <v/>
      </c>
      <c r="D191" s="36">
        <f>MONTH(A191)</f>
        <v/>
      </c>
      <c r="E191" s="147" t="inlineStr">
        <is>
          <t>Enerji Açığı</t>
        </is>
      </c>
      <c r="F191" s="30" t="n">
        <v>4497.79</v>
      </c>
      <c r="G191" s="30" t="n">
        <v>4499</v>
      </c>
      <c r="H191" s="30" t="n">
        <v>96.23999999999999</v>
      </c>
      <c r="I191" s="30" t="n">
        <v>4574.57</v>
      </c>
      <c r="J191" s="119" t="n">
        <v>0</v>
      </c>
      <c r="K191" s="34">
        <f>F191*J191</f>
        <v/>
      </c>
      <c r="L191" s="119" t="n">
        <v>0</v>
      </c>
      <c r="M191" s="34">
        <f>L191*F191</f>
        <v/>
      </c>
      <c r="N191" s="119" t="n">
        <v>24</v>
      </c>
      <c r="O191" s="34">
        <f>F191</f>
        <v/>
      </c>
      <c r="P191" s="34">
        <f>N191*O191</f>
        <v/>
      </c>
      <c r="Q191" s="117" t="n">
        <v>0</v>
      </c>
      <c r="R191" s="34">
        <f>F191</f>
        <v/>
      </c>
      <c r="S191" s="34">
        <f>R191*Q191</f>
        <v/>
      </c>
      <c r="T191" s="34" t="n"/>
      <c r="U191" s="34">
        <f>IFERROR(W191/T191,0)</f>
        <v/>
      </c>
      <c r="V191" s="34">
        <f>IF(U191=0,0,U191-F191)</f>
        <v/>
      </c>
      <c r="W191" s="34" t="n"/>
      <c r="X191" s="34" t="n"/>
      <c r="Y191" s="34">
        <f>IFERROR(AA191/X191,0)</f>
        <v/>
      </c>
      <c r="Z191" s="34">
        <f>IF(Y191=0,0,F191-Y191)</f>
        <v/>
      </c>
      <c r="AA191" s="34" t="n"/>
      <c r="AB191" s="34" t="n">
        <v>0</v>
      </c>
      <c r="AC191" s="34" t="n">
        <v>0</v>
      </c>
      <c r="AD191" s="34">
        <f>IF(AB191&gt;AC191*1.05,AB191-AC191*1.05,IF(AB191&lt;AC191*0.95,AC191*0.95-AB191,0))</f>
        <v/>
      </c>
      <c r="AE191" s="34">
        <f>MAX(F191,G191,750)*0.05*AD191</f>
        <v/>
      </c>
      <c r="AF191" s="34" t="n">
        <v>0</v>
      </c>
      <c r="AG191" s="34">
        <f>IF(AB191&gt;AF191*1.05,AB191-AF191*1.05,IF(AB191&lt;AF191*0.95,AF191*0.95-AB191,0))</f>
        <v/>
      </c>
      <c r="AH191" s="34">
        <f>MAX(I191,J191,750)*0.05*AG191</f>
        <v/>
      </c>
      <c r="AI191" t="n">
        <v>8.98</v>
      </c>
      <c r="AJ191" t="n">
        <v>11</v>
      </c>
      <c r="AK191" s="34">
        <f>IF(AI191&gt;AJ191*1.05,AI191-AJ191*1.05,IF(AI191&lt;AJ191*0.95,AJ191*0.95-AI191,0))</f>
        <v/>
      </c>
      <c r="AL191" s="34">
        <f>MAX(F191,G191,750)*0.05*AK191</f>
        <v/>
      </c>
      <c r="AM191" s="39" t="n">
        <v>11</v>
      </c>
      <c r="AN191" s="34">
        <f>IF(AI191&gt;AM191*1.05,AI191-AM191*1.05,IF(AI191&lt;AM191*0.95,AM191*0.95-AI191,0))</f>
        <v/>
      </c>
      <c r="AO191" s="34">
        <f>MAX(F191,G191,750)*0.05*AN191</f>
        <v/>
      </c>
      <c r="AP191" s="34" t="n">
        <v>13.07</v>
      </c>
      <c r="AQ191" s="34" t="n">
        <v>13</v>
      </c>
      <c r="AR191" s="34">
        <f>IF(AP191&gt;AQ191*1.05,AP191-AQ191*1.05,IF(AP191&lt;AQ191*0.95,AQ191*0.95-AP191,0))</f>
        <v/>
      </c>
      <c r="AS191" s="34">
        <f>MAX(F191:G191,750)*0.05*AR191</f>
        <v/>
      </c>
      <c r="AT191" t="n">
        <v>13</v>
      </c>
      <c r="AU191" s="34">
        <f>IF(AP191&gt;AT191*1.05,AP191-AT191*1.05,IF(AP191&lt;AT191*0.95,AT191*0.95-AP191,0))</f>
        <v/>
      </c>
      <c r="AV191" s="34">
        <f>MAX(F191:G191,750)*0.05*AU191</f>
        <v/>
      </c>
      <c r="AW191" s="34">
        <f>AC191+AJ191+AQ191</f>
        <v/>
      </c>
      <c r="AX191" s="34">
        <f>AF191+AM191+AT191</f>
        <v/>
      </c>
      <c r="AY191" s="34">
        <f>AB191+AI191+AP191</f>
        <v/>
      </c>
      <c r="AZ191" s="34" t="n">
        <v>0</v>
      </c>
      <c r="BA191" s="34">
        <f>AD191+AK191+AR191</f>
        <v/>
      </c>
      <c r="BB191" s="34">
        <f>MAX(F191:G191,750)*0.05*BA191</f>
        <v/>
      </c>
      <c r="BC191" s="34">
        <f>AG191+AN191+AU191</f>
        <v/>
      </c>
      <c r="BD191" s="34">
        <f>MAX(F191:G191,750)*0.05*BC191</f>
        <v/>
      </c>
      <c r="BE191" s="34">
        <f>F191*AY191</f>
        <v/>
      </c>
      <c r="BF191" s="34">
        <f>K191-M191</f>
        <v/>
      </c>
      <c r="BG191" s="34">
        <f>P191-S191</f>
        <v/>
      </c>
      <c r="BH191" s="34">
        <f>W191-AA191</f>
        <v/>
      </c>
      <c r="BI191" s="34">
        <f>BF191+BG191+BL191-BN191</f>
        <v/>
      </c>
      <c r="BJ191" s="34">
        <f>ABS(BK191)</f>
        <v/>
      </c>
      <c r="BK191" s="34">
        <f>AY191-(J191-L191+N191-Q191)</f>
        <v/>
      </c>
      <c r="BL191" s="34">
        <f>IF(AND(BK191&gt;0,MIN($F191:$G191)&lt;150,$E191="Enerji Açığı"),-100*BK191*1.03,IF(AND(BK191&gt;0,MIN($F191:$G191)&lt;150,$E191="Enerji Fazlası"),-100*BK191*1.06,IF(AND(BK191&gt;0,MIN($F191:$G191)&gt;=150,$E191="Enerji Açığı"),BK191*MIN($F191:$G191)*0.97,IF(AND(BK191&gt;0,MIN($F191:$G191)&gt;=150,$E191="Enerji Fazlası"),BK191*MIN($F191:$G191)*0.94,IF(AND(BK191&lt;0,MAX($F191:$G191)=4500,$E191="Enerji Açığı"),4500*1.05*1.06*BK191,IF(AND(BK191&lt;0,MAX($F191:$G191)=4500,$E191="Enerji Fazlası"),4500*1.05*1.03*BK191,IF(AND(BK191&lt;0,$E191="Enerji Açığı"),MAX($F191,$G191,150)*BK191*1.06,IF(AND(BK191&lt;0,$E191="Enerji Fazlası"),MAX($F191,$G191,150)*BK191*1.03,IF(AND(BK191&lt;0,$E191="Dengede"),MAX($F191:$G191,150)*1.03*BK191,MIN($F191:$G191)*0.97*BK191)))))))))</f>
        <v/>
      </c>
      <c r="BM191" s="34">
        <f>BE191-BI191-BN191</f>
        <v/>
      </c>
      <c r="BN191" s="34">
        <f>BB191</f>
        <v/>
      </c>
      <c r="BO191" s="34">
        <f>BE191-BI191</f>
        <v/>
      </c>
      <c r="BP191" s="34">
        <f>IF(AY191=0,0,BO191/AY191)</f>
        <v/>
      </c>
      <c r="BQ191" s="34">
        <f>MAX((AY191+MAX((-J191+L191-N191+Q191),0)),(MAX((J191-L191+N191-Q191),0)))</f>
        <v/>
      </c>
      <c r="BR191" s="82">
        <f>IFERROR(ABS(BK191/BQ191),0)</f>
        <v/>
      </c>
      <c r="BS191" s="34">
        <f>IF(BR191&lt;=0.1,0,BK191/BR191*(BR191-0.1))</f>
        <v/>
      </c>
      <c r="BT191" s="34">
        <f>IF((BS191)&lt;0,MAX(F191:G191)*(BS191)*1.03,MIN(F191:G191)*(BS191)*0.97)</f>
        <v/>
      </c>
      <c r="BU191" s="34">
        <f>IF(BR191&gt;0.1,1,0)</f>
        <v/>
      </c>
      <c r="BV191" s="34">
        <f>BF191+BG191+BH191+BY191-CA191</f>
        <v/>
      </c>
      <c r="BW191" s="34">
        <f>ABS(BX191)</f>
        <v/>
      </c>
      <c r="BX191" s="34">
        <f>AY191-(J191-L191+N191-Q191+T191-X191)</f>
        <v/>
      </c>
      <c r="BY191" s="34">
        <f>IF(AND(BX191&gt;0,MIN($F191:$G191)&lt;150,$E191="Enerji Açığı"),-100*BX191*1.03,IF(AND(BX191&gt;0,MIN($F191:$G191)&lt;150,$E191="Enerji Fazlası"),-100*BX191*1.06,IF(AND(BX191&gt;0,MIN($F191:$G191)&gt;=150,$E191="Enerji Açığı"),BX191*MIN($F191:$G191)*0.97,IF(AND(BX191&gt;0,MIN($F191:$G191)&gt;=150,$E191="Enerji Fazlası"),BX191*MIN($F191:$G191)*0.94,IF(AND(BX191&lt;0,MAX($F191:$G191)=4500,$E191="Enerji Açığı"),4500*1.05*1.06*BX191,IF(AND(BX191&lt;0,MAX($F191:$G191)=4500,$E191="Enerji Fazlası"),4500*1.05*1.03*BX191,IF(AND(BX191&lt;0,$E191="Enerji Açığı"),MAX($F191,$G191,150)*BX191*1.06,IF(AND(BX191&lt;0,$E191="Enerji Fazlası"),MAX($F191,$G191,150)*BX191*1.03,IF(AND(BX191&lt;0,$E191="Dengede"),MAX($F191:$G191,150)*1.03*BX191,MIN($F191:$G191)*0.97*BX191)))))))))</f>
        <v/>
      </c>
      <c r="BZ191" s="34">
        <f>BE191-BV191-CA191</f>
        <v/>
      </c>
      <c r="CA191" s="34">
        <f>BD191</f>
        <v/>
      </c>
      <c r="CB191" s="33">
        <f>BE191-BV191</f>
        <v/>
      </c>
      <c r="CC191" s="34">
        <f>IF(AY191=0,0,CB191/AY191)</f>
        <v/>
      </c>
      <c r="CD191" s="34">
        <f>MAX((AY191+MAX((-J191+L191-N191+Q191-T191+X191),0)),(MAX((J191-L191+N191-Q191+T191-X191),0)))</f>
        <v/>
      </c>
      <c r="CE191" s="82">
        <f>IFERROR(ABS(BX191/CD191),0)</f>
        <v/>
      </c>
      <c r="CF191" s="34">
        <f>IF(CE191&lt;=0.1,0,BX191/CE191*(CE191-0.1))</f>
        <v/>
      </c>
      <c r="CG191" s="34">
        <f>IF((CF191)&lt;0,MAX(F191:G191)*(CF191)*1.03,MIN(F191:G191)*(CF191)*0.97)</f>
        <v/>
      </c>
      <c r="CH191" s="34">
        <f>IF(CE191&gt;0.1,1,0)</f>
        <v/>
      </c>
      <c r="CI191" s="34">
        <f>(F191*BX191)-BY191</f>
        <v/>
      </c>
      <c r="CJ191" s="34">
        <f>IF(AY191=0,0,CI191/AY191)</f>
        <v/>
      </c>
    </row>
    <row r="192">
      <c r="A192" s="29" t="n">
        <v>46211.875</v>
      </c>
      <c r="B192" s="29" t="inlineStr">
        <is>
          <t>21:00</t>
        </is>
      </c>
      <c r="C192" s="35">
        <f>INT(A192)</f>
        <v/>
      </c>
      <c r="D192" s="36">
        <f>MONTH(A192)</f>
        <v/>
      </c>
      <c r="E192" s="147" t="inlineStr">
        <is>
          <t>Enerji Açığı</t>
        </is>
      </c>
      <c r="F192" s="30" t="n">
        <v>4300.01</v>
      </c>
      <c r="G192" s="30" t="n">
        <v>4500</v>
      </c>
      <c r="H192" s="30" t="n">
        <v>92.01000000000001</v>
      </c>
      <c r="I192" s="30" t="n">
        <v>4528.84</v>
      </c>
      <c r="J192" s="119" t="n">
        <v>0</v>
      </c>
      <c r="K192" s="34">
        <f>F192*J192</f>
        <v/>
      </c>
      <c r="L192" s="119" t="n">
        <v>0</v>
      </c>
      <c r="M192" s="34">
        <f>L192*F192</f>
        <v/>
      </c>
      <c r="N192" s="119" t="n">
        <v>23</v>
      </c>
      <c r="O192" s="34">
        <f>F192</f>
        <v/>
      </c>
      <c r="P192" s="34">
        <f>N192*O192</f>
        <v/>
      </c>
      <c r="Q192" s="117" t="n">
        <v>0</v>
      </c>
      <c r="R192" s="34">
        <f>F192</f>
        <v/>
      </c>
      <c r="S192" s="34">
        <f>R192*Q192</f>
        <v/>
      </c>
      <c r="T192" s="34" t="n"/>
      <c r="U192" s="34">
        <f>IFERROR(W192/T192,0)</f>
        <v/>
      </c>
      <c r="V192" s="34">
        <f>IF(U192=0,0,U192-F192)</f>
        <v/>
      </c>
      <c r="W192" s="34" t="n"/>
      <c r="X192" s="34" t="n"/>
      <c r="Y192" s="34">
        <f>IFERROR(AA192/X192,0)</f>
        <v/>
      </c>
      <c r="Z192" s="34">
        <f>IF(Y192=0,0,F192-Y192)</f>
        <v/>
      </c>
      <c r="AA192" s="34" t="n"/>
      <c r="AB192" s="34" t="n">
        <v>0</v>
      </c>
      <c r="AC192" s="34" t="n">
        <v>0</v>
      </c>
      <c r="AD192" s="34">
        <f>IF(AB192&gt;AC192*1.05,AB192-AC192*1.05,IF(AB192&lt;AC192*0.95,AC192*0.95-AB192,0))</f>
        <v/>
      </c>
      <c r="AE192" s="34">
        <f>MAX(F192,G192,750)*0.05*AD192</f>
        <v/>
      </c>
      <c r="AF192" s="34" t="n">
        <v>0</v>
      </c>
      <c r="AG192" s="34">
        <f>IF(AB192&gt;AF192*1.05,AB192-AF192*1.05,IF(AB192&lt;AF192*0.95,AF192*0.95-AB192,0))</f>
        <v/>
      </c>
      <c r="AH192" s="34">
        <f>MAX(I192,J192,750)*0.05*AG192</f>
        <v/>
      </c>
      <c r="AI192" t="n">
        <v>8.380000000000001</v>
      </c>
      <c r="AJ192" t="n">
        <v>11</v>
      </c>
      <c r="AK192" s="34">
        <f>IF(AI192&gt;AJ192*1.05,AI192-AJ192*1.05,IF(AI192&lt;AJ192*0.95,AJ192*0.95-AI192,0))</f>
        <v/>
      </c>
      <c r="AL192" s="34">
        <f>MAX(F192,G192,750)*0.05*AK192</f>
        <v/>
      </c>
      <c r="AM192" s="39" t="n">
        <v>11</v>
      </c>
      <c r="AN192" s="34">
        <f>IF(AI192&gt;AM192*1.05,AI192-AM192*1.05,IF(AI192&lt;AM192*0.95,AM192*0.95-AI192,0))</f>
        <v/>
      </c>
      <c r="AO192" s="34">
        <f>MAX(F192,G192,750)*0.05*AN192</f>
        <v/>
      </c>
      <c r="AP192" s="34" t="n">
        <v>11.9</v>
      </c>
      <c r="AQ192" s="34" t="n">
        <v>12</v>
      </c>
      <c r="AR192" s="34">
        <f>IF(AP192&gt;AQ192*1.05,AP192-AQ192*1.05,IF(AP192&lt;AQ192*0.95,AQ192*0.95-AP192,0))</f>
        <v/>
      </c>
      <c r="AS192" s="34">
        <f>MAX(F192:G192,750)*0.05*AR192</f>
        <v/>
      </c>
      <c r="AT192" t="n">
        <v>12</v>
      </c>
      <c r="AU192" s="34">
        <f>IF(AP192&gt;AT192*1.05,AP192-AT192*1.05,IF(AP192&lt;AT192*0.95,AT192*0.95-AP192,0))</f>
        <v/>
      </c>
      <c r="AV192" s="34">
        <f>MAX(F192:G192,750)*0.05*AU192</f>
        <v/>
      </c>
      <c r="AW192" s="34">
        <f>AC192+AJ192+AQ192</f>
        <v/>
      </c>
      <c r="AX192" s="34">
        <f>AF192+AM192+AT192</f>
        <v/>
      </c>
      <c r="AY192" s="34">
        <f>AB192+AI192+AP192</f>
        <v/>
      </c>
      <c r="AZ192" s="34" t="n">
        <v>0</v>
      </c>
      <c r="BA192" s="34">
        <f>AD192+AK192+AR192</f>
        <v/>
      </c>
      <c r="BB192" s="34">
        <f>MAX(F192:G192,750)*0.05*BA192</f>
        <v/>
      </c>
      <c r="BC192" s="34">
        <f>AG192+AN192+AU192</f>
        <v/>
      </c>
      <c r="BD192" s="34">
        <f>MAX(F192:G192,750)*0.05*BC192</f>
        <v/>
      </c>
      <c r="BE192" s="34">
        <f>F192*AY192</f>
        <v/>
      </c>
      <c r="BF192" s="34">
        <f>K192-M192</f>
        <v/>
      </c>
      <c r="BG192" s="34">
        <f>P192-S192</f>
        <v/>
      </c>
      <c r="BH192" s="34">
        <f>W192-AA192</f>
        <v/>
      </c>
      <c r="BI192" s="34">
        <f>BF192+BG192+BL192-BN192</f>
        <v/>
      </c>
      <c r="BJ192" s="34">
        <f>ABS(BK192)</f>
        <v/>
      </c>
      <c r="BK192" s="34">
        <f>AY192-(J192-L192+N192-Q192)</f>
        <v/>
      </c>
      <c r="BL192" s="34">
        <f>IF(AND(BK192&gt;0,MIN($F192:$G192)&lt;150,$E192="Enerji Açığı"),-100*BK192*1.03,IF(AND(BK192&gt;0,MIN($F192:$G192)&lt;150,$E192="Enerji Fazlası"),-100*BK192*1.06,IF(AND(BK192&gt;0,MIN($F192:$G192)&gt;=150,$E192="Enerji Açığı"),BK192*MIN($F192:$G192)*0.97,IF(AND(BK192&gt;0,MIN($F192:$G192)&gt;=150,$E192="Enerji Fazlası"),BK192*MIN($F192:$G192)*0.94,IF(AND(BK192&lt;0,MAX($F192:$G192)=4500,$E192="Enerji Açığı"),4500*1.05*1.06*BK192,IF(AND(BK192&lt;0,MAX($F192:$G192)=4500,$E192="Enerji Fazlası"),4500*1.05*1.03*BK192,IF(AND(BK192&lt;0,$E192="Enerji Açığı"),MAX($F192,$G192,150)*BK192*1.06,IF(AND(BK192&lt;0,$E192="Enerji Fazlası"),MAX($F192,$G192,150)*BK192*1.03,IF(AND(BK192&lt;0,$E192="Dengede"),MAX($F192:$G192,150)*1.03*BK192,MIN($F192:$G192)*0.97*BK192)))))))))</f>
        <v/>
      </c>
      <c r="BM192" s="34">
        <f>BE192-BI192-BN192</f>
        <v/>
      </c>
      <c r="BN192" s="34">
        <f>BB192</f>
        <v/>
      </c>
      <c r="BO192" s="34">
        <f>BE192-BI192</f>
        <v/>
      </c>
      <c r="BP192" s="34">
        <f>IF(AY192=0,0,BO192/AY192)</f>
        <v/>
      </c>
      <c r="BQ192" s="34">
        <f>MAX((AY192+MAX((-J192+L192-N192+Q192),0)),(MAX((J192-L192+N192-Q192),0)))</f>
        <v/>
      </c>
      <c r="BR192" s="82">
        <f>IFERROR(ABS(BK192/BQ192),0)</f>
        <v/>
      </c>
      <c r="BS192" s="34">
        <f>IF(BR192&lt;=0.1,0,BK192/BR192*(BR192-0.1))</f>
        <v/>
      </c>
      <c r="BT192" s="34">
        <f>IF((BS192)&lt;0,MAX(F192:G192)*(BS192)*1.03,MIN(F192:G192)*(BS192)*0.97)</f>
        <v/>
      </c>
      <c r="BU192" s="34">
        <f>IF(BR192&gt;0.1,1,0)</f>
        <v/>
      </c>
      <c r="BV192" s="34">
        <f>BF192+BG192+BH192+BY192-CA192</f>
        <v/>
      </c>
      <c r="BW192" s="34">
        <f>ABS(BX192)</f>
        <v/>
      </c>
      <c r="BX192" s="34">
        <f>AY192-(J192-L192+N192-Q192+T192-X192)</f>
        <v/>
      </c>
      <c r="BY192" s="34">
        <f>IF(AND(BX192&gt;0,MIN($F192:$G192)&lt;150,$E192="Enerji Açığı"),-100*BX192*1.03,IF(AND(BX192&gt;0,MIN($F192:$G192)&lt;150,$E192="Enerji Fazlası"),-100*BX192*1.06,IF(AND(BX192&gt;0,MIN($F192:$G192)&gt;=150,$E192="Enerji Açığı"),BX192*MIN($F192:$G192)*0.97,IF(AND(BX192&gt;0,MIN($F192:$G192)&gt;=150,$E192="Enerji Fazlası"),BX192*MIN($F192:$G192)*0.94,IF(AND(BX192&lt;0,MAX($F192:$G192)=4500,$E192="Enerji Açığı"),4500*1.05*1.06*BX192,IF(AND(BX192&lt;0,MAX($F192:$G192)=4500,$E192="Enerji Fazlası"),4500*1.05*1.03*BX192,IF(AND(BX192&lt;0,$E192="Enerji Açığı"),MAX($F192,$G192,150)*BX192*1.06,IF(AND(BX192&lt;0,$E192="Enerji Fazlası"),MAX($F192,$G192,150)*BX192*1.03,IF(AND(BX192&lt;0,$E192="Dengede"),MAX($F192:$G192,150)*1.03*BX192,MIN($F192:$G192)*0.97*BX192)))))))))</f>
        <v/>
      </c>
      <c r="BZ192" s="34">
        <f>BE192-BV192-CA192</f>
        <v/>
      </c>
      <c r="CA192" s="34">
        <f>BD192</f>
        <v/>
      </c>
      <c r="CB192" s="33">
        <f>BE192-BV192</f>
        <v/>
      </c>
      <c r="CC192" s="34">
        <f>IF(AY192=0,0,CB192/AY192)</f>
        <v/>
      </c>
      <c r="CD192" s="34">
        <f>MAX((AY192+MAX((-J192+L192-N192+Q192-T192+X192),0)),(MAX((J192-L192+N192-Q192+T192-X192),0)))</f>
        <v/>
      </c>
      <c r="CE192" s="82">
        <f>IFERROR(ABS(BX192/CD192),0)</f>
        <v/>
      </c>
      <c r="CF192" s="34">
        <f>IF(CE192&lt;=0.1,0,BX192/CE192*(CE192-0.1))</f>
        <v/>
      </c>
      <c r="CG192" s="34">
        <f>IF((CF192)&lt;0,MAX(F192:G192)*(CF192)*1.03,MIN(F192:G192)*(CF192)*0.97)</f>
        <v/>
      </c>
      <c r="CH192" s="34">
        <f>IF(CE192&gt;0.1,1,0)</f>
        <v/>
      </c>
      <c r="CI192" s="34">
        <f>(F192*BX192)-BY192</f>
        <v/>
      </c>
      <c r="CJ192" s="34">
        <f>IF(AY192=0,0,CI192/AY192)</f>
        <v/>
      </c>
    </row>
    <row r="193">
      <c r="A193" s="29" t="n">
        <v>46211.91666666666</v>
      </c>
      <c r="B193" s="29" t="inlineStr">
        <is>
          <t>22:00</t>
        </is>
      </c>
      <c r="C193" s="35">
        <f>INT(A193)</f>
        <v/>
      </c>
      <c r="D193" s="36">
        <f>MONTH(A193)</f>
        <v/>
      </c>
      <c r="E193" s="147" t="inlineStr">
        <is>
          <t>Enerji Açığı</t>
        </is>
      </c>
      <c r="F193" s="30" t="n">
        <v>3686.23</v>
      </c>
      <c r="G193" s="30" t="n">
        <v>4497</v>
      </c>
      <c r="H193" s="30" t="n">
        <v>78.87</v>
      </c>
      <c r="I193" s="30" t="n">
        <v>4112.78</v>
      </c>
      <c r="J193" s="119" t="n">
        <v>0</v>
      </c>
      <c r="K193" s="34">
        <f>F193*J193</f>
        <v/>
      </c>
      <c r="L193" s="119" t="n">
        <v>0</v>
      </c>
      <c r="M193" s="34">
        <f>L193*F193</f>
        <v/>
      </c>
      <c r="N193" s="119" t="n">
        <v>23</v>
      </c>
      <c r="O193" s="34">
        <f>F193</f>
        <v/>
      </c>
      <c r="P193" s="34">
        <f>N193*O193</f>
        <v/>
      </c>
      <c r="Q193" s="117" t="n">
        <v>0</v>
      </c>
      <c r="R193" s="34">
        <f>F193</f>
        <v/>
      </c>
      <c r="S193" s="34">
        <f>R193*Q193</f>
        <v/>
      </c>
      <c r="T193" s="34" t="n"/>
      <c r="U193" s="34">
        <f>IFERROR(W193/T193,0)</f>
        <v/>
      </c>
      <c r="V193" s="34">
        <f>IF(U193=0,0,U193-F193)</f>
        <v/>
      </c>
      <c r="W193" s="34" t="n"/>
      <c r="X193" s="34" t="n"/>
      <c r="Y193" s="34">
        <f>IFERROR(AA193/X193,0)</f>
        <v/>
      </c>
      <c r="Z193" s="34">
        <f>IF(Y193=0,0,F193-Y193)</f>
        <v/>
      </c>
      <c r="AA193" s="34" t="n"/>
      <c r="AB193" s="34" t="n">
        <v>0</v>
      </c>
      <c r="AC193" s="34" t="n">
        <v>0</v>
      </c>
      <c r="AD193" s="34">
        <f>IF(AB193&gt;AC193*1.05,AB193-AC193*1.05,IF(AB193&lt;AC193*0.95,AC193*0.95-AB193,0))</f>
        <v/>
      </c>
      <c r="AE193" s="34">
        <f>MAX(F193,G193,750)*0.05*AD193</f>
        <v/>
      </c>
      <c r="AF193" s="34" t="n">
        <v>0</v>
      </c>
      <c r="AG193" s="34">
        <f>IF(AB193&gt;AF193*1.05,AB193-AF193*1.05,IF(AB193&lt;AF193*0.95,AF193*0.95-AB193,0))</f>
        <v/>
      </c>
      <c r="AH193" s="34">
        <f>MAX(I193,J193,750)*0.05*AG193</f>
        <v/>
      </c>
      <c r="AI193" t="n">
        <v>9.880000000000001</v>
      </c>
      <c r="AJ193" t="n">
        <v>11</v>
      </c>
      <c r="AK193" s="34">
        <f>IF(AI193&gt;AJ193*1.05,AI193-AJ193*1.05,IF(AI193&lt;AJ193*0.95,AJ193*0.95-AI193,0))</f>
        <v/>
      </c>
      <c r="AL193" s="34">
        <f>MAX(F193,G193,750)*0.05*AK193</f>
        <v/>
      </c>
      <c r="AM193" s="39" t="n">
        <v>9</v>
      </c>
      <c r="AN193" s="34">
        <f>IF(AI193&gt;AM193*1.05,AI193-AM193*1.05,IF(AI193&lt;AM193*0.95,AM193*0.95-AI193,0))</f>
        <v/>
      </c>
      <c r="AO193" s="34">
        <f>MAX(F193,G193,750)*0.05*AN193</f>
        <v/>
      </c>
      <c r="AP193" s="34" t="n">
        <v>11.42</v>
      </c>
      <c r="AQ193" s="34" t="n">
        <v>12</v>
      </c>
      <c r="AR193" s="34">
        <f>IF(AP193&gt;AQ193*1.05,AP193-AQ193*1.05,IF(AP193&lt;AQ193*0.95,AQ193*0.95-AP193,0))</f>
        <v/>
      </c>
      <c r="AS193" s="34">
        <f>MAX(F193:G193,750)*0.05*AR193</f>
        <v/>
      </c>
      <c r="AT193" t="n">
        <v>12</v>
      </c>
      <c r="AU193" s="34">
        <f>IF(AP193&gt;AT193*1.05,AP193-AT193*1.05,IF(AP193&lt;AT193*0.95,AT193*0.95-AP193,0))</f>
        <v/>
      </c>
      <c r="AV193" s="34">
        <f>MAX(F193:G193,750)*0.05*AU193</f>
        <v/>
      </c>
      <c r="AW193" s="34">
        <f>AC193+AJ193+AQ193</f>
        <v/>
      </c>
      <c r="AX193" s="34">
        <f>AF193+AM193+AT193</f>
        <v/>
      </c>
      <c r="AY193" s="34">
        <f>AB193+AI193+AP193</f>
        <v/>
      </c>
      <c r="AZ193" s="34" t="n">
        <v>0</v>
      </c>
      <c r="BA193" s="34">
        <f>AD193+AK193+AR193</f>
        <v/>
      </c>
      <c r="BB193" s="34">
        <f>MAX(F193:G193,750)*0.05*BA193</f>
        <v/>
      </c>
      <c r="BC193" s="34">
        <f>AG193+AN193+AU193</f>
        <v/>
      </c>
      <c r="BD193" s="34">
        <f>MAX(F193:G193,750)*0.05*BC193</f>
        <v/>
      </c>
      <c r="BE193" s="34">
        <f>F193*AY193</f>
        <v/>
      </c>
      <c r="BF193" s="34">
        <f>K193-M193</f>
        <v/>
      </c>
      <c r="BG193" s="34">
        <f>P193-S193</f>
        <v/>
      </c>
      <c r="BH193" s="34">
        <f>W193-AA193</f>
        <v/>
      </c>
      <c r="BI193" s="34">
        <f>BF193+BG193+BL193-BN193</f>
        <v/>
      </c>
      <c r="BJ193" s="34">
        <f>ABS(BK193)</f>
        <v/>
      </c>
      <c r="BK193" s="34">
        <f>AY193-(J193-L193+N193-Q193)</f>
        <v/>
      </c>
      <c r="BL193" s="34">
        <f>IF(AND(BK193&gt;0,MIN($F193:$G193)&lt;150,$E193="Enerji Açığı"),-100*BK193*1.03,IF(AND(BK193&gt;0,MIN($F193:$G193)&lt;150,$E193="Enerji Fazlası"),-100*BK193*1.06,IF(AND(BK193&gt;0,MIN($F193:$G193)&gt;=150,$E193="Enerji Açığı"),BK193*MIN($F193:$G193)*0.97,IF(AND(BK193&gt;0,MIN($F193:$G193)&gt;=150,$E193="Enerji Fazlası"),BK193*MIN($F193:$G193)*0.94,IF(AND(BK193&lt;0,MAX($F193:$G193)=4500,$E193="Enerji Açığı"),4500*1.05*1.06*BK193,IF(AND(BK193&lt;0,MAX($F193:$G193)=4500,$E193="Enerji Fazlası"),4500*1.05*1.03*BK193,IF(AND(BK193&lt;0,$E193="Enerji Açığı"),MAX($F193,$G193,150)*BK193*1.06,IF(AND(BK193&lt;0,$E193="Enerji Fazlası"),MAX($F193,$G193,150)*BK193*1.03,IF(AND(BK193&lt;0,$E193="Dengede"),MAX($F193:$G193,150)*1.03*BK193,MIN($F193:$G193)*0.97*BK193)))))))))</f>
        <v/>
      </c>
      <c r="BM193" s="34">
        <f>BE193-BI193-BN193</f>
        <v/>
      </c>
      <c r="BN193" s="34">
        <f>BB193</f>
        <v/>
      </c>
      <c r="BO193" s="34">
        <f>BE193-BI193</f>
        <v/>
      </c>
      <c r="BP193" s="34">
        <f>IF(AY193=0,0,BO193/AY193)</f>
        <v/>
      </c>
      <c r="BQ193" s="34">
        <f>MAX((AY193+MAX((-J193+L193-N193+Q193),0)),(MAX((J193-L193+N193-Q193),0)))</f>
        <v/>
      </c>
      <c r="BR193" s="82">
        <f>IFERROR(ABS(BK193/BQ193),0)</f>
        <v/>
      </c>
      <c r="BS193" s="34">
        <f>IF(BR193&lt;=0.1,0,BK193/BR193*(BR193-0.1))</f>
        <v/>
      </c>
      <c r="BT193" s="34">
        <f>IF((BS193)&lt;0,MAX(F193:G193)*(BS193)*1.03,MIN(F193:G193)*(BS193)*0.97)</f>
        <v/>
      </c>
      <c r="BU193" s="34">
        <f>IF(BR193&gt;0.1,1,0)</f>
        <v/>
      </c>
      <c r="BV193" s="34">
        <f>BF193+BG193+BH193+BY193-CA193</f>
        <v/>
      </c>
      <c r="BW193" s="34">
        <f>ABS(BX193)</f>
        <v/>
      </c>
      <c r="BX193" s="34">
        <f>AY193-(J193-L193+N193-Q193+T193-X193)</f>
        <v/>
      </c>
      <c r="BY193" s="34">
        <f>IF(AND(BX193&gt;0,MIN($F193:$G193)&lt;150,$E193="Enerji Açığı"),-100*BX193*1.03,IF(AND(BX193&gt;0,MIN($F193:$G193)&lt;150,$E193="Enerji Fazlası"),-100*BX193*1.06,IF(AND(BX193&gt;0,MIN($F193:$G193)&gt;=150,$E193="Enerji Açığı"),BX193*MIN($F193:$G193)*0.97,IF(AND(BX193&gt;0,MIN($F193:$G193)&gt;=150,$E193="Enerji Fazlası"),BX193*MIN($F193:$G193)*0.94,IF(AND(BX193&lt;0,MAX($F193:$G193)=4500,$E193="Enerji Açığı"),4500*1.05*1.06*BX193,IF(AND(BX193&lt;0,MAX($F193:$G193)=4500,$E193="Enerji Fazlası"),4500*1.05*1.03*BX193,IF(AND(BX193&lt;0,$E193="Enerji Açığı"),MAX($F193,$G193,150)*BX193*1.06,IF(AND(BX193&lt;0,$E193="Enerji Fazlası"),MAX($F193,$G193,150)*BX193*1.03,IF(AND(BX193&lt;0,$E193="Dengede"),MAX($F193:$G193,150)*1.03*BX193,MIN($F193:$G193)*0.97*BX193)))))))))</f>
        <v/>
      </c>
      <c r="BZ193" s="34">
        <f>BE193-BV193-CA193</f>
        <v/>
      </c>
      <c r="CA193" s="34">
        <f>BD193</f>
        <v/>
      </c>
      <c r="CB193" s="33">
        <f>BE193-BV193</f>
        <v/>
      </c>
      <c r="CC193" s="34">
        <f>IF(AY193=0,0,CB193/AY193)</f>
        <v/>
      </c>
      <c r="CD193" s="34">
        <f>MAX((AY193+MAX((-J193+L193-N193+Q193-T193+X193),0)),(MAX((J193-L193+N193-Q193+T193-X193),0)))</f>
        <v/>
      </c>
      <c r="CE193" s="82">
        <f>IFERROR(ABS(BX193/CD193),0)</f>
        <v/>
      </c>
      <c r="CF193" s="34">
        <f>IF(CE193&lt;=0.1,0,BX193/CE193*(CE193-0.1))</f>
        <v/>
      </c>
      <c r="CG193" s="34">
        <f>IF((CF193)&lt;0,MAX(F193:G193)*(CF193)*1.03,MIN(F193:G193)*(CF193)*0.97)</f>
        <v/>
      </c>
      <c r="CH193" s="34">
        <f>IF(CE193&gt;0.1,1,0)</f>
        <v/>
      </c>
      <c r="CI193" s="34">
        <f>(F193*BX193)-BY193</f>
        <v/>
      </c>
      <c r="CJ193" s="34">
        <f>IF(AY193=0,0,CI193/AY193)</f>
        <v/>
      </c>
      <c r="CK193" t="inlineStr">
        <is>
          <t>l</t>
        </is>
      </c>
    </row>
    <row r="194">
      <c r="A194" s="29" t="n">
        <v>46211.95833333334</v>
      </c>
      <c r="B194" s="29" t="inlineStr">
        <is>
          <t>23:00</t>
        </is>
      </c>
      <c r="C194" s="35">
        <f>INT(A194)</f>
        <v/>
      </c>
      <c r="D194" s="36">
        <f>MONTH(A194)</f>
        <v/>
      </c>
      <c r="E194" s="147" t="inlineStr">
        <is>
          <t>Enerji Açığı</t>
        </is>
      </c>
      <c r="F194" s="30" t="n">
        <v>3323.7</v>
      </c>
      <c r="G194" s="30" t="n">
        <v>4457</v>
      </c>
      <c r="H194" s="30" t="n">
        <v>71.12</v>
      </c>
      <c r="I194" s="30" t="n">
        <v>3726.66</v>
      </c>
      <c r="J194" s="119" t="n">
        <v>0</v>
      </c>
      <c r="K194" s="34">
        <f>F194*J194</f>
        <v/>
      </c>
      <c r="L194" s="119" t="n">
        <v>0</v>
      </c>
      <c r="M194" s="34">
        <f>L194*F194</f>
        <v/>
      </c>
      <c r="N194" s="119" t="n">
        <v>21</v>
      </c>
      <c r="O194" s="34">
        <f>F194</f>
        <v/>
      </c>
      <c r="P194" s="34">
        <f>N194*O194</f>
        <v/>
      </c>
      <c r="Q194" s="117" t="n">
        <v>0</v>
      </c>
      <c r="R194" s="34">
        <f>F194</f>
        <v/>
      </c>
      <c r="S194" s="34">
        <f>R194*Q194</f>
        <v/>
      </c>
      <c r="T194" s="34" t="n"/>
      <c r="U194" s="34">
        <f>IFERROR(W194/T194,0)</f>
        <v/>
      </c>
      <c r="V194" s="34">
        <f>IF(U194=0,0,U194-F194)</f>
        <v/>
      </c>
      <c r="W194" s="34" t="n">
        <v>13887.3</v>
      </c>
      <c r="X194" s="34" t="n"/>
      <c r="Y194" s="34">
        <f>IFERROR(AA194/X194,0)</f>
        <v/>
      </c>
      <c r="Z194" s="34">
        <f>IF(Y194=0,0,F194-Y194)</f>
        <v/>
      </c>
      <c r="AA194" s="34" t="n"/>
      <c r="AB194" s="34" t="n">
        <v>0</v>
      </c>
      <c r="AC194" s="34" t="n">
        <v>0</v>
      </c>
      <c r="AD194" s="34">
        <f>IF(AB194&gt;AC194*1.05,AB194-AC194*1.05,IF(AB194&lt;AC194*0.95,AC194*0.95-AB194,0))</f>
        <v/>
      </c>
      <c r="AE194" s="34">
        <f>MAX(F194,G194,750)*0.05*AD194</f>
        <v/>
      </c>
      <c r="AF194" s="34" t="n">
        <v>0</v>
      </c>
      <c r="AG194" s="34">
        <f>IF(AB194&gt;AF194*1.05,AB194-AF194*1.05,IF(AB194&lt;AF194*0.95,AF194*0.95-AB194,0))</f>
        <v/>
      </c>
      <c r="AH194" s="34">
        <f>MAX(I194,J194,750)*0.05*AG194</f>
        <v/>
      </c>
      <c r="AI194" t="n">
        <v>9.619999999999999</v>
      </c>
      <c r="AJ194" t="n">
        <v>9</v>
      </c>
      <c r="AK194" s="34">
        <f>IF(AI194&gt;AJ194*1.05,AI194-AJ194*1.05,IF(AI194&lt;AJ194*0.95,AJ194*0.95-AI194,0))</f>
        <v/>
      </c>
      <c r="AL194" s="34">
        <f>MAX(F194,G194,750)*0.05*AK194</f>
        <v/>
      </c>
      <c r="AM194" s="39" t="n">
        <v>9</v>
      </c>
      <c r="AN194" s="34">
        <f>IF(AI194&gt;AM194*1.05,AI194-AM194*1.05,IF(AI194&lt;AM194*0.95,AM194*0.95-AI194,0))</f>
        <v/>
      </c>
      <c r="AO194" s="34">
        <f>MAX(F194,G194,750)*0.05*AN194</f>
        <v/>
      </c>
      <c r="AP194" s="34" t="n">
        <v>11.55</v>
      </c>
      <c r="AQ194" s="34" t="n">
        <v>12</v>
      </c>
      <c r="AR194" s="34">
        <f>IF(AP194&gt;AQ194*1.05,AP194-AQ194*1.05,IF(AP194&lt;AQ194*0.95,AQ194*0.95-AP194,0))</f>
        <v/>
      </c>
      <c r="AS194" s="34">
        <f>MAX(F194:G194,750)*0.05*AR194</f>
        <v/>
      </c>
      <c r="AT194" t="n">
        <v>12</v>
      </c>
      <c r="AU194" s="34">
        <f>IF(AP194&gt;AT194*1.05,AP194-AT194*1.05,IF(AP194&lt;AT194*0.95,AT194*0.95-AP194,0))</f>
        <v/>
      </c>
      <c r="AV194" s="34">
        <f>MAX(F194:G194,750)*0.05*AU194</f>
        <v/>
      </c>
      <c r="AW194" s="34">
        <f>AC194+AJ194+AQ194</f>
        <v/>
      </c>
      <c r="AX194" s="34">
        <f>AF194+AM194+AT194</f>
        <v/>
      </c>
      <c r="AY194" s="34">
        <f>AB194+AI194+AP194</f>
        <v/>
      </c>
      <c r="AZ194" s="34" t="n">
        <v>0</v>
      </c>
      <c r="BA194" s="34">
        <f>AD194+AK194+AR194</f>
        <v/>
      </c>
      <c r="BB194" s="34">
        <f>MAX(F194:G194,750)*0.05*BA194</f>
        <v/>
      </c>
      <c r="BC194" s="34">
        <f>AG194+AN194+AU194</f>
        <v/>
      </c>
      <c r="BD194" s="34">
        <f>MAX(F194:G194,750)*0.05*BC194</f>
        <v/>
      </c>
      <c r="BE194" s="34">
        <f>F194*AY194</f>
        <v/>
      </c>
      <c r="BF194" s="34">
        <f>K194-M194</f>
        <v/>
      </c>
      <c r="BG194" s="34">
        <f>P194-S194</f>
        <v/>
      </c>
      <c r="BH194" s="34">
        <f>W194-AA194</f>
        <v/>
      </c>
      <c r="BI194" s="34">
        <f>BF194+BG194+BL194-BN194</f>
        <v/>
      </c>
      <c r="BJ194" s="34">
        <f>ABS(BK194)</f>
        <v/>
      </c>
      <c r="BK194" s="34">
        <f>AY194-(J194-L194+N194-Q194)</f>
        <v/>
      </c>
      <c r="BL194" s="34">
        <f>IF(AND(BK194&gt;0,MIN($F194:$G194)&lt;150,$E194="Enerji Açığı"),-100*BK194*1.03,IF(AND(BK194&gt;0,MIN($F194:$G194)&lt;150,$E194="Enerji Fazlası"),-100*BK194*1.06,IF(AND(BK194&gt;0,MIN($F194:$G194)&gt;=150,$E194="Enerji Açığı"),BK194*MIN($F194:$G194)*0.97,IF(AND(BK194&gt;0,MIN($F194:$G194)&gt;=150,$E194="Enerji Fazlası"),BK194*MIN($F194:$G194)*0.94,IF(AND(BK194&lt;0,MAX($F194:$G194)=4500,$E194="Enerji Açığı"),4500*1.05*1.06*BK194,IF(AND(BK194&lt;0,MAX($F194:$G194)=4500,$E194="Enerji Fazlası"),4500*1.05*1.03*BK194,IF(AND(BK194&lt;0,$E194="Enerji Açığı"),MAX($F194,$G194,150)*BK194*1.06,IF(AND(BK194&lt;0,$E194="Enerji Fazlası"),MAX($F194,$G194,150)*BK194*1.03,IF(AND(BK194&lt;0,$E194="Dengede"),MAX($F194:$G194,150)*1.03*BK194,MIN($F194:$G194)*0.97*BK194)))))))))</f>
        <v/>
      </c>
      <c r="BM194" s="34">
        <f>BE194-BI194-BN194</f>
        <v/>
      </c>
      <c r="BN194" s="34">
        <f>BB194</f>
        <v/>
      </c>
      <c r="BO194" s="34">
        <f>BE194-BI194</f>
        <v/>
      </c>
      <c r="BP194" s="34">
        <f>IF(AY194=0,0,BO194/AY194)</f>
        <v/>
      </c>
      <c r="BQ194" s="34">
        <f>MAX((AY194+MAX((-J194+L194-N194+Q194),0)),(MAX((J194-L194+N194-Q194),0)))</f>
        <v/>
      </c>
      <c r="BR194" s="82">
        <f>IFERROR(ABS(BK194/BQ194),0)</f>
        <v/>
      </c>
      <c r="BS194" s="34">
        <f>IF(BR194&lt;=0.1,0,BK194/BR194*(BR194-0.1))</f>
        <v/>
      </c>
      <c r="BT194" s="34">
        <f>IF((BS194)&lt;0,MAX(F194:G194)*(BS194)*1.03,MIN(F194:G194)*(BS194)*0.97)</f>
        <v/>
      </c>
      <c r="BU194" s="34">
        <f>IF(BR194&gt;0.1,1,0)</f>
        <v/>
      </c>
      <c r="BV194" s="34">
        <f>BF194+BG194+BH194+BY194-CA194</f>
        <v/>
      </c>
      <c r="BW194" s="34">
        <f>ABS(BX194)</f>
        <v/>
      </c>
      <c r="BX194" s="34">
        <f>AY194-(J194-L194+N194-Q194+T194-X194)</f>
        <v/>
      </c>
      <c r="BY194" s="34">
        <f>IF(AND(BX194&gt;0,MIN($F194:$G194)&lt;150,$E194="Enerji Açığı"),-100*BX194*1.03,IF(AND(BX194&gt;0,MIN($F194:$G194)&lt;150,$E194="Enerji Fazlası"),-100*BX194*1.06,IF(AND(BX194&gt;0,MIN($F194:$G194)&gt;=150,$E194="Enerji Açığı"),BX194*MIN($F194:$G194)*0.97,IF(AND(BX194&gt;0,MIN($F194:$G194)&gt;=150,$E194="Enerji Fazlası"),BX194*MIN($F194:$G194)*0.94,IF(AND(BX194&lt;0,MAX($F194:$G194)=4500,$E194="Enerji Açığı"),4500*1.05*1.06*BX194,IF(AND(BX194&lt;0,MAX($F194:$G194)=4500,$E194="Enerji Fazlası"),4500*1.05*1.03*BX194,IF(AND(BX194&lt;0,$E194="Enerji Açığı"),MAX($F194,$G194,150)*BX194*1.06,IF(AND(BX194&lt;0,$E194="Enerji Fazlası"),MAX($F194,$G194,150)*BX194*1.03,IF(AND(BX194&lt;0,$E194="Dengede"),MAX($F194:$G194,150)*1.03*BX194,MIN($F194:$G194)*0.97*BX194)))))))))</f>
        <v/>
      </c>
      <c r="BZ194" s="34">
        <f>BE194-BV194-CA194</f>
        <v/>
      </c>
      <c r="CA194" s="34">
        <f>BD194</f>
        <v/>
      </c>
      <c r="CB194" s="33">
        <f>BE194-BV194</f>
        <v/>
      </c>
      <c r="CC194" s="34">
        <f>IF(AY194=0,0,CB194/AY194)</f>
        <v/>
      </c>
      <c r="CD194" s="34">
        <f>MAX((AY194+MAX((-J194+L194-N194+Q194-T194+X194),0)),(MAX((J194-L194+N194-Q194+T194-X194),0)))</f>
        <v/>
      </c>
      <c r="CE194" s="82">
        <f>IFERROR(ABS(BX194/CD194),0)</f>
        <v/>
      </c>
      <c r="CF194" s="34">
        <f>IF(CE194&lt;=0.1,0,BX194/CE194*(CE194-0.1))</f>
        <v/>
      </c>
      <c r="CG194" s="34">
        <f>IF((CF194)&lt;0,MAX(F194:G194)*(CF194)*1.03,MIN(F194:G194)*(CF194)*0.97)</f>
        <v/>
      </c>
      <c r="CH194" s="34">
        <f>IF(CE194&gt;0.1,1,0)</f>
        <v/>
      </c>
      <c r="CI194" s="34">
        <f>(F194*BX194)-BY194</f>
        <v/>
      </c>
      <c r="CJ194" s="34">
        <f>IF(AY194=0,0,CI194/AY194)</f>
        <v/>
      </c>
    </row>
    <row r="195">
      <c r="A195" s="29" t="n">
        <v>46212</v>
      </c>
      <c r="B195" s="29" t="inlineStr">
        <is>
          <t>00:00</t>
        </is>
      </c>
      <c r="C195" s="35">
        <f>INT(A195)</f>
        <v/>
      </c>
      <c r="D195" s="36">
        <f>MONTH(A195)</f>
        <v/>
      </c>
      <c r="E195" s="147" t="inlineStr">
        <is>
          <t>Enerji Açığı</t>
        </is>
      </c>
      <c r="F195" s="30" t="n">
        <v>3600.01</v>
      </c>
      <c r="G195" s="30" t="n">
        <v>4097</v>
      </c>
      <c r="H195" s="30" t="n">
        <v>77</v>
      </c>
      <c r="I195" s="30" t="n">
        <v>3482.22</v>
      </c>
      <c r="J195" s="119" t="n">
        <v>0</v>
      </c>
      <c r="K195" s="34">
        <f>F195*J195</f>
        <v/>
      </c>
      <c r="L195" s="119" t="n">
        <v>0</v>
      </c>
      <c r="M195" s="34">
        <f>L195*F195</f>
        <v/>
      </c>
      <c r="N195" s="119" t="n">
        <v>16</v>
      </c>
      <c r="O195" s="34">
        <f>F195</f>
        <v/>
      </c>
      <c r="P195" s="34">
        <f>N195*O195</f>
        <v/>
      </c>
      <c r="Q195" s="117" t="n">
        <v>0</v>
      </c>
      <c r="R195" s="34">
        <f>F195</f>
        <v/>
      </c>
      <c r="S195" s="34">
        <f>R195*Q195</f>
        <v/>
      </c>
      <c r="T195" s="34" t="n"/>
      <c r="U195" s="34">
        <f>IFERROR(W195/T195,0)</f>
        <v/>
      </c>
      <c r="V195" s="34">
        <f>IF(U195=0,0,U195-F195)</f>
        <v/>
      </c>
      <c r="W195" s="34" t="n"/>
      <c r="X195" s="34" t="n"/>
      <c r="Y195" s="34">
        <f>IFERROR(AA195/X195,0)</f>
        <v/>
      </c>
      <c r="Z195" s="34">
        <f>IF(Y195=0,0,F195-Y195)</f>
        <v/>
      </c>
      <c r="AA195" s="34" t="n"/>
      <c r="AB195" s="34" t="n">
        <v>0</v>
      </c>
      <c r="AC195" s="34" t="n">
        <v>0</v>
      </c>
      <c r="AD195" s="34">
        <f>IF(AB195&gt;AC195*1.05,AB195-AC195*1.05,IF(AB195&lt;AC195*0.95,AC195*0.95-AB195,0))</f>
        <v/>
      </c>
      <c r="AE195" s="34">
        <f>MAX(F195,G195,750)*0.05*AD195</f>
        <v/>
      </c>
      <c r="AF195" s="34" t="n">
        <v>0</v>
      </c>
      <c r="AG195" s="34">
        <f>IF(AB195&gt;AF195*1.05,AB195-AF195*1.05,IF(AB195&lt;AF195*0.95,AF195*0.95-AB195,0))</f>
        <v/>
      </c>
      <c r="AH195" s="34">
        <f>MAX(I195,J195,750)*0.05*AG195</f>
        <v/>
      </c>
      <c r="AI195" t="n">
        <v>9.17</v>
      </c>
      <c r="AJ195" t="n">
        <v>9</v>
      </c>
      <c r="AK195" s="34">
        <f>IF(AI195&gt;AJ195*1.05,AI195-AJ195*1.05,IF(AI195&lt;AJ195*0.95,AJ195*0.95-AI195,0))</f>
        <v/>
      </c>
      <c r="AL195" s="34">
        <f>MAX(F195,G195,750)*0.05*AK195</f>
        <v/>
      </c>
      <c r="AM195" s="39" t="n">
        <v>9</v>
      </c>
      <c r="AN195" s="34">
        <f>IF(AI195&gt;AM195*1.05,AI195-AM195*1.05,IF(AI195&lt;AM195*0.95,AM195*0.95-AI195,0))</f>
        <v/>
      </c>
      <c r="AO195" s="34">
        <f>MAX(F195,G195,750)*0.05*AN195</f>
        <v/>
      </c>
      <c r="AP195" s="34" t="n">
        <v>12.18</v>
      </c>
      <c r="AQ195" s="34" t="n">
        <v>12</v>
      </c>
      <c r="AR195" s="34">
        <f>IF(AP195&gt;AQ195*1.05,AP195-AQ195*1.05,IF(AP195&lt;AQ195*0.95,AQ195*0.95-AP195,0))</f>
        <v/>
      </c>
      <c r="AS195" s="34">
        <f>MAX(F195:G195,750)*0.05*AR195</f>
        <v/>
      </c>
      <c r="AT195" t="n">
        <v>12</v>
      </c>
      <c r="AU195" s="34">
        <f>IF(AP195&gt;AT195*1.05,AP195-AT195*1.05,IF(AP195&lt;AT195*0.95,AT195*0.95-AP195,0))</f>
        <v/>
      </c>
      <c r="AV195" s="34">
        <f>MAX(F195:G195,750)*0.05*AU195</f>
        <v/>
      </c>
      <c r="AW195" s="34">
        <f>AC195+AJ195+AQ195</f>
        <v/>
      </c>
      <c r="AX195" s="34">
        <f>AF195+AM195+AT195</f>
        <v/>
      </c>
      <c r="AY195" s="34">
        <f>AB195+AI195+AP195</f>
        <v/>
      </c>
      <c r="AZ195" s="34" t="n">
        <v>0</v>
      </c>
      <c r="BA195" s="34">
        <f>AD195+AK195+AR195</f>
        <v/>
      </c>
      <c r="BB195" s="34">
        <f>MAX(F195:G195,750)*0.05*BA195</f>
        <v/>
      </c>
      <c r="BC195" s="34">
        <f>AG195+AN195+AU195</f>
        <v/>
      </c>
      <c r="BD195" s="34">
        <f>MAX(F195:G195,750)*0.05*BC195</f>
        <v/>
      </c>
      <c r="BE195" s="34">
        <f>F195*AY195</f>
        <v/>
      </c>
      <c r="BF195" s="34">
        <f>K195-M195</f>
        <v/>
      </c>
      <c r="BG195" s="34">
        <f>P195-S195</f>
        <v/>
      </c>
      <c r="BH195" s="34">
        <f>W195-AA195</f>
        <v/>
      </c>
      <c r="BI195" s="34">
        <f>BF195+BG195+BL195-BN195</f>
        <v/>
      </c>
      <c r="BJ195" s="34">
        <f>ABS(BK195)</f>
        <v/>
      </c>
      <c r="BK195" s="34">
        <f>AY195-(J195-L195+N195-Q195)</f>
        <v/>
      </c>
      <c r="BL195" s="34">
        <f>IF(AND(BK195&gt;0,MIN($F195:$G195)&lt;150,$E195="Enerji Açığı"),-100*BK195*1.03,IF(AND(BK195&gt;0,MIN($F195:$G195)&lt;150,$E195="Enerji Fazlası"),-100*BK195*1.06,IF(AND(BK195&gt;0,MIN($F195:$G195)&gt;=150,$E195="Enerji Açığı"),BK195*MIN($F195:$G195)*0.97,IF(AND(BK195&gt;0,MIN($F195:$G195)&gt;=150,$E195="Enerji Fazlası"),BK195*MIN($F195:$G195)*0.94,IF(AND(BK195&lt;0,MAX($F195:$G195)=4500,$E195="Enerji Açığı"),4500*1.05*1.06*BK195,IF(AND(BK195&lt;0,MAX($F195:$G195)=4500,$E195="Enerji Fazlası"),4500*1.05*1.03*BK195,IF(AND(BK195&lt;0,$E195="Enerji Açığı"),MAX($F195,$G195,150)*BK195*1.06,IF(AND(BK195&lt;0,$E195="Enerji Fazlası"),MAX($F195,$G195,150)*BK195*1.03,IF(AND(BK195&lt;0,$E195="Dengede"),MAX($F195:$G195,150)*1.03*BK195,MIN($F195:$G195)*0.97*BK195)))))))))</f>
        <v/>
      </c>
      <c r="BM195" s="34">
        <f>BE195-BI195-BN195</f>
        <v/>
      </c>
      <c r="BN195" s="34">
        <f>BB195</f>
        <v/>
      </c>
      <c r="BO195" s="34">
        <f>BE195-BI195</f>
        <v/>
      </c>
      <c r="BP195" s="34">
        <f>IF(AY195=0,0,BO195/AY195)</f>
        <v/>
      </c>
      <c r="BQ195" s="34">
        <f>MAX((AY195+MAX((-J195+L195-N195+Q195),0)),(MAX((J195-L195+N195-Q195),0)))</f>
        <v/>
      </c>
      <c r="BR195" s="82">
        <f>IFERROR(ABS(BK195/BQ195),0)</f>
        <v/>
      </c>
      <c r="BS195" s="34">
        <f>IF(BR195&lt;=0.1,0,BK195/BR195*(BR195-0.1))</f>
        <v/>
      </c>
      <c r="BT195" s="34">
        <f>IF((BS195)&lt;0,MAX(F195:G195)*(BS195)*1.03,MIN(F195:G195)*(BS195)*0.97)</f>
        <v/>
      </c>
      <c r="BU195" s="34">
        <f>IF(BR195&gt;0.1,1,0)</f>
        <v/>
      </c>
      <c r="BV195" s="34">
        <f>BF195+BG195+BH195+BY195-CA195</f>
        <v/>
      </c>
      <c r="BW195" s="34">
        <f>ABS(BX195)</f>
        <v/>
      </c>
      <c r="BX195" s="34">
        <f>AY195-(J195-L195+N195-Q195+T195-X195)</f>
        <v/>
      </c>
      <c r="BY195" s="34">
        <f>IF(AND(BX195&gt;0,MIN($F195:$G195)&lt;150,$E195="Enerji Açığı"),-100*BX195*1.03,IF(AND(BX195&gt;0,MIN($F195:$G195)&lt;150,$E195="Enerji Fazlası"),-100*BX195*1.06,IF(AND(BX195&gt;0,MIN($F195:$G195)&gt;=150,$E195="Enerji Açığı"),BX195*MIN($F195:$G195)*0.97,IF(AND(BX195&gt;0,MIN($F195:$G195)&gt;=150,$E195="Enerji Fazlası"),BX195*MIN($F195:$G195)*0.94,IF(AND(BX195&lt;0,MAX($F195:$G195)=4500,$E195="Enerji Açığı"),4500*1.05*1.06*BX195,IF(AND(BX195&lt;0,MAX($F195:$G195)=4500,$E195="Enerji Fazlası"),4500*1.05*1.03*BX195,IF(AND(BX195&lt;0,$E195="Enerji Açığı"),MAX($F195,$G195,150)*BX195*1.06,IF(AND(BX195&lt;0,$E195="Enerji Fazlası"),MAX($F195,$G195,150)*BX195*1.03,IF(AND(BX195&lt;0,$E195="Dengede"),MAX($F195:$G195,150)*1.03*BX195,MIN($F195:$G195)*0.97*BX195)))))))))</f>
        <v/>
      </c>
      <c r="BZ195" s="34">
        <f>BE195-BV195-CA195</f>
        <v/>
      </c>
      <c r="CA195" s="34">
        <f>BD195</f>
        <v/>
      </c>
      <c r="CB195" s="33">
        <f>BE195-BV195</f>
        <v/>
      </c>
      <c r="CC195" s="34">
        <f>IF(AY195=0,0,CB195/AY195)</f>
        <v/>
      </c>
      <c r="CD195" s="34">
        <f>MAX((AY195+MAX((-J195+L195-N195+Q195-T195+X195),0)),(MAX((J195-L195+N195-Q195+T195-X195),0)))</f>
        <v/>
      </c>
      <c r="CE195" s="82">
        <f>IFERROR(ABS(BX195/CD195),0)</f>
        <v/>
      </c>
      <c r="CF195" s="34">
        <f>IF(CE195&lt;=0.1,0,BX195/CE195*(CE195-0.1))</f>
        <v/>
      </c>
      <c r="CG195" s="34">
        <f>IF((CF195)&lt;0,MAX(F195:G195)*(CF195)*1.03,MIN(F195:G195)*(CF195)*0.97)</f>
        <v/>
      </c>
      <c r="CH195" s="34">
        <f>IF(CE195&gt;0.1,1,0)</f>
        <v/>
      </c>
      <c r="CI195" s="34">
        <f>(F195*BX195)-BY195</f>
        <v/>
      </c>
      <c r="CJ195" s="34">
        <f>IF(AY195=0,0,CI195/AY195)</f>
        <v/>
      </c>
    </row>
    <row r="196">
      <c r="A196" s="29" t="n">
        <v>46212.04166666666</v>
      </c>
      <c r="B196" s="29" t="inlineStr">
        <is>
          <t>01:00</t>
        </is>
      </c>
      <c r="C196" s="35">
        <f>INT(A196)</f>
        <v/>
      </c>
      <c r="D196" s="36">
        <f>MONTH(A196)</f>
        <v/>
      </c>
      <c r="E196" s="147" t="inlineStr">
        <is>
          <t>Enerji Açığı</t>
        </is>
      </c>
      <c r="F196" s="30" t="n">
        <v>3618.42</v>
      </c>
      <c r="G196" s="30" t="n">
        <v>4000</v>
      </c>
      <c r="H196" s="30" t="n">
        <v>77.40000000000001</v>
      </c>
      <c r="I196" s="30" t="n">
        <v>3528.38</v>
      </c>
      <c r="J196" s="119" t="n">
        <v>0</v>
      </c>
      <c r="K196" s="34">
        <f>F196*J196</f>
        <v/>
      </c>
      <c r="L196" s="119" t="n">
        <v>0</v>
      </c>
      <c r="M196" s="34">
        <f>L196*F196</f>
        <v/>
      </c>
      <c r="N196" s="119" t="n">
        <v>16</v>
      </c>
      <c r="O196" s="34">
        <f>F196</f>
        <v/>
      </c>
      <c r="P196" s="34">
        <f>N196*O196</f>
        <v/>
      </c>
      <c r="Q196" s="117" t="n">
        <v>0</v>
      </c>
      <c r="R196" s="34">
        <f>F196</f>
        <v/>
      </c>
      <c r="S196" s="34">
        <f>R196*Q196</f>
        <v/>
      </c>
      <c r="T196" s="34" t="n"/>
      <c r="U196" s="34">
        <f>IFERROR(W196/T196,0)</f>
        <v/>
      </c>
      <c r="V196" s="34">
        <f>IF(U196=0,0,U196-F196)</f>
        <v/>
      </c>
      <c r="W196" s="34" t="n"/>
      <c r="X196" s="34" t="n"/>
      <c r="Y196" s="34">
        <f>IFERROR(AA196/X196,0)</f>
        <v/>
      </c>
      <c r="Z196" s="34">
        <f>IF(Y196=0,0,F196-Y196)</f>
        <v/>
      </c>
      <c r="AA196" s="34" t="n"/>
      <c r="AB196" s="34" t="n">
        <v>0</v>
      </c>
      <c r="AC196" s="34" t="n">
        <v>0</v>
      </c>
      <c r="AD196" s="34">
        <f>IF(AB196&gt;AC196*1.05,AB196-AC196*1.05,IF(AB196&lt;AC196*0.95,AC196*0.95-AB196,0))</f>
        <v/>
      </c>
      <c r="AE196" s="34">
        <f>MAX(F196,G196,750)*0.05*AD196</f>
        <v/>
      </c>
      <c r="AF196" s="34" t="n">
        <v>0</v>
      </c>
      <c r="AG196" s="34">
        <f>IF(AB196&gt;AF196*1.05,AB196-AF196*1.05,IF(AB196&lt;AF196*0.95,AF196*0.95-AB196,0))</f>
        <v/>
      </c>
      <c r="AH196" s="34">
        <f>MAX(I196,J196,750)*0.05*AG196</f>
        <v/>
      </c>
      <c r="AI196" t="n">
        <v>9.130000000000001</v>
      </c>
      <c r="AJ196" t="n">
        <v>9</v>
      </c>
      <c r="AK196" s="34">
        <f>IF(AI196&gt;AJ196*1.05,AI196-AJ196*1.05,IF(AI196&lt;AJ196*0.95,AJ196*0.95-AI196,0))</f>
        <v/>
      </c>
      <c r="AL196" s="34">
        <f>MAX(F196,G196,750)*0.05*AK196</f>
        <v/>
      </c>
      <c r="AM196" s="39" t="n">
        <v>9</v>
      </c>
      <c r="AN196" s="34">
        <f>IF(AI196&gt;AM196*1.05,AI196-AM196*1.05,IF(AI196&lt;AM196*0.95,AM196*0.95-AI196,0))</f>
        <v/>
      </c>
      <c r="AO196" s="34">
        <f>MAX(F196,G196,750)*0.05*AN196</f>
        <v/>
      </c>
      <c r="AP196" s="34" t="n">
        <v>12.2</v>
      </c>
      <c r="AQ196" s="34" t="n">
        <v>12</v>
      </c>
      <c r="AR196" s="34">
        <f>IF(AP196&gt;AQ196*1.05,AP196-AQ196*1.05,IF(AP196&lt;AQ196*0.95,AQ196*0.95-AP196,0))</f>
        <v/>
      </c>
      <c r="AS196" s="34">
        <f>MAX(F196:G196,750)*0.05*AR196</f>
        <v/>
      </c>
      <c r="AT196" t="n">
        <v>12</v>
      </c>
      <c r="AU196" s="34">
        <f>IF(AP196&gt;AT196*1.05,AP196-AT196*1.05,IF(AP196&lt;AT196*0.95,AT196*0.95-AP196,0))</f>
        <v/>
      </c>
      <c r="AV196" s="34">
        <f>MAX(F196:G196,750)*0.05*AU196</f>
        <v/>
      </c>
      <c r="AW196" s="34">
        <f>AC196+AJ196+AQ196</f>
        <v/>
      </c>
      <c r="AX196" s="34">
        <f>AF196+AM196+AT196</f>
        <v/>
      </c>
      <c r="AY196" s="34">
        <f>AB196+AI196+AP196</f>
        <v/>
      </c>
      <c r="AZ196" s="34" t="n">
        <v>0</v>
      </c>
      <c r="BA196" s="34">
        <f>AD196+AK196+AR196</f>
        <v/>
      </c>
      <c r="BB196" s="34">
        <f>MAX(F196:G196,750)*0.05*BA196</f>
        <v/>
      </c>
      <c r="BC196" s="34">
        <f>AG196+AN196+AU196</f>
        <v/>
      </c>
      <c r="BD196" s="34">
        <f>MAX(F196:G196,750)*0.05*BC196</f>
        <v/>
      </c>
      <c r="BE196" s="34">
        <f>F196*AY196</f>
        <v/>
      </c>
      <c r="BF196" s="34">
        <f>K196-M196</f>
        <v/>
      </c>
      <c r="BG196" s="34">
        <f>P196-S196</f>
        <v/>
      </c>
      <c r="BH196" s="34">
        <f>W196-AA196</f>
        <v/>
      </c>
      <c r="BI196" s="34">
        <f>BF196+BG196+BL196-BN196</f>
        <v/>
      </c>
      <c r="BJ196" s="34">
        <f>ABS(BK196)</f>
        <v/>
      </c>
      <c r="BK196" s="34">
        <f>AY196-(J196-L196+N196-Q196)</f>
        <v/>
      </c>
      <c r="BL196" s="34">
        <f>IF(AND(BK196&gt;0,MIN($F196:$G196)&lt;150,$E196="Enerji Açığı"),-100*BK196*1.03,IF(AND(BK196&gt;0,MIN($F196:$G196)&lt;150,$E196="Enerji Fazlası"),-100*BK196*1.06,IF(AND(BK196&gt;0,MIN($F196:$G196)&gt;=150,$E196="Enerji Açığı"),BK196*MIN($F196:$G196)*0.97,IF(AND(BK196&gt;0,MIN($F196:$G196)&gt;=150,$E196="Enerji Fazlası"),BK196*MIN($F196:$G196)*0.94,IF(AND(BK196&lt;0,MAX($F196:$G196)=4500,$E196="Enerji Açığı"),4500*1.05*1.06*BK196,IF(AND(BK196&lt;0,MAX($F196:$G196)=4500,$E196="Enerji Fazlası"),4500*1.05*1.03*BK196,IF(AND(BK196&lt;0,$E196="Enerji Açığı"),MAX($F196,$G196,150)*BK196*1.06,IF(AND(BK196&lt;0,$E196="Enerji Fazlası"),MAX($F196,$G196,150)*BK196*1.03,IF(AND(BK196&lt;0,$E196="Dengede"),MAX($F196:$G196,150)*1.03*BK196,MIN($F196:$G196)*0.97*BK196)))))))))</f>
        <v/>
      </c>
      <c r="BM196" s="34">
        <f>BE196-BI196-BN196</f>
        <v/>
      </c>
      <c r="BN196" s="34">
        <f>BB196</f>
        <v/>
      </c>
      <c r="BO196" s="34">
        <f>BE196-BI196</f>
        <v/>
      </c>
      <c r="BP196" s="34">
        <f>IF(AY196=0,0,BO196/AY196)</f>
        <v/>
      </c>
      <c r="BQ196" s="34">
        <f>MAX((AY196+MAX((-J196+L196-N196+Q196),0)),(MAX((J196-L196+N196-Q196),0)))</f>
        <v/>
      </c>
      <c r="BR196" s="82">
        <f>IFERROR(ABS(BK196/BQ196),0)</f>
        <v/>
      </c>
      <c r="BS196" s="34">
        <f>IF(BR196&lt;=0.1,0,BK196/BR196*(BR196-0.1))</f>
        <v/>
      </c>
      <c r="BT196" s="34">
        <f>IF((BS196)&lt;0,MAX(F196:G196)*(BS196)*1.03,MIN(F196:G196)*(BS196)*0.97)</f>
        <v/>
      </c>
      <c r="BU196" s="34">
        <f>IF(BR196&gt;0.1,1,0)</f>
        <v/>
      </c>
      <c r="BV196" s="34">
        <f>BF196+BG196+BH196+BY196-CA196</f>
        <v/>
      </c>
      <c r="BW196" s="34">
        <f>ABS(BX196)</f>
        <v/>
      </c>
      <c r="BX196" s="34">
        <f>AY196-(J196-L196+N196-Q196+T196-X196)</f>
        <v/>
      </c>
      <c r="BY196" s="34">
        <f>IF(AND(BX196&gt;0,MIN($F196:$G196)&lt;150,$E196="Enerji Açığı"),-100*BX196*1.03,IF(AND(BX196&gt;0,MIN($F196:$G196)&lt;150,$E196="Enerji Fazlası"),-100*BX196*1.06,IF(AND(BX196&gt;0,MIN($F196:$G196)&gt;=150,$E196="Enerji Açığı"),BX196*MIN($F196:$G196)*0.97,IF(AND(BX196&gt;0,MIN($F196:$G196)&gt;=150,$E196="Enerji Fazlası"),BX196*MIN($F196:$G196)*0.94,IF(AND(BX196&lt;0,MAX($F196:$G196)=4500,$E196="Enerji Açığı"),4500*1.05*1.06*BX196,IF(AND(BX196&lt;0,MAX($F196:$G196)=4500,$E196="Enerji Fazlası"),4500*1.05*1.03*BX196,IF(AND(BX196&lt;0,$E196="Enerji Açığı"),MAX($F196,$G196,150)*BX196*1.06,IF(AND(BX196&lt;0,$E196="Enerji Fazlası"),MAX($F196,$G196,150)*BX196*1.03,IF(AND(BX196&lt;0,$E196="Dengede"),MAX($F196:$G196,150)*1.03*BX196,MIN($F196:$G196)*0.97*BX196)))))))))</f>
        <v/>
      </c>
      <c r="BZ196" s="34">
        <f>BE196-BV196-CA196</f>
        <v/>
      </c>
      <c r="CA196" s="34">
        <f>BD196</f>
        <v/>
      </c>
      <c r="CB196" s="33">
        <f>BE196-BV196</f>
        <v/>
      </c>
      <c r="CC196" s="34">
        <f>IF(AY196=0,0,CB196/AY196)</f>
        <v/>
      </c>
      <c r="CD196" s="34">
        <f>MAX((AY196+MAX((-J196+L196-N196+Q196-T196+X196),0)),(MAX((J196-L196+N196-Q196+T196-X196),0)))</f>
        <v/>
      </c>
      <c r="CE196" s="82">
        <f>IFERROR(ABS(BX196/CD196),0)</f>
        <v/>
      </c>
      <c r="CF196" s="34">
        <f>IF(CE196&lt;=0.1,0,BX196/CE196*(CE196-0.1))</f>
        <v/>
      </c>
      <c r="CG196" s="34">
        <f>IF((CF196)&lt;0,MAX(F196:G196)*(CF196)*1.03,MIN(F196:G196)*(CF196)*0.97)</f>
        <v/>
      </c>
      <c r="CH196" s="34">
        <f>IF(CE196&gt;0.1,1,0)</f>
        <v/>
      </c>
      <c r="CI196" s="34">
        <f>(F196*BX196)-BY196</f>
        <v/>
      </c>
      <c r="CJ196" s="34">
        <f>IF(AY196=0,0,CI196/AY196)</f>
        <v/>
      </c>
    </row>
    <row r="197">
      <c r="A197" s="29" t="n">
        <v>46212.08333333334</v>
      </c>
      <c r="B197" s="29" t="inlineStr">
        <is>
          <t>02:00</t>
        </is>
      </c>
      <c r="C197" s="35">
        <f>INT(A197)</f>
        <v/>
      </c>
      <c r="D197" s="36">
        <f>MONTH(A197)</f>
        <v/>
      </c>
      <c r="E197" s="147" t="inlineStr">
        <is>
          <t>Enerji Açığı</t>
        </is>
      </c>
      <c r="F197" s="30" t="n">
        <v>3055.01</v>
      </c>
      <c r="G197" s="30" t="n">
        <v>3719</v>
      </c>
      <c r="H197" s="30" t="n">
        <v>65.34</v>
      </c>
      <c r="I197" s="30" t="n">
        <v>3172.37</v>
      </c>
      <c r="J197" s="119" t="n">
        <v>0</v>
      </c>
      <c r="K197" s="34">
        <f>F197*J197</f>
        <v/>
      </c>
      <c r="L197" s="119" t="n">
        <v>0</v>
      </c>
      <c r="M197" s="34">
        <f>L197*F197</f>
        <v/>
      </c>
      <c r="N197" s="119" t="n">
        <v>16</v>
      </c>
      <c r="O197" s="34">
        <f>F197</f>
        <v/>
      </c>
      <c r="P197" s="34">
        <f>N197*O197</f>
        <v/>
      </c>
      <c r="Q197" s="117" t="n">
        <v>0</v>
      </c>
      <c r="R197" s="34">
        <f>F197</f>
        <v/>
      </c>
      <c r="S197" s="34">
        <f>R197*Q197</f>
        <v/>
      </c>
      <c r="T197" s="34" t="n"/>
      <c r="U197" s="34">
        <f>IFERROR(W197/T197,0)</f>
        <v/>
      </c>
      <c r="V197" s="34">
        <f>IF(U197=0,0,U197-F197)</f>
        <v/>
      </c>
      <c r="W197" s="34" t="n"/>
      <c r="X197" s="34" t="n"/>
      <c r="Y197" s="34">
        <f>IFERROR(AA197/X197,0)</f>
        <v/>
      </c>
      <c r="Z197" s="34">
        <f>IF(Y197=0,0,F197-Y197)</f>
        <v/>
      </c>
      <c r="AA197" s="34" t="n"/>
      <c r="AB197" s="34" t="n">
        <v>0</v>
      </c>
      <c r="AC197" s="34" t="n">
        <v>0</v>
      </c>
      <c r="AD197" s="34">
        <f>IF(AB197&gt;AC197*1.05,AB197-AC197*1.05,IF(AB197&lt;AC197*0.95,AC197*0.95-AB197,0))</f>
        <v/>
      </c>
      <c r="AE197" s="34">
        <f>MAX(F197,G197,750)*0.05*AD197</f>
        <v/>
      </c>
      <c r="AF197" s="34" t="n">
        <v>0</v>
      </c>
      <c r="AG197" s="34">
        <f>IF(AB197&gt;AF197*1.05,AB197-AF197*1.05,IF(AB197&lt;AF197*0.95,AF197*0.95-AB197,0))</f>
        <v/>
      </c>
      <c r="AH197" s="34">
        <f>MAX(I197,J197,750)*0.05*AG197</f>
        <v/>
      </c>
      <c r="AI197" t="n">
        <v>9.15</v>
      </c>
      <c r="AJ197" t="n">
        <v>9</v>
      </c>
      <c r="AK197" s="34">
        <f>IF(AI197&gt;AJ197*1.05,AI197-AJ197*1.05,IF(AI197&lt;AJ197*0.95,AJ197*0.95-AI197,0))</f>
        <v/>
      </c>
      <c r="AL197" s="34">
        <f>MAX(F197,G197,750)*0.05*AK197</f>
        <v/>
      </c>
      <c r="AM197" s="39" t="n">
        <v>9</v>
      </c>
      <c r="AN197" s="34">
        <f>IF(AI197&gt;AM197*1.05,AI197-AM197*1.05,IF(AI197&lt;AM197*0.95,AM197*0.95-AI197,0))</f>
        <v/>
      </c>
      <c r="AO197" s="34">
        <f>MAX(F197,G197,750)*0.05*AN197</f>
        <v/>
      </c>
      <c r="AP197" s="34" t="n">
        <v>12.2</v>
      </c>
      <c r="AQ197" s="34" t="n">
        <v>12</v>
      </c>
      <c r="AR197" s="34">
        <f>IF(AP197&gt;AQ197*1.05,AP197-AQ197*1.05,IF(AP197&lt;AQ197*0.95,AQ197*0.95-AP197,0))</f>
        <v/>
      </c>
      <c r="AS197" s="34">
        <f>MAX(F197:G197,750)*0.05*AR197</f>
        <v/>
      </c>
      <c r="AT197" t="n">
        <v>12</v>
      </c>
      <c r="AU197" s="34">
        <f>IF(AP197&gt;AT197*1.05,AP197-AT197*1.05,IF(AP197&lt;AT197*0.95,AT197*0.95-AP197,0))</f>
        <v/>
      </c>
      <c r="AV197" s="34">
        <f>MAX(F197:G197,750)*0.05*AU197</f>
        <v/>
      </c>
      <c r="AW197" s="34">
        <f>AC197+AJ197+AQ197</f>
        <v/>
      </c>
      <c r="AX197" s="34">
        <f>AF197+AM197+AT197</f>
        <v/>
      </c>
      <c r="AY197" s="34">
        <f>AB197+AI197+AP197</f>
        <v/>
      </c>
      <c r="AZ197" s="34" t="n">
        <v>0</v>
      </c>
      <c r="BA197" s="34">
        <f>AD197+AK197+AR197</f>
        <v/>
      </c>
      <c r="BB197" s="34">
        <f>MAX(F197:G197,750)*0.05*BA197</f>
        <v/>
      </c>
      <c r="BC197" s="34">
        <f>AG197+AN197+AU197</f>
        <v/>
      </c>
      <c r="BD197" s="34">
        <f>MAX(F197:G197,750)*0.05*BC197</f>
        <v/>
      </c>
      <c r="BE197" s="34">
        <f>F197*AY197</f>
        <v/>
      </c>
      <c r="BF197" s="34">
        <f>K197-M197</f>
        <v/>
      </c>
      <c r="BG197" s="34">
        <f>P197-S197</f>
        <v/>
      </c>
      <c r="BH197" s="34">
        <f>W197-AA197</f>
        <v/>
      </c>
      <c r="BI197" s="34">
        <f>BF197+BG197+BL197-BN197</f>
        <v/>
      </c>
      <c r="BJ197" s="34">
        <f>ABS(BK197)</f>
        <v/>
      </c>
      <c r="BK197" s="34">
        <f>AY197-(J197-L197+N197-Q197)</f>
        <v/>
      </c>
      <c r="BL197" s="34">
        <f>IF(AND(BK197&gt;0,MIN($F197:$G197)&lt;150,$E197="Enerji Açığı"),-100*BK197*1.03,IF(AND(BK197&gt;0,MIN($F197:$G197)&lt;150,$E197="Enerji Fazlası"),-100*BK197*1.06,IF(AND(BK197&gt;0,MIN($F197:$G197)&gt;=150,$E197="Enerji Açığı"),BK197*MIN($F197:$G197)*0.97,IF(AND(BK197&gt;0,MIN($F197:$G197)&gt;=150,$E197="Enerji Fazlası"),BK197*MIN($F197:$G197)*0.94,IF(AND(BK197&lt;0,MAX($F197:$G197)=4500,$E197="Enerji Açığı"),4500*1.05*1.06*BK197,IF(AND(BK197&lt;0,MAX($F197:$G197)=4500,$E197="Enerji Fazlası"),4500*1.05*1.03*BK197,IF(AND(BK197&lt;0,$E197="Enerji Açığı"),MAX($F197,$G197,150)*BK197*1.06,IF(AND(BK197&lt;0,$E197="Enerji Fazlası"),MAX($F197,$G197,150)*BK197*1.03,IF(AND(BK197&lt;0,$E197="Dengede"),MAX($F197:$G197,150)*1.03*BK197,MIN($F197:$G197)*0.97*BK197)))))))))</f>
        <v/>
      </c>
      <c r="BM197" s="34">
        <f>BE197-BI197-BN197</f>
        <v/>
      </c>
      <c r="BN197" s="34">
        <f>BB197</f>
        <v/>
      </c>
      <c r="BO197" s="34">
        <f>BE197-BI197</f>
        <v/>
      </c>
      <c r="BP197" s="34">
        <f>IF(AY197=0,0,BO197/AY197)</f>
        <v/>
      </c>
      <c r="BQ197" s="34">
        <f>MAX((AY197+MAX((-J197+L197-N197+Q197),0)),(MAX((J197-L197+N197-Q197),0)))</f>
        <v/>
      </c>
      <c r="BR197" s="82">
        <f>IFERROR(ABS(BK197/BQ197),0)</f>
        <v/>
      </c>
      <c r="BS197" s="34">
        <f>IF(BR197&lt;=0.1,0,BK197/BR197*(BR197-0.1))</f>
        <v/>
      </c>
      <c r="BT197" s="34">
        <f>IF((BS197)&lt;0,MAX(F197:G197)*(BS197)*1.03,MIN(F197:G197)*(BS197)*0.97)</f>
        <v/>
      </c>
      <c r="BU197" s="34">
        <f>IF(BR197&gt;0.1,1,0)</f>
        <v/>
      </c>
      <c r="BV197" s="34">
        <f>BF197+BG197+BH197+BY197-CA197</f>
        <v/>
      </c>
      <c r="BW197" s="34">
        <f>ABS(BX197)</f>
        <v/>
      </c>
      <c r="BX197" s="34">
        <f>AY197-(J197-L197+N197-Q197+T197-X197)</f>
        <v/>
      </c>
      <c r="BY197" s="34">
        <f>IF(AND(BX197&gt;0,MIN($F197:$G197)&lt;150,$E197="Enerji Açığı"),-100*BX197*1.03,IF(AND(BX197&gt;0,MIN($F197:$G197)&lt;150,$E197="Enerji Fazlası"),-100*BX197*1.06,IF(AND(BX197&gt;0,MIN($F197:$G197)&gt;=150,$E197="Enerji Açığı"),BX197*MIN($F197:$G197)*0.97,IF(AND(BX197&gt;0,MIN($F197:$G197)&gt;=150,$E197="Enerji Fazlası"),BX197*MIN($F197:$G197)*0.94,IF(AND(BX197&lt;0,MAX($F197:$G197)=4500,$E197="Enerji Açığı"),4500*1.05*1.06*BX197,IF(AND(BX197&lt;0,MAX($F197:$G197)=4500,$E197="Enerji Fazlası"),4500*1.05*1.03*BX197,IF(AND(BX197&lt;0,$E197="Enerji Açığı"),MAX($F197,$G197,150)*BX197*1.06,IF(AND(BX197&lt;0,$E197="Enerji Fazlası"),MAX($F197,$G197,150)*BX197*1.03,IF(AND(BX197&lt;0,$E197="Dengede"),MAX($F197:$G197,150)*1.03*BX197,MIN($F197:$G197)*0.97*BX197)))))))))</f>
        <v/>
      </c>
      <c r="BZ197" s="34">
        <f>BE197-BV197-CA197</f>
        <v/>
      </c>
      <c r="CA197" s="34">
        <f>BD197</f>
        <v/>
      </c>
      <c r="CB197" s="33">
        <f>BE197-BV197</f>
        <v/>
      </c>
      <c r="CC197" s="34">
        <f>IF(AY197=0,0,CB197/AY197)</f>
        <v/>
      </c>
      <c r="CD197" s="34">
        <f>MAX((AY197+MAX((-J197+L197-N197+Q197-T197+X197),0)),(MAX((J197-L197+N197-Q197+T197-X197),0)))</f>
        <v/>
      </c>
      <c r="CE197" s="82">
        <f>IFERROR(ABS(BX197/CD197),0)</f>
        <v/>
      </c>
      <c r="CF197" s="34">
        <f>IF(CE197&lt;=0.1,0,BX197/CE197*(CE197-0.1))</f>
        <v/>
      </c>
      <c r="CG197" s="34">
        <f>IF((CF197)&lt;0,MAX(F197:G197)*(CF197)*1.03,MIN(F197:G197)*(CF197)*0.97)</f>
        <v/>
      </c>
      <c r="CH197" s="34">
        <f>IF(CE197&gt;0.1,1,0)</f>
        <v/>
      </c>
      <c r="CI197" s="34">
        <f>(F197*BX197)-BY197</f>
        <v/>
      </c>
      <c r="CJ197" s="34">
        <f>IF(AY197=0,0,CI197/AY197)</f>
        <v/>
      </c>
    </row>
    <row r="198">
      <c r="A198" s="29" t="n">
        <v>46212.125</v>
      </c>
      <c r="B198" s="29" t="inlineStr">
        <is>
          <t>03:00</t>
        </is>
      </c>
      <c r="C198" s="35">
        <f>INT(A198)</f>
        <v/>
      </c>
      <c r="D198" s="36">
        <f>MONTH(A198)</f>
        <v/>
      </c>
      <c r="E198" s="147" t="inlineStr">
        <is>
          <t>Enerji Açığı</t>
        </is>
      </c>
      <c r="F198" s="30" t="n">
        <v>3014.09</v>
      </c>
      <c r="G198" s="30" t="n">
        <v>3500</v>
      </c>
      <c r="H198" s="30" t="n">
        <v>64.47</v>
      </c>
      <c r="I198" s="30" t="n">
        <v>3062.66</v>
      </c>
      <c r="J198" s="119" t="n">
        <v>0</v>
      </c>
      <c r="K198" s="34">
        <f>F198*J198</f>
        <v/>
      </c>
      <c r="L198" s="119" t="n">
        <v>0</v>
      </c>
      <c r="M198" s="34">
        <f>L198*F198</f>
        <v/>
      </c>
      <c r="N198" s="119" t="n">
        <v>16</v>
      </c>
      <c r="O198" s="34">
        <f>F198</f>
        <v/>
      </c>
      <c r="P198" s="34">
        <f>N198*O198</f>
        <v/>
      </c>
      <c r="Q198" s="117" t="n">
        <v>0</v>
      </c>
      <c r="R198" s="34">
        <f>F198</f>
        <v/>
      </c>
      <c r="S198" s="34">
        <f>R198*Q198</f>
        <v/>
      </c>
      <c r="T198" s="34" t="n"/>
      <c r="U198" s="34">
        <f>IFERROR(W198/T198,0)</f>
        <v/>
      </c>
      <c r="V198" s="34">
        <f>IF(U198=0,0,U198-F198)</f>
        <v/>
      </c>
      <c r="W198" s="34" t="n"/>
      <c r="X198" s="34" t="n"/>
      <c r="Y198" s="34">
        <f>IFERROR(AA198/X198,0)</f>
        <v/>
      </c>
      <c r="Z198" s="34">
        <f>IF(Y198=0,0,F198-Y198)</f>
        <v/>
      </c>
      <c r="AA198" s="34" t="n"/>
      <c r="AB198" s="34" t="n">
        <v>0</v>
      </c>
      <c r="AC198" s="34" t="n">
        <v>0</v>
      </c>
      <c r="AD198" s="34">
        <f>IF(AB198&gt;AC198*1.05,AB198-AC198*1.05,IF(AB198&lt;AC198*0.95,AC198*0.95-AB198,0))</f>
        <v/>
      </c>
      <c r="AE198" s="34">
        <f>MAX(F198,G198,750)*0.05*AD198</f>
        <v/>
      </c>
      <c r="AF198" s="34" t="n">
        <v>0</v>
      </c>
      <c r="AG198" s="34">
        <f>IF(AB198&gt;AF198*1.05,AB198-AF198*1.05,IF(AB198&lt;AF198*0.95,AF198*0.95-AB198,0))</f>
        <v/>
      </c>
      <c r="AH198" s="34">
        <f>MAX(I198,J198,750)*0.05*AG198</f>
        <v/>
      </c>
      <c r="AI198" t="n">
        <v>9.140000000000001</v>
      </c>
      <c r="AJ198" t="n">
        <v>9</v>
      </c>
      <c r="AK198" s="34">
        <f>IF(AI198&gt;AJ198*1.05,AI198-AJ198*1.05,IF(AI198&lt;AJ198*0.95,AJ198*0.95-AI198,0))</f>
        <v/>
      </c>
      <c r="AL198" s="34">
        <f>MAX(F198,G198,750)*0.05*AK198</f>
        <v/>
      </c>
      <c r="AM198" s="39" t="n">
        <v>9</v>
      </c>
      <c r="AN198" s="34">
        <f>IF(AI198&gt;AM198*1.05,AI198-AM198*1.05,IF(AI198&lt;AM198*0.95,AM198*0.95-AI198,0))</f>
        <v/>
      </c>
      <c r="AO198" s="34">
        <f>MAX(F198,G198,750)*0.05*AN198</f>
        <v/>
      </c>
      <c r="AP198" s="34" t="n">
        <v>12.2</v>
      </c>
      <c r="AQ198" s="34" t="n">
        <v>12</v>
      </c>
      <c r="AR198" s="34">
        <f>IF(AP198&gt;AQ198*1.05,AP198-AQ198*1.05,IF(AP198&lt;AQ198*0.95,AQ198*0.95-AP198,0))</f>
        <v/>
      </c>
      <c r="AS198" s="34">
        <f>MAX(F198:G198,750)*0.05*AR198</f>
        <v/>
      </c>
      <c r="AT198" t="n">
        <v>12</v>
      </c>
      <c r="AU198" s="34">
        <f>IF(AP198&gt;AT198*1.05,AP198-AT198*1.05,IF(AP198&lt;AT198*0.95,AT198*0.95-AP198,0))</f>
        <v/>
      </c>
      <c r="AV198" s="34">
        <f>MAX(F198:G198,750)*0.05*AU198</f>
        <v/>
      </c>
      <c r="AW198" s="34">
        <f>AC198+AJ198+AQ198</f>
        <v/>
      </c>
      <c r="AX198" s="34">
        <f>AF198+AM198+AT198</f>
        <v/>
      </c>
      <c r="AY198" s="34">
        <f>AB198+AI198+AP198</f>
        <v/>
      </c>
      <c r="AZ198" s="34" t="n">
        <v>0</v>
      </c>
      <c r="BA198" s="34">
        <f>AD198+AK198+AR198</f>
        <v/>
      </c>
      <c r="BB198" s="34">
        <f>MAX(F198:G198,750)*0.05*BA198</f>
        <v/>
      </c>
      <c r="BC198" s="34">
        <f>AG198+AN198+AU198</f>
        <v/>
      </c>
      <c r="BD198" s="34">
        <f>MAX(F198:G198,750)*0.05*BC198</f>
        <v/>
      </c>
      <c r="BE198" s="34">
        <f>F198*AY198</f>
        <v/>
      </c>
      <c r="BF198" s="34">
        <f>K198-M198</f>
        <v/>
      </c>
      <c r="BG198" s="34">
        <f>P198-S198</f>
        <v/>
      </c>
      <c r="BH198" s="34">
        <f>W198-AA198</f>
        <v/>
      </c>
      <c r="BI198" s="34">
        <f>BF198+BG198+BL198-BN198</f>
        <v/>
      </c>
      <c r="BJ198" s="34">
        <f>ABS(BK198)</f>
        <v/>
      </c>
      <c r="BK198" s="34">
        <f>AY198-(J198-L198+N198-Q198)</f>
        <v/>
      </c>
      <c r="BL198" s="34">
        <f>IF(AND(BK198&gt;0,MIN($F198:$G198)&lt;150,$E198="Enerji Açığı"),-100*BK198*1.03,IF(AND(BK198&gt;0,MIN($F198:$G198)&lt;150,$E198="Enerji Fazlası"),-100*BK198*1.06,IF(AND(BK198&gt;0,MIN($F198:$G198)&gt;=150,$E198="Enerji Açığı"),BK198*MIN($F198:$G198)*0.97,IF(AND(BK198&gt;0,MIN($F198:$G198)&gt;=150,$E198="Enerji Fazlası"),BK198*MIN($F198:$G198)*0.94,IF(AND(BK198&lt;0,MAX($F198:$G198)=4500,$E198="Enerji Açığı"),4500*1.05*1.06*BK198,IF(AND(BK198&lt;0,MAX($F198:$G198)=4500,$E198="Enerji Fazlası"),4500*1.05*1.03*BK198,IF(AND(BK198&lt;0,$E198="Enerji Açığı"),MAX($F198,$G198,150)*BK198*1.06,IF(AND(BK198&lt;0,$E198="Enerji Fazlası"),MAX($F198,$G198,150)*BK198*1.03,IF(AND(BK198&lt;0,$E198="Dengede"),MAX($F198:$G198,150)*1.03*BK198,MIN($F198:$G198)*0.97*BK198)))))))))</f>
        <v/>
      </c>
      <c r="BM198" s="34">
        <f>BE198-BI198-BN198</f>
        <v/>
      </c>
      <c r="BN198" s="34">
        <f>BB198</f>
        <v/>
      </c>
      <c r="BO198" s="34">
        <f>BE198-BI198</f>
        <v/>
      </c>
      <c r="BP198" s="34">
        <f>IF(AY198=0,0,BO198/AY198)</f>
        <v/>
      </c>
      <c r="BQ198" s="34">
        <f>MAX((AY198+MAX((-J198+L198-N198+Q198),0)),(MAX((J198-L198+N198-Q198),0)))</f>
        <v/>
      </c>
      <c r="BR198" s="82">
        <f>IFERROR(ABS(BK198/BQ198),0)</f>
        <v/>
      </c>
      <c r="BS198" s="34">
        <f>IF(BR198&lt;=0.1,0,BK198/BR198*(BR198-0.1))</f>
        <v/>
      </c>
      <c r="BT198" s="34">
        <f>IF((BS198)&lt;0,MAX(F198:G198)*(BS198)*1.03,MIN(F198:G198)*(BS198)*0.97)</f>
        <v/>
      </c>
      <c r="BU198" s="34">
        <f>IF(BR198&gt;0.1,1,0)</f>
        <v/>
      </c>
      <c r="BV198" s="34">
        <f>BF198+BG198+BH198+BY198-CA198</f>
        <v/>
      </c>
      <c r="BW198" s="34">
        <f>ABS(BX198)</f>
        <v/>
      </c>
      <c r="BX198" s="34">
        <f>AY198-(J198-L198+N198-Q198+T198-X198)</f>
        <v/>
      </c>
      <c r="BY198" s="34">
        <f>IF(AND(BX198&gt;0,MIN($F198:$G198)&lt;150,$E198="Enerji Açığı"),-100*BX198*1.03,IF(AND(BX198&gt;0,MIN($F198:$G198)&lt;150,$E198="Enerji Fazlası"),-100*BX198*1.06,IF(AND(BX198&gt;0,MIN($F198:$G198)&gt;=150,$E198="Enerji Açığı"),BX198*MIN($F198:$G198)*0.97,IF(AND(BX198&gt;0,MIN($F198:$G198)&gt;=150,$E198="Enerji Fazlası"),BX198*MIN($F198:$G198)*0.94,IF(AND(BX198&lt;0,MAX($F198:$G198)=4500,$E198="Enerji Açığı"),4500*1.05*1.06*BX198,IF(AND(BX198&lt;0,MAX($F198:$G198)=4500,$E198="Enerji Fazlası"),4500*1.05*1.03*BX198,IF(AND(BX198&lt;0,$E198="Enerji Açığı"),MAX($F198,$G198,150)*BX198*1.06,IF(AND(BX198&lt;0,$E198="Enerji Fazlası"),MAX($F198,$G198,150)*BX198*1.03,IF(AND(BX198&lt;0,$E198="Dengede"),MAX($F198:$G198,150)*1.03*BX198,MIN($F198:$G198)*0.97*BX198)))))))))</f>
        <v/>
      </c>
      <c r="BZ198" s="34">
        <f>BE198-BV198-CA198</f>
        <v/>
      </c>
      <c r="CA198" s="34">
        <f>BD198</f>
        <v/>
      </c>
      <c r="CB198" s="33">
        <f>BE198-BV198</f>
        <v/>
      </c>
      <c r="CC198" s="34">
        <f>IF(AY198=0,0,CB198/AY198)</f>
        <v/>
      </c>
      <c r="CD198" s="34">
        <f>MAX((AY198+MAX((-J198+L198-N198+Q198-T198+X198),0)),(MAX((J198-L198+N198-Q198+T198-X198),0)))</f>
        <v/>
      </c>
      <c r="CE198" s="82">
        <f>IFERROR(ABS(BX198/CD198),0)</f>
        <v/>
      </c>
      <c r="CF198" s="34">
        <f>IF(CE198&lt;=0.1,0,BX198/CE198*(CE198-0.1))</f>
        <v/>
      </c>
      <c r="CG198" s="34">
        <f>IF((CF198)&lt;0,MAX(F198:G198)*(CF198)*1.03,MIN(F198:G198)*(CF198)*0.97)</f>
        <v/>
      </c>
      <c r="CH198" s="34">
        <f>IF(CE198&gt;0.1,1,0)</f>
        <v/>
      </c>
      <c r="CI198" s="34">
        <f>(F198*BX198)-BY198</f>
        <v/>
      </c>
      <c r="CJ198" s="34">
        <f>IF(AY198=0,0,CI198/AY198)</f>
        <v/>
      </c>
    </row>
    <row r="199">
      <c r="A199" s="29" t="n">
        <v>46212.16666666666</v>
      </c>
      <c r="B199" s="29" t="inlineStr">
        <is>
          <t>04:00</t>
        </is>
      </c>
      <c r="C199" s="35">
        <f>INT(A199)</f>
        <v/>
      </c>
      <c r="D199" s="36">
        <f>MONTH(A199)</f>
        <v/>
      </c>
      <c r="E199" s="147" t="inlineStr">
        <is>
          <t>Enerji Açığı</t>
        </is>
      </c>
      <c r="F199" s="30" t="n">
        <v>4000</v>
      </c>
      <c r="G199" s="30" t="n">
        <v>4000</v>
      </c>
      <c r="H199" s="30" t="n">
        <v>85.56</v>
      </c>
      <c r="I199" s="30" t="n">
        <v>3998.94</v>
      </c>
      <c r="J199" s="119" t="n">
        <v>0</v>
      </c>
      <c r="K199" s="34">
        <f>F199*J199</f>
        <v/>
      </c>
      <c r="L199" s="119" t="n">
        <v>0</v>
      </c>
      <c r="M199" s="34">
        <f>L199*F199</f>
        <v/>
      </c>
      <c r="N199" s="119" t="n">
        <v>16</v>
      </c>
      <c r="O199" s="34">
        <f>F199</f>
        <v/>
      </c>
      <c r="P199" s="34">
        <f>N199*O199</f>
        <v/>
      </c>
      <c r="Q199" s="117" t="n">
        <v>0</v>
      </c>
      <c r="R199" s="34">
        <f>F199</f>
        <v/>
      </c>
      <c r="S199" s="34">
        <f>R199*Q199</f>
        <v/>
      </c>
      <c r="T199" s="34" t="n"/>
      <c r="U199" s="34">
        <f>IFERROR(W199/T199,0)</f>
        <v/>
      </c>
      <c r="V199" s="34">
        <f>IF(U199=0,0,U199-F199)</f>
        <v/>
      </c>
      <c r="W199" s="34" t="n"/>
      <c r="X199" s="34" t="n"/>
      <c r="Y199" s="34">
        <f>IFERROR(AA199/X199,0)</f>
        <v/>
      </c>
      <c r="Z199" s="34">
        <f>IF(Y199=0,0,F199-Y199)</f>
        <v/>
      </c>
      <c r="AA199" s="34" t="n"/>
      <c r="AB199" s="34" t="n">
        <v>0</v>
      </c>
      <c r="AC199" s="34" t="n">
        <v>0</v>
      </c>
      <c r="AD199" s="34">
        <f>IF(AB199&gt;AC199*1.05,AB199-AC199*1.05,IF(AB199&lt;AC199*0.95,AC199*0.95-AB199,0))</f>
        <v/>
      </c>
      <c r="AE199" s="34">
        <f>MAX(F199,G199,750)*0.05*AD199</f>
        <v/>
      </c>
      <c r="AF199" s="34" t="n">
        <v>0</v>
      </c>
      <c r="AG199" s="34">
        <f>IF(AB199&gt;AF199*1.05,AB199-AF199*1.05,IF(AB199&lt;AF199*0.95,AF199*0.95-AB199,0))</f>
        <v/>
      </c>
      <c r="AH199" s="34">
        <f>MAX(I199,J199,750)*0.05*AG199</f>
        <v/>
      </c>
      <c r="AI199" t="n">
        <v>9.119999999999999</v>
      </c>
      <c r="AJ199" t="n">
        <v>9</v>
      </c>
      <c r="AK199" s="34">
        <f>IF(AI199&gt;AJ199*1.05,AI199-AJ199*1.05,IF(AI199&lt;AJ199*0.95,AJ199*0.95-AI199,0))</f>
        <v/>
      </c>
      <c r="AL199" s="34">
        <f>MAX(F199,G199,750)*0.05*AK199</f>
        <v/>
      </c>
      <c r="AM199" s="39" t="n">
        <v>9</v>
      </c>
      <c r="AN199" s="34">
        <f>IF(AI199&gt;AM199*1.05,AI199-AM199*1.05,IF(AI199&lt;AM199*0.95,AM199*0.95-AI199,0))</f>
        <v/>
      </c>
      <c r="AO199" s="34">
        <f>MAX(F199,G199,750)*0.05*AN199</f>
        <v/>
      </c>
      <c r="AP199" s="34" t="n">
        <v>12.21</v>
      </c>
      <c r="AQ199" s="34" t="n">
        <v>12</v>
      </c>
      <c r="AR199" s="34">
        <f>IF(AP199&gt;AQ199*1.05,AP199-AQ199*1.05,IF(AP199&lt;AQ199*0.95,AQ199*0.95-AP199,0))</f>
        <v/>
      </c>
      <c r="AS199" s="34">
        <f>MAX(F199:G199,750)*0.05*AR199</f>
        <v/>
      </c>
      <c r="AT199" t="n">
        <v>12</v>
      </c>
      <c r="AU199" s="34">
        <f>IF(AP199&gt;AT199*1.05,AP199-AT199*1.05,IF(AP199&lt;AT199*0.95,AT199*0.95-AP199,0))</f>
        <v/>
      </c>
      <c r="AV199" s="34">
        <f>MAX(F199:G199,750)*0.05*AU199</f>
        <v/>
      </c>
      <c r="AW199" s="34">
        <f>AC199+AJ199+AQ199</f>
        <v/>
      </c>
      <c r="AX199" s="34">
        <f>AF199+AM199+AT199</f>
        <v/>
      </c>
      <c r="AY199" s="34">
        <f>AB199+AI199+AP199</f>
        <v/>
      </c>
      <c r="AZ199" s="34" t="n">
        <v>0</v>
      </c>
      <c r="BA199" s="34">
        <f>AD199+AK199+AR199</f>
        <v/>
      </c>
      <c r="BB199" s="34">
        <f>MAX(F199:G199,750)*0.05*BA199</f>
        <v/>
      </c>
      <c r="BC199" s="34">
        <f>AG199+AN199+AU199</f>
        <v/>
      </c>
      <c r="BD199" s="34">
        <f>MAX(F199:G199,750)*0.05*BC199</f>
        <v/>
      </c>
      <c r="BE199" s="34">
        <f>F199*AY199</f>
        <v/>
      </c>
      <c r="BF199" s="34">
        <f>K199-M199</f>
        <v/>
      </c>
      <c r="BG199" s="34">
        <f>P199-S199</f>
        <v/>
      </c>
      <c r="BH199" s="34">
        <f>W199-AA199</f>
        <v/>
      </c>
      <c r="BI199" s="34">
        <f>BF199+BG199+BL199-BN199</f>
        <v/>
      </c>
      <c r="BJ199" s="34">
        <f>ABS(BK199)</f>
        <v/>
      </c>
      <c r="BK199" s="34">
        <f>AY199-(J199-L199+N199-Q199)</f>
        <v/>
      </c>
      <c r="BL199" s="34">
        <f>IF(AND(BK199&gt;0,MIN($F199:$G199)&lt;150,$E199="Enerji Açığı"),-100*BK199*1.03,IF(AND(BK199&gt;0,MIN($F199:$G199)&lt;150,$E199="Enerji Fazlası"),-100*BK199*1.06,IF(AND(BK199&gt;0,MIN($F199:$G199)&gt;=150,$E199="Enerji Açığı"),BK199*MIN($F199:$G199)*0.97,IF(AND(BK199&gt;0,MIN($F199:$G199)&gt;=150,$E199="Enerji Fazlası"),BK199*MIN($F199:$G199)*0.94,IF(AND(BK199&lt;0,MAX($F199:$G199)=4500,$E199="Enerji Açığı"),4500*1.05*1.06*BK199,IF(AND(BK199&lt;0,MAX($F199:$G199)=4500,$E199="Enerji Fazlası"),4500*1.05*1.03*BK199,IF(AND(BK199&lt;0,$E199="Enerji Açığı"),MAX($F199,$G199,150)*BK199*1.06,IF(AND(BK199&lt;0,$E199="Enerji Fazlası"),MAX($F199,$G199,150)*BK199*1.03,IF(AND(BK199&lt;0,$E199="Dengede"),MAX($F199:$G199,150)*1.03*BK199,MIN($F199:$G199)*0.97*BK199)))))))))</f>
        <v/>
      </c>
      <c r="BM199" s="34">
        <f>BE199-BI199-BN199</f>
        <v/>
      </c>
      <c r="BN199" s="34">
        <f>BB199</f>
        <v/>
      </c>
      <c r="BO199" s="34">
        <f>BE199-BI199</f>
        <v/>
      </c>
      <c r="BP199" s="34">
        <f>IF(AY199=0,0,BO199/AY199)</f>
        <v/>
      </c>
      <c r="BQ199" s="34">
        <f>MAX((AY199+MAX((-J199+L199-N199+Q199),0)),(MAX((J199-L199+N199-Q199),0)))</f>
        <v/>
      </c>
      <c r="BR199" s="82">
        <f>IFERROR(ABS(BK199/BQ199),0)</f>
        <v/>
      </c>
      <c r="BS199" s="34">
        <f>IF(BR199&lt;=0.1,0,BK199/BR199*(BR199-0.1))</f>
        <v/>
      </c>
      <c r="BT199" s="34">
        <f>IF((BS199)&lt;0,MAX(F199:G199)*(BS199)*1.03,MIN(F199:G199)*(BS199)*0.97)</f>
        <v/>
      </c>
      <c r="BU199" s="34">
        <f>IF(BR199&gt;0.1,1,0)</f>
        <v/>
      </c>
      <c r="BV199" s="34">
        <f>BF199+BG199+BH199+BY199-CA199</f>
        <v/>
      </c>
      <c r="BW199" s="34">
        <f>ABS(BX199)</f>
        <v/>
      </c>
      <c r="BX199" s="34">
        <f>AY199-(J199-L199+N199-Q199+T199-X199)</f>
        <v/>
      </c>
      <c r="BY199" s="34">
        <f>IF(AND(BX199&gt;0,MIN($F199:$G199)&lt;150,$E199="Enerji Açığı"),-100*BX199*1.03,IF(AND(BX199&gt;0,MIN($F199:$G199)&lt;150,$E199="Enerji Fazlası"),-100*BX199*1.06,IF(AND(BX199&gt;0,MIN($F199:$G199)&gt;=150,$E199="Enerji Açığı"),BX199*MIN($F199:$G199)*0.97,IF(AND(BX199&gt;0,MIN($F199:$G199)&gt;=150,$E199="Enerji Fazlası"),BX199*MIN($F199:$G199)*0.94,IF(AND(BX199&lt;0,MAX($F199:$G199)=4500,$E199="Enerji Açığı"),4500*1.05*1.06*BX199,IF(AND(BX199&lt;0,MAX($F199:$G199)=4500,$E199="Enerji Fazlası"),4500*1.05*1.03*BX199,IF(AND(BX199&lt;0,$E199="Enerji Açığı"),MAX($F199,$G199,150)*BX199*1.06,IF(AND(BX199&lt;0,$E199="Enerji Fazlası"),MAX($F199,$G199,150)*BX199*1.03,IF(AND(BX199&lt;0,$E199="Dengede"),MAX($F199:$G199,150)*1.03*BX199,MIN($F199:$G199)*0.97*BX199)))))))))</f>
        <v/>
      </c>
      <c r="BZ199" s="34">
        <f>BE199-BV199-CA199</f>
        <v/>
      </c>
      <c r="CA199" s="34">
        <f>BD199</f>
        <v/>
      </c>
      <c r="CB199" s="33">
        <f>BE199-BV199</f>
        <v/>
      </c>
      <c r="CC199" s="34">
        <f>IF(AY199=0,0,CB199/AY199)</f>
        <v/>
      </c>
      <c r="CD199" s="34">
        <f>MAX((AY199+MAX((-J199+L199-N199+Q199-T199+X199),0)),(MAX((J199-L199+N199-Q199+T199-X199),0)))</f>
        <v/>
      </c>
      <c r="CE199" s="82">
        <f>IFERROR(ABS(BX199/CD199),0)</f>
        <v/>
      </c>
      <c r="CF199" s="34">
        <f>IF(CE199&lt;=0.1,0,BX199/CE199*(CE199-0.1))</f>
        <v/>
      </c>
      <c r="CG199" s="34">
        <f>IF((CF199)&lt;0,MAX(F199:G199)*(CF199)*1.03,MIN(F199:G199)*(CF199)*0.97)</f>
        <v/>
      </c>
      <c r="CH199" s="34">
        <f>IF(CE199&gt;0.1,1,0)</f>
        <v/>
      </c>
      <c r="CI199" s="34">
        <f>(F199*BX199)-BY199</f>
        <v/>
      </c>
      <c r="CJ199" s="34">
        <f>IF(AY199=0,0,CI199/AY199)</f>
        <v/>
      </c>
    </row>
    <row r="200">
      <c r="A200" s="29" t="n">
        <v>46212.20833333334</v>
      </c>
      <c r="B200" s="29" t="inlineStr">
        <is>
          <t>05:00</t>
        </is>
      </c>
      <c r="C200" s="35">
        <f>INT(A200)</f>
        <v/>
      </c>
      <c r="D200" s="36">
        <f>MONTH(A200)</f>
        <v/>
      </c>
      <c r="E200" s="147" t="inlineStr">
        <is>
          <t>Enerji Açığı</t>
        </is>
      </c>
      <c r="F200" s="30" t="n">
        <v>3613.15</v>
      </c>
      <c r="G200" s="30" t="n">
        <v>3613.15</v>
      </c>
      <c r="H200" s="30" t="n">
        <v>77.28</v>
      </c>
      <c r="I200" s="30" t="n">
        <v>3695.17</v>
      </c>
      <c r="J200" s="119" t="n">
        <v>0</v>
      </c>
      <c r="K200" s="34">
        <f>F200*J200</f>
        <v/>
      </c>
      <c r="L200" s="119" t="n">
        <v>0</v>
      </c>
      <c r="M200" s="34">
        <f>L200*F200</f>
        <v/>
      </c>
      <c r="N200" s="119" t="n">
        <v>16</v>
      </c>
      <c r="O200" s="34">
        <f>F200</f>
        <v/>
      </c>
      <c r="P200" s="34">
        <f>N200*O200</f>
        <v/>
      </c>
      <c r="Q200" s="117" t="n">
        <v>0</v>
      </c>
      <c r="R200" s="34">
        <f>F200</f>
        <v/>
      </c>
      <c r="S200" s="34">
        <f>R200*Q200</f>
        <v/>
      </c>
      <c r="T200" s="34" t="n"/>
      <c r="U200" s="34">
        <f>IFERROR(W200/T200,0)</f>
        <v/>
      </c>
      <c r="V200" s="34">
        <f>IF(U200=0,0,U200-F200)</f>
        <v/>
      </c>
      <c r="W200" s="34" t="n"/>
      <c r="X200" s="34" t="n"/>
      <c r="Y200" s="34">
        <f>IFERROR(AA200/X200,0)</f>
        <v/>
      </c>
      <c r="Z200" s="34">
        <f>IF(Y200=0,0,F200-Y200)</f>
        <v/>
      </c>
      <c r="AA200" s="34" t="n"/>
      <c r="AB200" s="34" t="n">
        <v>0</v>
      </c>
      <c r="AC200" s="34" t="n">
        <v>0</v>
      </c>
      <c r="AD200" s="34">
        <f>IF(AB200&gt;AC200*1.05,AB200-AC200*1.05,IF(AB200&lt;AC200*0.95,AC200*0.95-AB200,0))</f>
        <v/>
      </c>
      <c r="AE200" s="34">
        <f>MAX(F200,G200,750)*0.05*AD200</f>
        <v/>
      </c>
      <c r="AF200" s="34" t="n">
        <v>0</v>
      </c>
      <c r="AG200" s="34">
        <f>IF(AB200&gt;AF200*1.05,AB200-AF200*1.05,IF(AB200&lt;AF200*0.95,AF200*0.95-AB200,0))</f>
        <v/>
      </c>
      <c r="AH200" s="34">
        <f>MAX(I200,J200,750)*0.05*AG200</f>
        <v/>
      </c>
      <c r="AI200" t="n">
        <v>9.199999999999999</v>
      </c>
      <c r="AJ200" t="n">
        <v>9</v>
      </c>
      <c r="AK200" s="34">
        <f>IF(AI200&gt;AJ200*1.05,AI200-AJ200*1.05,IF(AI200&lt;AJ200*0.95,AJ200*0.95-AI200,0))</f>
        <v/>
      </c>
      <c r="AL200" s="34">
        <f>MAX(F200,G200,750)*0.05*AK200</f>
        <v/>
      </c>
      <c r="AM200" s="39" t="n">
        <v>9</v>
      </c>
      <c r="AN200" s="34">
        <f>IF(AI200&gt;AM200*1.05,AI200-AM200*1.05,IF(AI200&lt;AM200*0.95,AM200*0.95-AI200,0))</f>
        <v/>
      </c>
      <c r="AO200" s="34">
        <f>MAX(F200,G200,750)*0.05*AN200</f>
        <v/>
      </c>
      <c r="AP200" s="34" t="n">
        <v>12.2</v>
      </c>
      <c r="AQ200" s="34" t="n">
        <v>12</v>
      </c>
      <c r="AR200" s="34">
        <f>IF(AP200&gt;AQ200*1.05,AP200-AQ200*1.05,IF(AP200&lt;AQ200*0.95,AQ200*0.95-AP200,0))</f>
        <v/>
      </c>
      <c r="AS200" s="34">
        <f>MAX(F200:G200,750)*0.05*AR200</f>
        <v/>
      </c>
      <c r="AT200" t="n">
        <v>12</v>
      </c>
      <c r="AU200" s="34">
        <f>IF(AP200&gt;AT200*1.05,AP200-AT200*1.05,IF(AP200&lt;AT200*0.95,AT200*0.95-AP200,0))</f>
        <v/>
      </c>
      <c r="AV200" s="34">
        <f>MAX(F200:G200,750)*0.05*AU200</f>
        <v/>
      </c>
      <c r="AW200" s="34">
        <f>AC200+AJ200+AQ200</f>
        <v/>
      </c>
      <c r="AX200" s="34">
        <f>AF200+AM200+AT200</f>
        <v/>
      </c>
      <c r="AY200" s="34">
        <f>AB200+AI200+AP200</f>
        <v/>
      </c>
      <c r="AZ200" s="34" t="n">
        <v>0</v>
      </c>
      <c r="BA200" s="34">
        <f>AD200+AK200+AR200</f>
        <v/>
      </c>
      <c r="BB200" s="34">
        <f>MAX(F200:G200,750)*0.05*BA200</f>
        <v/>
      </c>
      <c r="BC200" s="34">
        <f>AG200+AN200+AU200</f>
        <v/>
      </c>
      <c r="BD200" s="34">
        <f>MAX(F200:G200,750)*0.05*BC200</f>
        <v/>
      </c>
      <c r="BE200" s="34">
        <f>F200*AY200</f>
        <v/>
      </c>
      <c r="BF200" s="34">
        <f>K200-M200</f>
        <v/>
      </c>
      <c r="BG200" s="34">
        <f>P200-S200</f>
        <v/>
      </c>
      <c r="BH200" s="34">
        <f>W200-AA200</f>
        <v/>
      </c>
      <c r="BI200" s="34">
        <f>BF200+BG200+BL200-BN200</f>
        <v/>
      </c>
      <c r="BJ200" s="34">
        <f>ABS(BK200)</f>
        <v/>
      </c>
      <c r="BK200" s="34">
        <f>AY200-(J200-L200+N200-Q200)</f>
        <v/>
      </c>
      <c r="BL200" s="34">
        <f>IF(AND(BK200&gt;0,MIN($F200:$G200)&lt;150,$E200="Enerji Açığı"),-100*BK200*1.03,IF(AND(BK200&gt;0,MIN($F200:$G200)&lt;150,$E200="Enerji Fazlası"),-100*BK200*1.06,IF(AND(BK200&gt;0,MIN($F200:$G200)&gt;=150,$E200="Enerji Açığı"),BK200*MIN($F200:$G200)*0.97,IF(AND(BK200&gt;0,MIN($F200:$G200)&gt;=150,$E200="Enerji Fazlası"),BK200*MIN($F200:$G200)*0.94,IF(AND(BK200&lt;0,MAX($F200:$G200)=4500,$E200="Enerji Açığı"),4500*1.05*1.06*BK200,IF(AND(BK200&lt;0,MAX($F200:$G200)=4500,$E200="Enerji Fazlası"),4500*1.05*1.03*BK200,IF(AND(BK200&lt;0,$E200="Enerji Açığı"),MAX($F200,$G200,150)*BK200*1.06,IF(AND(BK200&lt;0,$E200="Enerji Fazlası"),MAX($F200,$G200,150)*BK200*1.03,IF(AND(BK200&lt;0,$E200="Dengede"),MAX($F200:$G200,150)*1.03*BK200,MIN($F200:$G200)*0.97*BK200)))))))))</f>
        <v/>
      </c>
      <c r="BM200" s="34">
        <f>BE200-BI200-BN200</f>
        <v/>
      </c>
      <c r="BN200" s="34">
        <f>BB200</f>
        <v/>
      </c>
      <c r="BO200" s="34">
        <f>BE200-BI200</f>
        <v/>
      </c>
      <c r="BP200" s="34">
        <f>IF(AY200=0,0,BO200/AY200)</f>
        <v/>
      </c>
      <c r="BQ200" s="34">
        <f>MAX((AY200+MAX((-J200+L200-N200+Q200),0)),(MAX((J200-L200+N200-Q200),0)))</f>
        <v/>
      </c>
      <c r="BR200" s="82">
        <f>IFERROR(ABS(BK200/BQ200),0)</f>
        <v/>
      </c>
      <c r="BS200" s="34">
        <f>IF(BR200&lt;=0.1,0,BK200/BR200*(BR200-0.1))</f>
        <v/>
      </c>
      <c r="BT200" s="34">
        <f>IF((BS200)&lt;0,MAX(F200:G200)*(BS200)*1.03,MIN(F200:G200)*(BS200)*0.97)</f>
        <v/>
      </c>
      <c r="BU200" s="34">
        <f>IF(BR200&gt;0.1,1,0)</f>
        <v/>
      </c>
      <c r="BV200" s="34">
        <f>BF200+BG200+BH200+BY200-CA200</f>
        <v/>
      </c>
      <c r="BW200" s="34">
        <f>ABS(BX200)</f>
        <v/>
      </c>
      <c r="BX200" s="34">
        <f>AY200-(J200-L200+N200-Q200+T200-X200)</f>
        <v/>
      </c>
      <c r="BY200" s="34">
        <f>IF(AND(BX200&gt;0,MIN($F200:$G200)&lt;150,$E200="Enerji Açığı"),-100*BX200*1.03,IF(AND(BX200&gt;0,MIN($F200:$G200)&lt;150,$E200="Enerji Fazlası"),-100*BX200*1.06,IF(AND(BX200&gt;0,MIN($F200:$G200)&gt;=150,$E200="Enerji Açığı"),BX200*MIN($F200:$G200)*0.97,IF(AND(BX200&gt;0,MIN($F200:$G200)&gt;=150,$E200="Enerji Fazlası"),BX200*MIN($F200:$G200)*0.94,IF(AND(BX200&lt;0,MAX($F200:$G200)=4500,$E200="Enerji Açığı"),4500*1.05*1.06*BX200,IF(AND(BX200&lt;0,MAX($F200:$G200)=4500,$E200="Enerji Fazlası"),4500*1.05*1.03*BX200,IF(AND(BX200&lt;0,$E200="Enerji Açığı"),MAX($F200,$G200,150)*BX200*1.06,IF(AND(BX200&lt;0,$E200="Enerji Fazlası"),MAX($F200,$G200,150)*BX200*1.03,IF(AND(BX200&lt;0,$E200="Dengede"),MAX($F200:$G200,150)*1.03*BX200,MIN($F200:$G200)*0.97*BX200)))))))))</f>
        <v/>
      </c>
      <c r="BZ200" s="34">
        <f>BE200-BV200-CA200</f>
        <v/>
      </c>
      <c r="CA200" s="34">
        <f>BD200</f>
        <v/>
      </c>
      <c r="CB200" s="33">
        <f>BE200-BV200</f>
        <v/>
      </c>
      <c r="CC200" s="34">
        <f>IF(AY200=0,0,CB200/AY200)</f>
        <v/>
      </c>
      <c r="CD200" s="34">
        <f>MAX((AY200+MAX((-J200+L200-N200+Q200-T200+X200),0)),(MAX((J200-L200+N200-Q200+T200-X200),0)))</f>
        <v/>
      </c>
      <c r="CE200" s="82">
        <f>IFERROR(ABS(BX200/CD200),0)</f>
        <v/>
      </c>
      <c r="CF200" s="34">
        <f>IF(CE200&lt;=0.1,0,BX200/CE200*(CE200-0.1))</f>
        <v/>
      </c>
      <c r="CG200" s="34">
        <f>IF((CF200)&lt;0,MAX(F200:G200)*(CF200)*1.03,MIN(F200:G200)*(CF200)*0.97)</f>
        <v/>
      </c>
      <c r="CH200" s="34">
        <f>IF(CE200&gt;0.1,1,0)</f>
        <v/>
      </c>
      <c r="CI200" s="34">
        <f>(F200*BX200)-BY200</f>
        <v/>
      </c>
      <c r="CJ200" s="34">
        <f>IF(AY200=0,0,CI200/AY200)</f>
        <v/>
      </c>
    </row>
    <row r="201">
      <c r="A201" s="29" t="n">
        <v>46212.25</v>
      </c>
      <c r="B201" s="29" t="inlineStr">
        <is>
          <t>06:00</t>
        </is>
      </c>
      <c r="C201" s="35">
        <f>INT(A201)</f>
        <v/>
      </c>
      <c r="D201" s="36">
        <f>MONTH(A201)</f>
        <v/>
      </c>
      <c r="E201" s="147" t="inlineStr">
        <is>
          <t>Enerji Fazlası</t>
        </is>
      </c>
      <c r="F201" s="30" t="n">
        <v>3897.18</v>
      </c>
      <c r="G201" s="30" t="n">
        <v>3497.18</v>
      </c>
      <c r="H201" s="30" t="n">
        <v>83.36</v>
      </c>
      <c r="I201" s="30" t="n">
        <v>3383.04</v>
      </c>
      <c r="J201" s="119" t="n">
        <v>0</v>
      </c>
      <c r="K201" s="34">
        <f>F201*J201</f>
        <v/>
      </c>
      <c r="L201" s="119" t="n">
        <v>0</v>
      </c>
      <c r="M201" s="34">
        <f>L201*F201</f>
        <v/>
      </c>
      <c r="N201" s="119" t="n">
        <v>16</v>
      </c>
      <c r="O201" s="34">
        <f>F201</f>
        <v/>
      </c>
      <c r="P201" s="34">
        <f>N201*O201</f>
        <v/>
      </c>
      <c r="Q201" s="117" t="n">
        <v>0</v>
      </c>
      <c r="R201" s="34">
        <f>F201</f>
        <v/>
      </c>
      <c r="S201" s="34">
        <f>R201*Q201</f>
        <v/>
      </c>
      <c r="T201" s="34" t="n"/>
      <c r="U201" s="34">
        <f>IFERROR(W201/T201,0)</f>
        <v/>
      </c>
      <c r="V201" s="34">
        <f>IF(U201=0,0,U201-F201)</f>
        <v/>
      </c>
      <c r="W201" s="34" t="n"/>
      <c r="X201" s="34" t="n"/>
      <c r="Y201" s="34">
        <f>IFERROR(AA201/X201,0)</f>
        <v/>
      </c>
      <c r="Z201" s="34">
        <f>IF(Y201=0,0,F201-Y201)</f>
        <v/>
      </c>
      <c r="AA201" s="34" t="n"/>
      <c r="AB201" s="34" t="n">
        <v>0</v>
      </c>
      <c r="AC201" s="34" t="n">
        <v>0</v>
      </c>
      <c r="AD201" s="34">
        <f>IF(AB201&gt;AC201*1.05,AB201-AC201*1.05,IF(AB201&lt;AC201*0.95,AC201*0.95-AB201,0))</f>
        <v/>
      </c>
      <c r="AE201" s="34">
        <f>MAX(F201,G201,750)*0.05*AD201</f>
        <v/>
      </c>
      <c r="AF201" s="34" t="n">
        <v>0</v>
      </c>
      <c r="AG201" s="34">
        <f>IF(AB201&gt;AF201*1.05,AB201-AF201*1.05,IF(AB201&lt;AF201*0.95,AF201*0.95-AB201,0))</f>
        <v/>
      </c>
      <c r="AH201" s="34">
        <f>MAX(I201,J201,750)*0.05*AG201</f>
        <v/>
      </c>
      <c r="AI201" t="n">
        <v>9.220000000000001</v>
      </c>
      <c r="AJ201" t="n">
        <v>9</v>
      </c>
      <c r="AK201" s="34">
        <f>IF(AI201&gt;AJ201*1.05,AI201-AJ201*1.05,IF(AI201&lt;AJ201*0.95,AJ201*0.95-AI201,0))</f>
        <v/>
      </c>
      <c r="AL201" s="34">
        <f>MAX(F201,G201,750)*0.05*AK201</f>
        <v/>
      </c>
      <c r="AM201" s="39" t="n">
        <v>9</v>
      </c>
      <c r="AN201" s="34">
        <f>IF(AI201&gt;AM201*1.05,AI201-AM201*1.05,IF(AI201&lt;AM201*0.95,AM201*0.95-AI201,0))</f>
        <v/>
      </c>
      <c r="AO201" s="34">
        <f>MAX(F201,G201,750)*0.05*AN201</f>
        <v/>
      </c>
      <c r="AP201" s="34" t="n">
        <v>12.27</v>
      </c>
      <c r="AQ201" s="34" t="n">
        <v>12.2</v>
      </c>
      <c r="AR201" s="34">
        <f>IF(AP201&gt;AQ201*1.05,AP201-AQ201*1.05,IF(AP201&lt;AQ201*0.95,AQ201*0.95-AP201,0))</f>
        <v/>
      </c>
      <c r="AS201" s="34">
        <f>MAX(F201:G201,750)*0.05*AR201</f>
        <v/>
      </c>
      <c r="AT201" t="n">
        <v>12.2</v>
      </c>
      <c r="AU201" s="34">
        <f>IF(AP201&gt;AT201*1.05,AP201-AT201*1.05,IF(AP201&lt;AT201*0.95,AT201*0.95-AP201,0))</f>
        <v/>
      </c>
      <c r="AV201" s="34">
        <f>MAX(F201:G201,750)*0.05*AU201</f>
        <v/>
      </c>
      <c r="AW201" s="34">
        <f>AC201+AJ201+AQ201</f>
        <v/>
      </c>
      <c r="AX201" s="34">
        <f>AF201+AM201+AT201</f>
        <v/>
      </c>
      <c r="AY201" s="34">
        <f>AB201+AI201+AP201</f>
        <v/>
      </c>
      <c r="AZ201" s="34" t="n">
        <v>0</v>
      </c>
      <c r="BA201" s="34">
        <f>AD201+AK201+AR201</f>
        <v/>
      </c>
      <c r="BB201" s="34">
        <f>MAX(F201:G201,750)*0.05*BA201</f>
        <v/>
      </c>
      <c r="BC201" s="34">
        <f>AG201+AN201+AU201</f>
        <v/>
      </c>
      <c r="BD201" s="34">
        <f>MAX(F201:G201,750)*0.05*BC201</f>
        <v/>
      </c>
      <c r="BE201" s="34">
        <f>F201*AY201</f>
        <v/>
      </c>
      <c r="BF201" s="34">
        <f>K201-M201</f>
        <v/>
      </c>
      <c r="BG201" s="34">
        <f>P201-S201</f>
        <v/>
      </c>
      <c r="BH201" s="34">
        <f>W201-AA201</f>
        <v/>
      </c>
      <c r="BI201" s="34">
        <f>BF201+BG201+BL201-BN201</f>
        <v/>
      </c>
      <c r="BJ201" s="34">
        <f>ABS(BK201)</f>
        <v/>
      </c>
      <c r="BK201" s="34">
        <f>AY201-(J201-L201+N201-Q201)</f>
        <v/>
      </c>
      <c r="BL201" s="34">
        <f>IF(AND(BK201&gt;0,MIN($F201:$G201)&lt;150,$E201="Enerji Açığı"),-100*BK201*1.03,IF(AND(BK201&gt;0,MIN($F201:$G201)&lt;150,$E201="Enerji Fazlası"),-100*BK201*1.06,IF(AND(BK201&gt;0,MIN($F201:$G201)&gt;=150,$E201="Enerji Açığı"),BK201*MIN($F201:$G201)*0.97,IF(AND(BK201&gt;0,MIN($F201:$G201)&gt;=150,$E201="Enerji Fazlası"),BK201*MIN($F201:$G201)*0.94,IF(AND(BK201&lt;0,MAX($F201:$G201)=4500,$E201="Enerji Açığı"),4500*1.05*1.06*BK201,IF(AND(BK201&lt;0,MAX($F201:$G201)=4500,$E201="Enerji Fazlası"),4500*1.05*1.03*BK201,IF(AND(BK201&lt;0,$E201="Enerji Açığı"),MAX($F201,$G201,150)*BK201*1.06,IF(AND(BK201&lt;0,$E201="Enerji Fazlası"),MAX($F201,$G201,150)*BK201*1.03,IF(AND(BK201&lt;0,$E201="Dengede"),MAX($F201:$G201,150)*1.03*BK201,MIN($F201:$G201)*0.97*BK201)))))))))</f>
        <v/>
      </c>
      <c r="BM201" s="34">
        <f>BE201-BI201-BN201</f>
        <v/>
      </c>
      <c r="BN201" s="34">
        <f>BB201</f>
        <v/>
      </c>
      <c r="BO201" s="34">
        <f>BE201-BI201</f>
        <v/>
      </c>
      <c r="BP201" s="34">
        <f>IF(AY201=0,0,BO201/AY201)</f>
        <v/>
      </c>
      <c r="BQ201" s="34">
        <f>MAX((AY201+MAX((-J201+L201-N201+Q201),0)),(MAX((J201-L201+N201-Q201),0)))</f>
        <v/>
      </c>
      <c r="BR201" s="82">
        <f>IFERROR(ABS(BK201/BQ201),0)</f>
        <v/>
      </c>
      <c r="BS201" s="34">
        <f>IF(BR201&lt;=0.1,0,BK201/BR201*(BR201-0.1))</f>
        <v/>
      </c>
      <c r="BT201" s="34">
        <f>IF((BS201)&lt;0,MAX(F201:G201)*(BS201)*1.03,MIN(F201:G201)*(BS201)*0.97)</f>
        <v/>
      </c>
      <c r="BU201" s="34">
        <f>IF(BR201&gt;0.1,1,0)</f>
        <v/>
      </c>
      <c r="BV201" s="34">
        <f>BF201+BG201+BH201+BY201-CA201</f>
        <v/>
      </c>
      <c r="BW201" s="34">
        <f>ABS(BX201)</f>
        <v/>
      </c>
      <c r="BX201" s="34">
        <f>AY201-(J201-L201+N201-Q201+T201-X201)</f>
        <v/>
      </c>
      <c r="BY201" s="34">
        <f>IF(AND(BX201&gt;0,MIN($F201:$G201)&lt;150,$E201="Enerji Açığı"),-100*BX201*1.03,IF(AND(BX201&gt;0,MIN($F201:$G201)&lt;150,$E201="Enerji Fazlası"),-100*BX201*1.06,IF(AND(BX201&gt;0,MIN($F201:$G201)&gt;=150,$E201="Enerji Açığı"),BX201*MIN($F201:$G201)*0.97,IF(AND(BX201&gt;0,MIN($F201:$G201)&gt;=150,$E201="Enerji Fazlası"),BX201*MIN($F201:$G201)*0.94,IF(AND(BX201&lt;0,MAX($F201:$G201)=4500,$E201="Enerji Açığı"),4500*1.05*1.06*BX201,IF(AND(BX201&lt;0,MAX($F201:$G201)=4500,$E201="Enerji Fazlası"),4500*1.05*1.03*BX201,IF(AND(BX201&lt;0,$E201="Enerji Açığı"),MAX($F201,$G201,150)*BX201*1.06,IF(AND(BX201&lt;0,$E201="Enerji Fazlası"),MAX($F201,$G201,150)*BX201*1.03,IF(AND(BX201&lt;0,$E201="Dengede"),MAX($F201:$G201,150)*1.03*BX201,MIN($F201:$G201)*0.97*BX201)))))))))</f>
        <v/>
      </c>
      <c r="BZ201" s="34">
        <f>BE201-BV201-CA201</f>
        <v/>
      </c>
      <c r="CA201" s="34">
        <f>BD201</f>
        <v/>
      </c>
      <c r="CB201" s="33">
        <f>BE201-BV201</f>
        <v/>
      </c>
      <c r="CC201" s="34">
        <f>IF(AY201=0,0,CB201/AY201)</f>
        <v/>
      </c>
      <c r="CD201" s="34">
        <f>MAX((AY201+MAX((-J201+L201-N201+Q201-T201+X201),0)),(MAX((J201-L201+N201-Q201+T201-X201),0)))</f>
        <v/>
      </c>
      <c r="CE201" s="82">
        <f>IFERROR(ABS(BX201/CD201),0)</f>
        <v/>
      </c>
      <c r="CF201" s="34">
        <f>IF(CE201&lt;=0.1,0,BX201/CE201*(CE201-0.1))</f>
        <v/>
      </c>
      <c r="CG201" s="34">
        <f>IF((CF201)&lt;0,MAX(F201:G201)*(CF201)*1.03,MIN(F201:G201)*(CF201)*0.97)</f>
        <v/>
      </c>
      <c r="CH201" s="34">
        <f>IF(CE201&gt;0.1,1,0)</f>
        <v/>
      </c>
      <c r="CI201" s="34">
        <f>(F201*BX201)-BY201</f>
        <v/>
      </c>
      <c r="CJ201" s="34">
        <f>IF(AY201=0,0,CI201/AY201)</f>
        <v/>
      </c>
    </row>
    <row r="202">
      <c r="A202" s="29" t="n">
        <v>46212.29166666666</v>
      </c>
      <c r="B202" s="29" t="inlineStr">
        <is>
          <t>07:00</t>
        </is>
      </c>
      <c r="C202" s="35">
        <f>INT(A202)</f>
        <v/>
      </c>
      <c r="D202" s="36">
        <f>MONTH(A202)</f>
        <v/>
      </c>
      <c r="E202" s="147" t="inlineStr">
        <is>
          <t>Enerji Fazlası</t>
        </is>
      </c>
      <c r="F202" s="30" t="n">
        <v>2050.01</v>
      </c>
      <c r="G202" s="30" t="n">
        <v>600</v>
      </c>
      <c r="H202" s="30" t="n">
        <v>43.85</v>
      </c>
      <c r="I202" s="30" t="n">
        <v>1261.71</v>
      </c>
      <c r="J202" s="119" t="n">
        <v>0</v>
      </c>
      <c r="K202" s="34">
        <f>F202*J202</f>
        <v/>
      </c>
      <c r="L202" s="119" t="n">
        <v>0</v>
      </c>
      <c r="M202" s="34">
        <f>L202*F202</f>
        <v/>
      </c>
      <c r="N202" s="119" t="n">
        <v>16</v>
      </c>
      <c r="O202" s="34">
        <f>F202</f>
        <v/>
      </c>
      <c r="P202" s="34">
        <f>N202*O202</f>
        <v/>
      </c>
      <c r="Q202" s="117" t="n">
        <v>0</v>
      </c>
      <c r="R202" s="34">
        <f>F202</f>
        <v/>
      </c>
      <c r="S202" s="34">
        <f>R202*Q202</f>
        <v/>
      </c>
      <c r="T202" s="34" t="n"/>
      <c r="U202" s="34">
        <f>IFERROR(W202/T202,0)</f>
        <v/>
      </c>
      <c r="V202" s="34">
        <f>IF(U202=0,0,U202-F202)</f>
        <v/>
      </c>
      <c r="W202" s="34" t="n"/>
      <c r="X202" s="34" t="n"/>
      <c r="Y202" s="34">
        <f>IFERROR(AA202/X202,0)</f>
        <v/>
      </c>
      <c r="Z202" s="34">
        <f>IF(Y202=0,0,F202-Y202)</f>
        <v/>
      </c>
      <c r="AA202" s="34" t="n"/>
      <c r="AB202" s="34" t="n">
        <v>0</v>
      </c>
      <c r="AC202" s="34" t="n">
        <v>0</v>
      </c>
      <c r="AD202" s="34">
        <f>IF(AB202&gt;AC202*1.05,AB202-AC202*1.05,IF(AB202&lt;AC202*0.95,AC202*0.95-AB202,0))</f>
        <v/>
      </c>
      <c r="AE202" s="34">
        <f>MAX(F202,G202,750)*0.05*AD202</f>
        <v/>
      </c>
      <c r="AF202" s="34" t="n">
        <v>0</v>
      </c>
      <c r="AG202" s="34">
        <f>IF(AB202&gt;AF202*1.05,AB202-AF202*1.05,IF(AB202&lt;AF202*0.95,AF202*0.95-AB202,0))</f>
        <v/>
      </c>
      <c r="AH202" s="34">
        <f>MAX(I202,J202,750)*0.05*AG202</f>
        <v/>
      </c>
      <c r="AI202" t="n">
        <v>7.38</v>
      </c>
      <c r="AJ202" t="n">
        <v>9</v>
      </c>
      <c r="AK202" s="34">
        <f>IF(AI202&gt;AJ202*1.05,AI202-AJ202*1.05,IF(AI202&lt;AJ202*0.95,AJ202*0.95-AI202,0))</f>
        <v/>
      </c>
      <c r="AL202" s="34">
        <f>MAX(F202,G202,750)*0.05*AK202</f>
        <v/>
      </c>
      <c r="AM202" s="39" t="n">
        <v>8</v>
      </c>
      <c r="AN202" s="34">
        <f>IF(AI202&gt;AM202*1.05,AI202-AM202*1.05,IF(AI202&lt;AM202*0.95,AM202*0.95-AI202,0))</f>
        <v/>
      </c>
      <c r="AO202" s="34">
        <f>MAX(F202,G202,750)*0.05*AN202</f>
        <v/>
      </c>
      <c r="AP202" s="34" t="n">
        <v>12.49</v>
      </c>
      <c r="AQ202" s="34" t="n">
        <v>12.5</v>
      </c>
      <c r="AR202" s="34">
        <f>IF(AP202&gt;AQ202*1.05,AP202-AQ202*1.05,IF(AP202&lt;AQ202*0.95,AQ202*0.95-AP202,0))</f>
        <v/>
      </c>
      <c r="AS202" s="34">
        <f>MAX(F202:G202,750)*0.05*AR202</f>
        <v/>
      </c>
      <c r="AT202" t="n">
        <v>12.5</v>
      </c>
      <c r="AU202" s="34">
        <f>IF(AP202&gt;AT202*1.05,AP202-AT202*1.05,IF(AP202&lt;AT202*0.95,AT202*0.95-AP202,0))</f>
        <v/>
      </c>
      <c r="AV202" s="34">
        <f>MAX(F202:G202,750)*0.05*AU202</f>
        <v/>
      </c>
      <c r="AW202" s="34">
        <f>AC202+AJ202+AQ202</f>
        <v/>
      </c>
      <c r="AX202" s="34">
        <f>AF202+AM202+AT202</f>
        <v/>
      </c>
      <c r="AY202" s="34">
        <f>AB202+AI202+AP202</f>
        <v/>
      </c>
      <c r="AZ202" s="34" t="n">
        <v>0</v>
      </c>
      <c r="BA202" s="34">
        <f>AD202+AK202+AR202</f>
        <v/>
      </c>
      <c r="BB202" s="34">
        <f>MAX(F202:G202,750)*0.05*BA202</f>
        <v/>
      </c>
      <c r="BC202" s="34">
        <f>AG202+AN202+AU202</f>
        <v/>
      </c>
      <c r="BD202" s="34">
        <f>MAX(F202:G202,750)*0.05*BC202</f>
        <v/>
      </c>
      <c r="BE202" s="34">
        <f>F202*AY202</f>
        <v/>
      </c>
      <c r="BF202" s="34">
        <f>K202-M202</f>
        <v/>
      </c>
      <c r="BG202" s="34">
        <f>P202-S202</f>
        <v/>
      </c>
      <c r="BH202" s="34">
        <f>W202-AA202</f>
        <v/>
      </c>
      <c r="BI202" s="34">
        <f>BF202+BG202+BL202-BN202</f>
        <v/>
      </c>
      <c r="BJ202" s="34">
        <f>ABS(BK202)</f>
        <v/>
      </c>
      <c r="BK202" s="34">
        <f>AY202-(J202-L202+N202-Q202)</f>
        <v/>
      </c>
      <c r="BL202" s="34">
        <f>IF(AND(BK202&gt;0,MIN($F202:$G202)&lt;150,$E202="Enerji Açığı"),-100*BK202*1.03,IF(AND(BK202&gt;0,MIN($F202:$G202)&lt;150,$E202="Enerji Fazlası"),-100*BK202*1.06,IF(AND(BK202&gt;0,MIN($F202:$G202)&gt;=150,$E202="Enerji Açığı"),BK202*MIN($F202:$G202)*0.97,IF(AND(BK202&gt;0,MIN($F202:$G202)&gt;=150,$E202="Enerji Fazlası"),BK202*MIN($F202:$G202)*0.94,IF(AND(BK202&lt;0,MAX($F202:$G202)=4500,$E202="Enerji Açığı"),4500*1.05*1.06*BK202,IF(AND(BK202&lt;0,MAX($F202:$G202)=4500,$E202="Enerji Fazlası"),4500*1.05*1.03*BK202,IF(AND(BK202&lt;0,$E202="Enerji Açığı"),MAX($F202,$G202,150)*BK202*1.06,IF(AND(BK202&lt;0,$E202="Enerji Fazlası"),MAX($F202,$G202,150)*BK202*1.03,IF(AND(BK202&lt;0,$E202="Dengede"),MAX($F202:$G202,150)*1.03*BK202,MIN($F202:$G202)*0.97*BK202)))))))))</f>
        <v/>
      </c>
      <c r="BM202" s="34">
        <f>BE202-BI202-BN202</f>
        <v/>
      </c>
      <c r="BN202" s="34">
        <f>BB202</f>
        <v/>
      </c>
      <c r="BO202" s="34">
        <f>BE202-BI202</f>
        <v/>
      </c>
      <c r="BP202" s="34">
        <f>IF(AY202=0,0,BO202/AY202)</f>
        <v/>
      </c>
      <c r="BQ202" s="34">
        <f>MAX((AY202+MAX((-J202+L202-N202+Q202),0)),(MAX((J202-L202+N202-Q202),0)))</f>
        <v/>
      </c>
      <c r="BR202" s="82">
        <f>IFERROR(ABS(BK202/BQ202),0)</f>
        <v/>
      </c>
      <c r="BS202" s="34">
        <f>IF(BR202&lt;=0.1,0,BK202/BR202*(BR202-0.1))</f>
        <v/>
      </c>
      <c r="BT202" s="34">
        <f>IF((BS202)&lt;0,MAX(F202:G202)*(BS202)*1.03,MIN(F202:G202)*(BS202)*0.97)</f>
        <v/>
      </c>
      <c r="BU202" s="34">
        <f>IF(BR202&gt;0.1,1,0)</f>
        <v/>
      </c>
      <c r="BV202" s="34">
        <f>BF202+BG202+BH202+BY202-CA202</f>
        <v/>
      </c>
      <c r="BW202" s="34">
        <f>ABS(BX202)</f>
        <v/>
      </c>
      <c r="BX202" s="34">
        <f>AY202-(J202-L202+N202-Q202+T202-X202)</f>
        <v/>
      </c>
      <c r="BY202" s="34">
        <f>IF(AND(BX202&gt;0,MIN($F202:$G202)&lt;150,$E202="Enerji Açığı"),-100*BX202*1.03,IF(AND(BX202&gt;0,MIN($F202:$G202)&lt;150,$E202="Enerji Fazlası"),-100*BX202*1.06,IF(AND(BX202&gt;0,MIN($F202:$G202)&gt;=150,$E202="Enerji Açığı"),BX202*MIN($F202:$G202)*0.97,IF(AND(BX202&gt;0,MIN($F202:$G202)&gt;=150,$E202="Enerji Fazlası"),BX202*MIN($F202:$G202)*0.94,IF(AND(BX202&lt;0,MAX($F202:$G202)=4500,$E202="Enerji Açığı"),4500*1.05*1.06*BX202,IF(AND(BX202&lt;0,MAX($F202:$G202)=4500,$E202="Enerji Fazlası"),4500*1.05*1.03*BX202,IF(AND(BX202&lt;0,$E202="Enerji Açığı"),MAX($F202,$G202,150)*BX202*1.06,IF(AND(BX202&lt;0,$E202="Enerji Fazlası"),MAX($F202,$G202,150)*BX202*1.03,IF(AND(BX202&lt;0,$E202="Dengede"),MAX($F202:$G202,150)*1.03*BX202,MIN($F202:$G202)*0.97*BX202)))))))))</f>
        <v/>
      </c>
      <c r="BZ202" s="34">
        <f>BE202-BV202-CA202</f>
        <v/>
      </c>
      <c r="CA202" s="34">
        <f>BD202</f>
        <v/>
      </c>
      <c r="CB202" s="33">
        <f>BE202-BV202</f>
        <v/>
      </c>
      <c r="CC202" s="34">
        <f>IF(AY202=0,0,CB202/AY202)</f>
        <v/>
      </c>
      <c r="CD202" s="34">
        <f>MAX((AY202+MAX((-J202+L202-N202+Q202-T202+X202),0)),(MAX((J202-L202+N202-Q202+T202-X202),0)))</f>
        <v/>
      </c>
      <c r="CE202" s="82">
        <f>IFERROR(ABS(BX202/CD202),0)</f>
        <v/>
      </c>
      <c r="CF202" s="34">
        <f>IF(CE202&lt;=0.1,0,BX202/CE202*(CE202-0.1))</f>
        <v/>
      </c>
      <c r="CG202" s="34">
        <f>IF((CF202)&lt;0,MAX(F202:G202)*(CF202)*1.03,MIN(F202:G202)*(CF202)*0.97)</f>
        <v/>
      </c>
      <c r="CH202" s="34">
        <f>IF(CE202&gt;0.1,1,0)</f>
        <v/>
      </c>
      <c r="CI202" s="34">
        <f>(F202*BX202)-BY202</f>
        <v/>
      </c>
      <c r="CJ202" s="34">
        <f>IF(AY202=0,0,CI202/AY202)</f>
        <v/>
      </c>
    </row>
    <row r="203">
      <c r="A203" s="29" t="n">
        <v>46212.33333333334</v>
      </c>
      <c r="B203" s="29" t="inlineStr">
        <is>
          <t>08:00</t>
        </is>
      </c>
      <c r="C203" s="35">
        <f>INT(A203)</f>
        <v/>
      </c>
      <c r="D203" s="36">
        <f>MONTH(A203)</f>
        <v/>
      </c>
      <c r="E203" s="147" t="inlineStr">
        <is>
          <t>Enerji Açığı</t>
        </is>
      </c>
      <c r="F203" s="30" t="n">
        <v>3336.04</v>
      </c>
      <c r="G203" s="30" t="n">
        <v>3336.04</v>
      </c>
      <c r="H203" s="30" t="n">
        <v>71.36</v>
      </c>
      <c r="I203" s="30" t="n">
        <v>3080.78</v>
      </c>
      <c r="J203" s="119" t="n">
        <v>0</v>
      </c>
      <c r="K203" s="34">
        <f>F203*J203</f>
        <v/>
      </c>
      <c r="L203" s="119" t="n">
        <v>0</v>
      </c>
      <c r="M203" s="34">
        <f>L203*F203</f>
        <v/>
      </c>
      <c r="N203" s="119" t="n">
        <v>16</v>
      </c>
      <c r="O203" s="34">
        <f>F203</f>
        <v/>
      </c>
      <c r="P203" s="34">
        <f>N203*O203</f>
        <v/>
      </c>
      <c r="Q203" s="117" t="n">
        <v>0</v>
      </c>
      <c r="R203" s="34">
        <f>F203</f>
        <v/>
      </c>
      <c r="S203" s="34">
        <f>R203*Q203</f>
        <v/>
      </c>
      <c r="T203" s="34" t="n"/>
      <c r="U203" s="34">
        <f>IFERROR(W203/T203,0)</f>
        <v/>
      </c>
      <c r="V203" s="34">
        <f>IF(U203=0,0,U203-F203)</f>
        <v/>
      </c>
      <c r="W203" s="34" t="n"/>
      <c r="X203" s="34" t="n"/>
      <c r="Y203" s="34">
        <f>IFERROR(AA203/X203,0)</f>
        <v/>
      </c>
      <c r="Z203" s="34">
        <f>IF(Y203=0,0,F203-Y203)</f>
        <v/>
      </c>
      <c r="AA203" s="34" t="n"/>
      <c r="AB203" s="34" t="n">
        <v>0</v>
      </c>
      <c r="AC203" s="34" t="n">
        <v>0</v>
      </c>
      <c r="AD203" s="34">
        <f>IF(AB203&gt;AC203*1.05,AB203-AC203*1.05,IF(AB203&lt;AC203*0.95,AC203*0.95-AB203,0))</f>
        <v/>
      </c>
      <c r="AE203" s="34">
        <f>MAX(F203,G203,750)*0.05*AD203</f>
        <v/>
      </c>
      <c r="AF203" s="34" t="n">
        <v>0</v>
      </c>
      <c r="AG203" s="34">
        <f>IF(AB203&gt;AF203*1.05,AB203-AF203*1.05,IF(AB203&lt;AF203*0.95,AF203*0.95-AB203,0))</f>
        <v/>
      </c>
      <c r="AH203" s="34">
        <f>MAX(I203,J203,750)*0.05*AG203</f>
        <v/>
      </c>
      <c r="AI203" t="n">
        <v>10.25</v>
      </c>
      <c r="AJ203" t="n">
        <v>9</v>
      </c>
      <c r="AK203" s="34">
        <f>IF(AI203&gt;AJ203*1.05,AI203-AJ203*1.05,IF(AI203&lt;AJ203*0.95,AJ203*0.95-AI203,0))</f>
        <v/>
      </c>
      <c r="AL203" s="34">
        <f>MAX(F203,G203,750)*0.05*AK203</f>
        <v/>
      </c>
      <c r="AM203" s="39" t="n">
        <v>9</v>
      </c>
      <c r="AN203" s="34">
        <f>IF(AI203&gt;AM203*1.05,AI203-AM203*1.05,IF(AI203&lt;AM203*0.95,AM203*0.95-AI203,0))</f>
        <v/>
      </c>
      <c r="AO203" s="34">
        <f>MAX(F203,G203,750)*0.05*AN203</f>
        <v/>
      </c>
      <c r="AP203" s="34" t="n">
        <v>11.95</v>
      </c>
      <c r="AQ203" s="34" t="n">
        <v>13</v>
      </c>
      <c r="AR203" s="34">
        <f>IF(AP203&gt;AQ203*1.05,AP203-AQ203*1.05,IF(AP203&lt;AQ203*0.95,AQ203*0.95-AP203,0))</f>
        <v/>
      </c>
      <c r="AS203" s="34">
        <f>MAX(F203:G203,750)*0.05*AR203</f>
        <v/>
      </c>
      <c r="AT203" t="n">
        <v>13</v>
      </c>
      <c r="AU203" s="34">
        <f>IF(AP203&gt;AT203*1.05,AP203-AT203*1.05,IF(AP203&lt;AT203*0.95,AT203*0.95-AP203,0))</f>
        <v/>
      </c>
      <c r="AV203" s="34">
        <f>MAX(F203:G203,750)*0.05*AU203</f>
        <v/>
      </c>
      <c r="AW203" s="34">
        <f>AC203+AJ203+AQ203</f>
        <v/>
      </c>
      <c r="AX203" s="34">
        <f>AF203+AM203+AT203</f>
        <v/>
      </c>
      <c r="AY203" s="34">
        <f>AB203+AI203+AP203</f>
        <v/>
      </c>
      <c r="AZ203" s="34" t="n">
        <v>0</v>
      </c>
      <c r="BA203" s="34">
        <f>AD203+AK203+AR203</f>
        <v/>
      </c>
      <c r="BB203" s="34">
        <f>MAX(F203:G203,750)*0.05*BA203</f>
        <v/>
      </c>
      <c r="BC203" s="34">
        <f>AG203+AN203+AU203</f>
        <v/>
      </c>
      <c r="BD203" s="34">
        <f>MAX(F203:G203,750)*0.05*BC203</f>
        <v/>
      </c>
      <c r="BE203" s="34">
        <f>F203*AY203</f>
        <v/>
      </c>
      <c r="BF203" s="34">
        <f>K203-M203</f>
        <v/>
      </c>
      <c r="BG203" s="34">
        <f>P203-S203</f>
        <v/>
      </c>
      <c r="BH203" s="34">
        <f>W203-AA203</f>
        <v/>
      </c>
      <c r="BI203" s="34">
        <f>BF203+BG203+BL203-BN203</f>
        <v/>
      </c>
      <c r="BJ203" s="34">
        <f>ABS(BK203)</f>
        <v/>
      </c>
      <c r="BK203" s="34">
        <f>AY203-(J203-L203+N203-Q203)</f>
        <v/>
      </c>
      <c r="BL203" s="34">
        <f>IF(AND(BK203&gt;0,MIN($F203:$G203)&lt;150,$E203="Enerji Açığı"),-100*BK203*1.03,IF(AND(BK203&gt;0,MIN($F203:$G203)&lt;150,$E203="Enerji Fazlası"),-100*BK203*1.06,IF(AND(BK203&gt;0,MIN($F203:$G203)&gt;=150,$E203="Enerji Açığı"),BK203*MIN($F203:$G203)*0.97,IF(AND(BK203&gt;0,MIN($F203:$G203)&gt;=150,$E203="Enerji Fazlası"),BK203*MIN($F203:$G203)*0.94,IF(AND(BK203&lt;0,MAX($F203:$G203)=4500,$E203="Enerji Açığı"),4500*1.05*1.06*BK203,IF(AND(BK203&lt;0,MAX($F203:$G203)=4500,$E203="Enerji Fazlası"),4500*1.05*1.03*BK203,IF(AND(BK203&lt;0,$E203="Enerji Açığı"),MAX($F203,$G203,150)*BK203*1.06,IF(AND(BK203&lt;0,$E203="Enerji Fazlası"),MAX($F203,$G203,150)*BK203*1.03,IF(AND(BK203&lt;0,$E203="Dengede"),MAX($F203:$G203,150)*1.03*BK203,MIN($F203:$G203)*0.97*BK203)))))))))</f>
        <v/>
      </c>
      <c r="BM203" s="34">
        <f>BE203-BI203-BN203</f>
        <v/>
      </c>
      <c r="BN203" s="34">
        <f>BB203</f>
        <v/>
      </c>
      <c r="BO203" s="34">
        <f>BE203-BI203</f>
        <v/>
      </c>
      <c r="BP203" s="34">
        <f>IF(AY203=0,0,BO203/AY203)</f>
        <v/>
      </c>
      <c r="BQ203" s="34">
        <f>MAX((AY203+MAX((-J203+L203-N203+Q203),0)),(MAX((J203-L203+N203-Q203),0)))</f>
        <v/>
      </c>
      <c r="BR203" s="82">
        <f>IFERROR(ABS(BK203/BQ203),0)</f>
        <v/>
      </c>
      <c r="BS203" s="34">
        <f>IF(BR203&lt;=0.1,0,BK203/BR203*(BR203-0.1))</f>
        <v/>
      </c>
      <c r="BT203" s="34">
        <f>IF((BS203)&lt;0,MAX(F203:G203)*(BS203)*1.03,MIN(F203:G203)*(BS203)*0.97)</f>
        <v/>
      </c>
      <c r="BU203" s="34">
        <f>IF(BR203&gt;0.1,1,0)</f>
        <v/>
      </c>
      <c r="BV203" s="34">
        <f>BF203+BG203+BH203+BY203-CA203</f>
        <v/>
      </c>
      <c r="BW203" s="34">
        <f>ABS(BX203)</f>
        <v/>
      </c>
      <c r="BX203" s="34">
        <f>AY203-(J203-L203+N203-Q203+T203-X203)</f>
        <v/>
      </c>
      <c r="BY203" s="34">
        <f>IF(AND(BX203&gt;0,MIN($F203:$G203)&lt;150,$E203="Enerji Açığı"),-100*BX203*1.03,IF(AND(BX203&gt;0,MIN($F203:$G203)&lt;150,$E203="Enerji Fazlası"),-100*BX203*1.06,IF(AND(BX203&gt;0,MIN($F203:$G203)&gt;=150,$E203="Enerji Açığı"),BX203*MIN($F203:$G203)*0.97,IF(AND(BX203&gt;0,MIN($F203:$G203)&gt;=150,$E203="Enerji Fazlası"),BX203*MIN($F203:$G203)*0.94,IF(AND(BX203&lt;0,MAX($F203:$G203)=4500,$E203="Enerji Açığı"),4500*1.05*1.06*BX203,IF(AND(BX203&lt;0,MAX($F203:$G203)=4500,$E203="Enerji Fazlası"),4500*1.05*1.03*BX203,IF(AND(BX203&lt;0,$E203="Enerji Açığı"),MAX($F203,$G203,150)*BX203*1.06,IF(AND(BX203&lt;0,$E203="Enerji Fazlası"),MAX($F203,$G203,150)*BX203*1.03,IF(AND(BX203&lt;0,$E203="Dengede"),MAX($F203:$G203,150)*1.03*BX203,MIN($F203:$G203)*0.97*BX203)))))))))</f>
        <v/>
      </c>
      <c r="BZ203" s="34">
        <f>BE203-BV203-CA203</f>
        <v/>
      </c>
      <c r="CA203" s="34">
        <f>BD203</f>
        <v/>
      </c>
      <c r="CB203" s="33">
        <f>BE203-BV203</f>
        <v/>
      </c>
      <c r="CC203" s="34">
        <f>IF(AY203=0,0,CB203/AY203)</f>
        <v/>
      </c>
      <c r="CD203" s="34">
        <f>MAX((AY203+MAX((-J203+L203-N203+Q203-T203+X203),0)),(MAX((J203-L203+N203-Q203+T203-X203),0)))</f>
        <v/>
      </c>
      <c r="CE203" s="82">
        <f>IFERROR(ABS(BX203/CD203),0)</f>
        <v/>
      </c>
      <c r="CF203" s="34">
        <f>IF(CE203&lt;=0.1,0,BX203/CE203*(CE203-0.1))</f>
        <v/>
      </c>
      <c r="CG203" s="34">
        <f>IF((CF203)&lt;0,MAX(F203:G203)*(CF203)*1.03,MIN(F203:G203)*(CF203)*0.97)</f>
        <v/>
      </c>
      <c r="CH203" s="34">
        <f>IF(CE203&gt;0.1,1,0)</f>
        <v/>
      </c>
      <c r="CI203" s="34">
        <f>(F203*BX203)-BY203</f>
        <v/>
      </c>
      <c r="CJ203" s="34">
        <f>IF(AY203=0,0,CI203/AY203)</f>
        <v/>
      </c>
    </row>
    <row r="204">
      <c r="A204" s="29" t="n">
        <v>46212.375</v>
      </c>
      <c r="B204" s="29" t="inlineStr">
        <is>
          <t>09:00</t>
        </is>
      </c>
      <c r="C204" s="35">
        <f>INT(A204)</f>
        <v/>
      </c>
      <c r="D204" s="36">
        <f>MONTH(A204)</f>
        <v/>
      </c>
      <c r="E204" s="147" t="inlineStr">
        <is>
          <t>Enerji Açığı</t>
        </is>
      </c>
      <c r="F204" s="30" t="n">
        <v>2767.37</v>
      </c>
      <c r="G204" s="30" t="n">
        <v>3500</v>
      </c>
      <c r="H204" s="30" t="n">
        <v>59.19</v>
      </c>
      <c r="I204" s="30" t="n">
        <v>2699.28</v>
      </c>
      <c r="J204" s="119" t="n">
        <v>0</v>
      </c>
      <c r="K204" s="34">
        <f>F204*J204</f>
        <v/>
      </c>
      <c r="L204" s="119" t="n">
        <v>0</v>
      </c>
      <c r="M204" s="34">
        <f>L204*F204</f>
        <v/>
      </c>
      <c r="N204" s="119" t="n">
        <v>16</v>
      </c>
      <c r="O204" s="34">
        <f>F204</f>
        <v/>
      </c>
      <c r="P204" s="34">
        <f>N204*O204</f>
        <v/>
      </c>
      <c r="Q204" s="117" t="n">
        <v>0</v>
      </c>
      <c r="R204" s="34">
        <f>F204</f>
        <v/>
      </c>
      <c r="S204" s="34">
        <f>R204*Q204</f>
        <v/>
      </c>
      <c r="T204" s="34" t="n"/>
      <c r="U204" s="34">
        <f>IFERROR(W204/T204,0)</f>
        <v/>
      </c>
      <c r="V204" s="34">
        <f>IF(U204=0,0,U204-F204)</f>
        <v/>
      </c>
      <c r="W204" s="34" t="n"/>
      <c r="X204" s="34" t="n"/>
      <c r="Y204" s="34">
        <f>IFERROR(AA204/X204,0)</f>
        <v/>
      </c>
      <c r="Z204" s="34">
        <f>IF(Y204=0,0,F204-Y204)</f>
        <v/>
      </c>
      <c r="AA204" s="34" t="n"/>
      <c r="AB204" s="34" t="n">
        <v>0</v>
      </c>
      <c r="AC204" s="34" t="n">
        <v>0</v>
      </c>
      <c r="AD204" s="34">
        <f>IF(AB204&gt;AC204*1.05,AB204-AC204*1.05,IF(AB204&lt;AC204*0.95,AC204*0.95-AB204,0))</f>
        <v/>
      </c>
      <c r="AE204" s="34">
        <f>MAX(F204,G204,750)*0.05*AD204</f>
        <v/>
      </c>
      <c r="AF204" s="34" t="n">
        <v>0</v>
      </c>
      <c r="AG204" s="34">
        <f>IF(AB204&gt;AF204*1.05,AB204-AF204*1.05,IF(AB204&lt;AF204*0.95,AF204*0.95-AB204,0))</f>
        <v/>
      </c>
      <c r="AH204" s="34">
        <f>MAX(I204,J204,750)*0.05*AG204</f>
        <v/>
      </c>
      <c r="AI204" t="n">
        <v>10.8</v>
      </c>
      <c r="AJ204" t="n">
        <v>9</v>
      </c>
      <c r="AK204" s="34">
        <f>IF(AI204&gt;AJ204*1.05,AI204-AJ204*1.05,IF(AI204&lt;AJ204*0.95,AJ204*0.95-AI204,0))</f>
        <v/>
      </c>
      <c r="AL204" s="34">
        <f>MAX(F204,G204,750)*0.05*AK204</f>
        <v/>
      </c>
      <c r="AM204" s="39" t="n">
        <v>8</v>
      </c>
      <c r="AN204" s="34">
        <f>IF(AI204&gt;AM204*1.05,AI204-AM204*1.05,IF(AI204&lt;AM204*0.95,AM204*0.95-AI204,0))</f>
        <v/>
      </c>
      <c r="AO204" s="34">
        <f>MAX(F204,G204,750)*0.05*AN204</f>
        <v/>
      </c>
      <c r="AP204" s="34" t="n">
        <v>10.43</v>
      </c>
      <c r="AQ204" s="34" t="n">
        <v>13</v>
      </c>
      <c r="AR204" s="34">
        <f>IF(AP204&gt;AQ204*1.05,AP204-AQ204*1.05,IF(AP204&lt;AQ204*0.95,AQ204*0.95-AP204,0))</f>
        <v/>
      </c>
      <c r="AS204" s="34">
        <f>MAX(F204:G204,750)*0.05*AR204</f>
        <v/>
      </c>
      <c r="AT204" t="n">
        <v>13</v>
      </c>
      <c r="AU204" s="34">
        <f>IF(AP204&gt;AT204*1.05,AP204-AT204*1.05,IF(AP204&lt;AT204*0.95,AT204*0.95-AP204,0))</f>
        <v/>
      </c>
      <c r="AV204" s="34">
        <f>MAX(F204:G204,750)*0.05*AU204</f>
        <v/>
      </c>
      <c r="AW204" s="34">
        <f>AC204+AJ204+AQ204</f>
        <v/>
      </c>
      <c r="AX204" s="34">
        <f>AF204+AM204+AT204</f>
        <v/>
      </c>
      <c r="AY204" s="34">
        <f>AB204+AI204+AP204</f>
        <v/>
      </c>
      <c r="AZ204" s="34" t="n">
        <v>0</v>
      </c>
      <c r="BA204" s="34">
        <f>AD204+AK204+AR204</f>
        <v/>
      </c>
      <c r="BB204" s="34">
        <f>MAX(F204:G204,750)*0.05*BA204</f>
        <v/>
      </c>
      <c r="BC204" s="34">
        <f>AG204+AN204+AU204</f>
        <v/>
      </c>
      <c r="BD204" s="34">
        <f>MAX(F204:G204,750)*0.05*BC204</f>
        <v/>
      </c>
      <c r="BE204" s="34">
        <f>F204*AY204</f>
        <v/>
      </c>
      <c r="BF204" s="34">
        <f>K204-M204</f>
        <v/>
      </c>
      <c r="BG204" s="34">
        <f>P204-S204</f>
        <v/>
      </c>
      <c r="BH204" s="34">
        <f>W204-AA204</f>
        <v/>
      </c>
      <c r="BI204" s="34">
        <f>BF204+BG204+BL204-BN204</f>
        <v/>
      </c>
      <c r="BJ204" s="34">
        <f>ABS(BK204)</f>
        <v/>
      </c>
      <c r="BK204" s="34">
        <f>AY204-(J204-L204+N204-Q204)</f>
        <v/>
      </c>
      <c r="BL204" s="34">
        <f>IF(AND(BK204&gt;0,MIN($F204:$G204)&lt;150,$E204="Enerji Açığı"),-100*BK204*1.03,IF(AND(BK204&gt;0,MIN($F204:$G204)&lt;150,$E204="Enerji Fazlası"),-100*BK204*1.06,IF(AND(BK204&gt;0,MIN($F204:$G204)&gt;=150,$E204="Enerji Açığı"),BK204*MIN($F204:$G204)*0.97,IF(AND(BK204&gt;0,MIN($F204:$G204)&gt;=150,$E204="Enerji Fazlası"),BK204*MIN($F204:$G204)*0.94,IF(AND(BK204&lt;0,MAX($F204:$G204)=4500,$E204="Enerji Açığı"),4500*1.05*1.06*BK204,IF(AND(BK204&lt;0,MAX($F204:$G204)=4500,$E204="Enerji Fazlası"),4500*1.05*1.03*BK204,IF(AND(BK204&lt;0,$E204="Enerji Açığı"),MAX($F204,$G204,150)*BK204*1.06,IF(AND(BK204&lt;0,$E204="Enerji Fazlası"),MAX($F204,$G204,150)*BK204*1.03,IF(AND(BK204&lt;0,$E204="Dengede"),MAX($F204:$G204,150)*1.03*BK204,MIN($F204:$G204)*0.97*BK204)))))))))</f>
        <v/>
      </c>
      <c r="BM204" s="34">
        <f>BE204-BI204-BN204</f>
        <v/>
      </c>
      <c r="BN204" s="34">
        <f>BB204</f>
        <v/>
      </c>
      <c r="BO204" s="34">
        <f>BE204-BI204</f>
        <v/>
      </c>
      <c r="BP204" s="34">
        <f>IF(AY204=0,0,BO204/AY204)</f>
        <v/>
      </c>
      <c r="BQ204" s="34">
        <f>MAX((AY204+MAX((-J204+L204-N204+Q204),0)),(MAX((J204-L204+N204-Q204),0)))</f>
        <v/>
      </c>
      <c r="BR204" s="82">
        <f>IFERROR(ABS(BK204/BQ204),0)</f>
        <v/>
      </c>
      <c r="BS204" s="34">
        <f>IF(BR204&lt;=0.1,0,BK204/BR204*(BR204-0.1))</f>
        <v/>
      </c>
      <c r="BT204" s="34">
        <f>IF((BS204)&lt;0,MAX(F204:G204)*(BS204)*1.03,MIN(F204:G204)*(BS204)*0.97)</f>
        <v/>
      </c>
      <c r="BU204" s="34">
        <f>IF(BR204&gt;0.1,1,0)</f>
        <v/>
      </c>
      <c r="BV204" s="34">
        <f>BF204+BG204+BH204+BY204-CA204</f>
        <v/>
      </c>
      <c r="BW204" s="34">
        <f>ABS(BX204)</f>
        <v/>
      </c>
      <c r="BX204" s="34">
        <f>AY204-(J204-L204+N204-Q204+T204-X204)</f>
        <v/>
      </c>
      <c r="BY204" s="34">
        <f>IF(AND(BX204&gt;0,MIN($F204:$G204)&lt;150,$E204="Enerji Açığı"),-100*BX204*1.03,IF(AND(BX204&gt;0,MIN($F204:$G204)&lt;150,$E204="Enerji Fazlası"),-100*BX204*1.06,IF(AND(BX204&gt;0,MIN($F204:$G204)&gt;=150,$E204="Enerji Açığı"),BX204*MIN($F204:$G204)*0.97,IF(AND(BX204&gt;0,MIN($F204:$G204)&gt;=150,$E204="Enerji Fazlası"),BX204*MIN($F204:$G204)*0.94,IF(AND(BX204&lt;0,MAX($F204:$G204)=4500,$E204="Enerji Açığı"),4500*1.05*1.06*BX204,IF(AND(BX204&lt;0,MAX($F204:$G204)=4500,$E204="Enerji Fazlası"),4500*1.05*1.03*BX204,IF(AND(BX204&lt;0,$E204="Enerji Açığı"),MAX($F204,$G204,150)*BX204*1.06,IF(AND(BX204&lt;0,$E204="Enerji Fazlası"),MAX($F204,$G204,150)*BX204*1.03,IF(AND(BX204&lt;0,$E204="Dengede"),MAX($F204:$G204,150)*1.03*BX204,MIN($F204:$G204)*0.97*BX204)))))))))</f>
        <v/>
      </c>
      <c r="BZ204" s="34">
        <f>BE204-BV204-CA204</f>
        <v/>
      </c>
      <c r="CA204" s="34">
        <f>BD204</f>
        <v/>
      </c>
      <c r="CB204" s="33">
        <f>BE204-BV204</f>
        <v/>
      </c>
      <c r="CC204" s="34">
        <f>IF(AY204=0,0,CB204/AY204)</f>
        <v/>
      </c>
      <c r="CD204" s="34">
        <f>MAX((AY204+MAX((-J204+L204-N204+Q204-T204+X204),0)),(MAX((J204-L204+N204-Q204+T204-X204),0)))</f>
        <v/>
      </c>
      <c r="CE204" s="82">
        <f>IFERROR(ABS(BX204/CD204),0)</f>
        <v/>
      </c>
      <c r="CF204" s="34">
        <f>IF(CE204&lt;=0.1,0,BX204/CE204*(CE204-0.1))</f>
        <v/>
      </c>
      <c r="CG204" s="34">
        <f>IF((CF204)&lt;0,MAX(F204:G204)*(CF204)*1.03,MIN(F204:G204)*(CF204)*0.97)</f>
        <v/>
      </c>
      <c r="CH204" s="34">
        <f>IF(CE204&gt;0.1,1,0)</f>
        <v/>
      </c>
      <c r="CI204" s="34">
        <f>(F204*BX204)-BY204</f>
        <v/>
      </c>
      <c r="CJ204" s="34">
        <f>IF(AY204=0,0,CI204/AY204)</f>
        <v/>
      </c>
    </row>
    <row r="205">
      <c r="A205" s="29" t="n">
        <v>46212.41666666666</v>
      </c>
      <c r="B205" s="29" t="inlineStr">
        <is>
          <t>10:00</t>
        </is>
      </c>
      <c r="C205" s="35">
        <f>INT(A205)</f>
        <v/>
      </c>
      <c r="D205" s="36">
        <f>MONTH(A205)</f>
        <v/>
      </c>
      <c r="E205" s="147" t="inlineStr">
        <is>
          <t>Enerji Fazlası</t>
        </is>
      </c>
      <c r="F205" s="30" t="n">
        <v>2000.01</v>
      </c>
      <c r="G205" s="30" t="n">
        <v>590</v>
      </c>
      <c r="H205" s="30" t="n">
        <v>42.78</v>
      </c>
      <c r="I205" s="30" t="n">
        <v>1803.83</v>
      </c>
      <c r="J205" s="119" t="n">
        <v>0</v>
      </c>
      <c r="K205" s="34">
        <f>F205*J205</f>
        <v/>
      </c>
      <c r="L205" s="119" t="n">
        <v>0</v>
      </c>
      <c r="M205" s="34">
        <f>L205*F205</f>
        <v/>
      </c>
      <c r="N205" s="119" t="n">
        <v>16</v>
      </c>
      <c r="O205" s="34">
        <f>F205</f>
        <v/>
      </c>
      <c r="P205" s="34">
        <f>N205*O205</f>
        <v/>
      </c>
      <c r="Q205" s="117" t="n">
        <v>0</v>
      </c>
      <c r="R205" s="34">
        <f>F205</f>
        <v/>
      </c>
      <c r="S205" s="34">
        <f>R205*Q205</f>
        <v/>
      </c>
      <c r="T205" s="34" t="n"/>
      <c r="U205" s="34">
        <f>IFERROR(W205/T205,0)</f>
        <v/>
      </c>
      <c r="V205" s="34">
        <f>IF(U205=0,0,U205-F205)</f>
        <v/>
      </c>
      <c r="W205" s="34" t="n"/>
      <c r="X205" s="34" t="n"/>
      <c r="Y205" s="34">
        <f>IFERROR(AA205/X205,0)</f>
        <v/>
      </c>
      <c r="Z205" s="34">
        <f>IF(Y205=0,0,F205-Y205)</f>
        <v/>
      </c>
      <c r="AA205" s="34" t="n"/>
      <c r="AB205" s="34" t="n">
        <v>0</v>
      </c>
      <c r="AC205" s="34" t="n">
        <v>0</v>
      </c>
      <c r="AD205" s="34">
        <f>IF(AB205&gt;AC205*1.05,AB205-AC205*1.05,IF(AB205&lt;AC205*0.95,AC205*0.95-AB205,0))</f>
        <v/>
      </c>
      <c r="AE205" s="34">
        <f>MAX(F205,G205,750)*0.05*AD205</f>
        <v/>
      </c>
      <c r="AF205" s="34" t="n">
        <v>0</v>
      </c>
      <c r="AG205" s="34">
        <f>IF(AB205&gt;AF205*1.05,AB205-AF205*1.05,IF(AB205&lt;AF205*0.95,AF205*0.95-AB205,0))</f>
        <v/>
      </c>
      <c r="AH205" s="34">
        <f>MAX(I205,J205,750)*0.05*AG205</f>
        <v/>
      </c>
      <c r="AI205" t="n">
        <v>6.36</v>
      </c>
      <c r="AJ205" t="n">
        <v>9</v>
      </c>
      <c r="AK205" s="34">
        <f>IF(AI205&gt;AJ205*1.05,AI205-AJ205*1.05,IF(AI205&lt;AJ205*0.95,AJ205*0.95-AI205,0))</f>
        <v/>
      </c>
      <c r="AL205" s="34">
        <f>MAX(F205,G205,750)*0.05*AK205</f>
        <v/>
      </c>
      <c r="AM205" s="39" t="n">
        <v>6</v>
      </c>
      <c r="AN205" s="34">
        <f>IF(AI205&gt;AM205*1.05,AI205-AM205*1.05,IF(AI205&lt;AM205*0.95,AM205*0.95-AI205,0))</f>
        <v/>
      </c>
      <c r="AO205" s="34">
        <f>MAX(F205,G205,750)*0.05*AN205</f>
        <v/>
      </c>
      <c r="AP205" s="34" t="n">
        <v>13.41</v>
      </c>
      <c r="AQ205" s="34" t="n">
        <v>13.3</v>
      </c>
      <c r="AR205" s="34">
        <f>IF(AP205&gt;AQ205*1.05,AP205-AQ205*1.05,IF(AP205&lt;AQ205*0.95,AQ205*0.95-AP205,0))</f>
        <v/>
      </c>
      <c r="AS205" s="34">
        <f>MAX(F205:G205,750)*0.05*AR205</f>
        <v/>
      </c>
      <c r="AT205" t="n">
        <v>13.3</v>
      </c>
      <c r="AU205" s="34">
        <f>IF(AP205&gt;AT205*1.05,AP205-AT205*1.05,IF(AP205&lt;AT205*0.95,AT205*0.95-AP205,0))</f>
        <v/>
      </c>
      <c r="AV205" s="34">
        <f>MAX(F205:G205,750)*0.05*AU205</f>
        <v/>
      </c>
      <c r="AW205" s="34">
        <f>AC205+AJ205+AQ205</f>
        <v/>
      </c>
      <c r="AX205" s="34">
        <f>AF205+AM205+AT205</f>
        <v/>
      </c>
      <c r="AY205" s="34">
        <f>AB205+AI205+AP205</f>
        <v/>
      </c>
      <c r="AZ205" s="34" t="n">
        <v>0</v>
      </c>
      <c r="BA205" s="34">
        <f>AD205+AK205+AR205</f>
        <v/>
      </c>
      <c r="BB205" s="34">
        <f>MAX(F205:G205,750)*0.05*BA205</f>
        <v/>
      </c>
      <c r="BC205" s="34">
        <f>AG205+AN205+AU205</f>
        <v/>
      </c>
      <c r="BD205" s="34">
        <f>MAX(F205:G205,750)*0.05*BC205</f>
        <v/>
      </c>
      <c r="BE205" s="34">
        <f>F205*AY205</f>
        <v/>
      </c>
      <c r="BF205" s="34">
        <f>K205-M205</f>
        <v/>
      </c>
      <c r="BG205" s="34">
        <f>P205-S205</f>
        <v/>
      </c>
      <c r="BH205" s="34">
        <f>W205-AA205</f>
        <v/>
      </c>
      <c r="BI205" s="34">
        <f>BF205+BG205+BL205-BN205</f>
        <v/>
      </c>
      <c r="BJ205" s="34">
        <f>ABS(BK205)</f>
        <v/>
      </c>
      <c r="BK205" s="34">
        <f>AY205-(J205-L205+N205-Q205)</f>
        <v/>
      </c>
      <c r="BL205" s="34">
        <f>IF(AND(BK205&gt;0,MIN($F205:$G205)&lt;150,$E205="Enerji Açığı"),-100*BK205*1.03,IF(AND(BK205&gt;0,MIN($F205:$G205)&lt;150,$E205="Enerji Fazlası"),-100*BK205*1.06,IF(AND(BK205&gt;0,MIN($F205:$G205)&gt;=150,$E205="Enerji Açığı"),BK205*MIN($F205:$G205)*0.97,IF(AND(BK205&gt;0,MIN($F205:$G205)&gt;=150,$E205="Enerji Fazlası"),BK205*MIN($F205:$G205)*0.94,IF(AND(BK205&lt;0,MAX($F205:$G205)=4500,$E205="Enerji Açığı"),4500*1.05*1.06*BK205,IF(AND(BK205&lt;0,MAX($F205:$G205)=4500,$E205="Enerji Fazlası"),4500*1.05*1.03*BK205,IF(AND(BK205&lt;0,$E205="Enerji Açığı"),MAX($F205,$G205,150)*BK205*1.06,IF(AND(BK205&lt;0,$E205="Enerji Fazlası"),MAX($F205,$G205,150)*BK205*1.03,IF(AND(BK205&lt;0,$E205="Dengede"),MAX($F205:$G205,150)*1.03*BK205,MIN($F205:$G205)*0.97*BK205)))))))))</f>
        <v/>
      </c>
      <c r="BM205" s="34">
        <f>BE205-BI205-BN205</f>
        <v/>
      </c>
      <c r="BN205" s="34">
        <f>BB205</f>
        <v/>
      </c>
      <c r="BO205" s="34">
        <f>BE205-BI205</f>
        <v/>
      </c>
      <c r="BP205" s="34">
        <f>IF(AY205=0,0,BO205/AY205)</f>
        <v/>
      </c>
      <c r="BQ205" s="34">
        <f>MAX((AY205+MAX((-J205+L205-N205+Q205),0)),(MAX((J205-L205+N205-Q205),0)))</f>
        <v/>
      </c>
      <c r="BR205" s="82">
        <f>IFERROR(ABS(BK205/BQ205),0)</f>
        <v/>
      </c>
      <c r="BS205" s="34">
        <f>IF(BR205&lt;=0.1,0,BK205/BR205*(BR205-0.1))</f>
        <v/>
      </c>
      <c r="BT205" s="34">
        <f>IF((BS205)&lt;0,MAX(F205:G205)*(BS205)*1.03,MIN(F205:G205)*(BS205)*0.97)</f>
        <v/>
      </c>
      <c r="BU205" s="34">
        <f>IF(BR205&gt;0.1,1,0)</f>
        <v/>
      </c>
      <c r="BV205" s="34">
        <f>BF205+BG205+BH205+BY205-CA205</f>
        <v/>
      </c>
      <c r="BW205" s="34">
        <f>ABS(BX205)</f>
        <v/>
      </c>
      <c r="BX205" s="34">
        <f>AY205-(J205-L205+N205-Q205+T205-X205)</f>
        <v/>
      </c>
      <c r="BY205" s="34">
        <f>IF(AND(BX205&gt;0,MIN($F205:$G205)&lt;150,$E205="Enerji Açığı"),-100*BX205*1.03,IF(AND(BX205&gt;0,MIN($F205:$G205)&lt;150,$E205="Enerji Fazlası"),-100*BX205*1.06,IF(AND(BX205&gt;0,MIN($F205:$G205)&gt;=150,$E205="Enerji Açığı"),BX205*MIN($F205:$G205)*0.97,IF(AND(BX205&gt;0,MIN($F205:$G205)&gt;=150,$E205="Enerji Fazlası"),BX205*MIN($F205:$G205)*0.94,IF(AND(BX205&lt;0,MAX($F205:$G205)=4500,$E205="Enerji Açığı"),4500*1.05*1.06*BX205,IF(AND(BX205&lt;0,MAX($F205:$G205)=4500,$E205="Enerji Fazlası"),4500*1.05*1.03*BX205,IF(AND(BX205&lt;0,$E205="Enerji Açığı"),MAX($F205,$G205,150)*BX205*1.06,IF(AND(BX205&lt;0,$E205="Enerji Fazlası"),MAX($F205,$G205,150)*BX205*1.03,IF(AND(BX205&lt;0,$E205="Dengede"),MAX($F205:$G205,150)*1.03*BX205,MIN($F205:$G205)*0.97*BX205)))))))))</f>
        <v/>
      </c>
      <c r="BZ205" s="34">
        <f>BE205-BV205-CA205</f>
        <v/>
      </c>
      <c r="CA205" s="34">
        <f>BD205</f>
        <v/>
      </c>
      <c r="CB205" s="33">
        <f>BE205-BV205</f>
        <v/>
      </c>
      <c r="CC205" s="34">
        <f>IF(AY205=0,0,CB205/AY205)</f>
        <v/>
      </c>
      <c r="CD205" s="34">
        <f>MAX((AY205+MAX((-J205+L205-N205+Q205-T205+X205),0)),(MAX((J205-L205+N205-Q205+T205-X205),0)))</f>
        <v/>
      </c>
      <c r="CE205" s="82">
        <f>IFERROR(ABS(BX205/CD205),0)</f>
        <v/>
      </c>
      <c r="CF205" s="34">
        <f>IF(CE205&lt;=0.1,0,BX205/CE205*(CE205-0.1))</f>
        <v/>
      </c>
      <c r="CG205" s="34">
        <f>IF((CF205)&lt;0,MAX(F205:G205)*(CF205)*1.03,MIN(F205:G205)*(CF205)*0.97)</f>
        <v/>
      </c>
      <c r="CH205" s="34">
        <f>IF(CE205&gt;0.1,1,0)</f>
        <v/>
      </c>
      <c r="CI205" s="34">
        <f>(F205*BX205)-BY205</f>
        <v/>
      </c>
      <c r="CJ205" s="34">
        <f>IF(AY205=0,0,CI205/AY205)</f>
        <v/>
      </c>
    </row>
    <row r="206">
      <c r="A206" s="29" t="n">
        <v>46212.45833333334</v>
      </c>
      <c r="B206" s="29" t="inlineStr">
        <is>
          <t>11:00</t>
        </is>
      </c>
      <c r="C206" s="35">
        <f>INT(A206)</f>
        <v/>
      </c>
      <c r="D206" s="36">
        <f>MONTH(A206)</f>
        <v/>
      </c>
      <c r="E206" s="147" t="inlineStr">
        <is>
          <t>Enerji Fazlası</t>
        </is>
      </c>
      <c r="F206" s="30" t="n">
        <v>1899.99</v>
      </c>
      <c r="G206" s="30" t="n">
        <v>590</v>
      </c>
      <c r="H206" s="30" t="n">
        <v>40.64</v>
      </c>
      <c r="I206" s="30" t="n">
        <v>1743.73</v>
      </c>
      <c r="J206" s="119" t="n">
        <v>0</v>
      </c>
      <c r="K206" s="34">
        <f>F206*J206</f>
        <v/>
      </c>
      <c r="L206" s="119" t="n">
        <v>0</v>
      </c>
      <c r="M206" s="34">
        <f>L206*F206</f>
        <v/>
      </c>
      <c r="N206" s="119" t="n">
        <v>16</v>
      </c>
      <c r="O206" s="34">
        <f>F206</f>
        <v/>
      </c>
      <c r="P206" s="34">
        <f>N206*O206</f>
        <v/>
      </c>
      <c r="Q206" s="117" t="n">
        <v>0</v>
      </c>
      <c r="R206" s="34">
        <f>F206</f>
        <v/>
      </c>
      <c r="S206" s="34">
        <f>R206*Q206</f>
        <v/>
      </c>
      <c r="T206" s="34" t="n"/>
      <c r="U206" s="34">
        <f>IFERROR(W206/T206,0)</f>
        <v/>
      </c>
      <c r="V206" s="34">
        <f>IF(U206=0,0,U206-F206)</f>
        <v/>
      </c>
      <c r="W206" s="34" t="n"/>
      <c r="X206" s="34" t="n"/>
      <c r="Y206" s="34">
        <f>IFERROR(AA206/X206,0)</f>
        <v/>
      </c>
      <c r="Z206" s="34">
        <f>IF(Y206=0,0,F206-Y206)</f>
        <v/>
      </c>
      <c r="AA206" s="34" t="n"/>
      <c r="AB206" s="34" t="n">
        <v>0</v>
      </c>
      <c r="AC206" s="34" t="n">
        <v>0</v>
      </c>
      <c r="AD206" s="34">
        <f>IF(AB206&gt;AC206*1.05,AB206-AC206*1.05,IF(AB206&lt;AC206*0.95,AC206*0.95-AB206,0))</f>
        <v/>
      </c>
      <c r="AE206" s="34">
        <f>MAX(F206,G206,750)*0.05*AD206</f>
        <v/>
      </c>
      <c r="AF206" s="34" t="n">
        <v>0</v>
      </c>
      <c r="AG206" s="34">
        <f>IF(AB206&gt;AF206*1.05,AB206-AF206*1.05,IF(AB206&lt;AF206*0.95,AF206*0.95-AB206,0))</f>
        <v/>
      </c>
      <c r="AH206" s="34">
        <f>MAX(I206,J206,750)*0.05*AG206</f>
        <v/>
      </c>
      <c r="AI206" t="n">
        <v>6.38</v>
      </c>
      <c r="AJ206" t="n">
        <v>9</v>
      </c>
      <c r="AK206" s="34">
        <f>IF(AI206&gt;AJ206*1.05,AI206-AJ206*1.05,IF(AI206&lt;AJ206*0.95,AJ206*0.95-AI206,0))</f>
        <v/>
      </c>
      <c r="AL206" s="34">
        <f>MAX(F206,G206,750)*0.05*AK206</f>
        <v/>
      </c>
      <c r="AM206" s="39" t="n">
        <v>6</v>
      </c>
      <c r="AN206" s="34">
        <f>IF(AI206&gt;AM206*1.05,AI206-AM206*1.05,IF(AI206&lt;AM206*0.95,AM206*0.95-AI206,0))</f>
        <v/>
      </c>
      <c r="AO206" s="34">
        <f>MAX(F206,G206,750)*0.05*AN206</f>
        <v/>
      </c>
      <c r="AP206" s="34" t="n">
        <v>13.32</v>
      </c>
      <c r="AQ206" s="34" t="n">
        <v>13.3</v>
      </c>
      <c r="AR206" s="34">
        <f>IF(AP206&gt;AQ206*1.05,AP206-AQ206*1.05,IF(AP206&lt;AQ206*0.95,AQ206*0.95-AP206,0))</f>
        <v/>
      </c>
      <c r="AS206" s="34">
        <f>MAX(F206:G206,750)*0.05*AR206</f>
        <v/>
      </c>
      <c r="AT206" t="n">
        <v>13.3</v>
      </c>
      <c r="AU206" s="34">
        <f>IF(AP206&gt;AT206*1.05,AP206-AT206*1.05,IF(AP206&lt;AT206*0.95,AT206*0.95-AP206,0))</f>
        <v/>
      </c>
      <c r="AV206" s="34">
        <f>MAX(F206:G206,750)*0.05*AU206</f>
        <v/>
      </c>
      <c r="AW206" s="34">
        <f>AC206+AJ206+AQ206</f>
        <v/>
      </c>
      <c r="AX206" s="34">
        <f>AF206+AM206+AT206</f>
        <v/>
      </c>
      <c r="AY206" s="34">
        <f>AB206+AI206+AP206</f>
        <v/>
      </c>
      <c r="AZ206" s="34" t="n">
        <v>0</v>
      </c>
      <c r="BA206" s="34">
        <f>AD206+AK206+AR206</f>
        <v/>
      </c>
      <c r="BB206" s="34">
        <f>MAX(F206:G206,750)*0.05*BA206</f>
        <v/>
      </c>
      <c r="BC206" s="34">
        <f>AG206+AN206+AU206</f>
        <v/>
      </c>
      <c r="BD206" s="34">
        <f>MAX(F206:G206,750)*0.05*BC206</f>
        <v/>
      </c>
      <c r="BE206" s="34">
        <f>F206*AY206</f>
        <v/>
      </c>
      <c r="BF206" s="34">
        <f>K206-M206</f>
        <v/>
      </c>
      <c r="BG206" s="34">
        <f>P206-S206</f>
        <v/>
      </c>
      <c r="BH206" s="34">
        <f>W206-AA206</f>
        <v/>
      </c>
      <c r="BI206" s="34">
        <f>BF206+BG206+BL206-BN206</f>
        <v/>
      </c>
      <c r="BJ206" s="34">
        <f>ABS(BK206)</f>
        <v/>
      </c>
      <c r="BK206" s="34">
        <f>AY206-(J206-L206+N206-Q206)</f>
        <v/>
      </c>
      <c r="BL206" s="34">
        <f>IF(AND(BK206&gt;0,MIN($F206:$G206)&lt;150,$E206="Enerji Açığı"),-100*BK206*1.03,IF(AND(BK206&gt;0,MIN($F206:$G206)&lt;150,$E206="Enerji Fazlası"),-100*BK206*1.06,IF(AND(BK206&gt;0,MIN($F206:$G206)&gt;=150,$E206="Enerji Açığı"),BK206*MIN($F206:$G206)*0.97,IF(AND(BK206&gt;0,MIN($F206:$G206)&gt;=150,$E206="Enerji Fazlası"),BK206*MIN($F206:$G206)*0.94,IF(AND(BK206&lt;0,MAX($F206:$G206)=4500,$E206="Enerji Açığı"),4500*1.05*1.06*BK206,IF(AND(BK206&lt;0,MAX($F206:$G206)=4500,$E206="Enerji Fazlası"),4500*1.05*1.03*BK206,IF(AND(BK206&lt;0,$E206="Enerji Açığı"),MAX($F206,$G206,150)*BK206*1.06,IF(AND(BK206&lt;0,$E206="Enerji Fazlası"),MAX($F206,$G206,150)*BK206*1.03,IF(AND(BK206&lt;0,$E206="Dengede"),MAX($F206:$G206,150)*1.03*BK206,MIN($F206:$G206)*0.97*BK206)))))))))</f>
        <v/>
      </c>
      <c r="BM206" s="34">
        <f>BE206-BI206-BN206</f>
        <v/>
      </c>
      <c r="BN206" s="34">
        <f>BB206</f>
        <v/>
      </c>
      <c r="BO206" s="34">
        <f>BE206-BI206</f>
        <v/>
      </c>
      <c r="BP206" s="34">
        <f>IF(AY206=0,0,BO206/AY206)</f>
        <v/>
      </c>
      <c r="BQ206" s="34">
        <f>MAX((AY206+MAX((-J206+L206-N206+Q206),0)),(MAX((J206-L206+N206-Q206),0)))</f>
        <v/>
      </c>
      <c r="BR206" s="82">
        <f>IFERROR(ABS(BK206/BQ206),0)</f>
        <v/>
      </c>
      <c r="BS206" s="34">
        <f>IF(BR206&lt;=0.1,0,BK206/BR206*(BR206-0.1))</f>
        <v/>
      </c>
      <c r="BT206" s="34">
        <f>IF((BS206)&lt;0,MAX(F206:G206)*(BS206)*1.03,MIN(F206:G206)*(BS206)*0.97)</f>
        <v/>
      </c>
      <c r="BU206" s="34">
        <f>IF(BR206&gt;0.1,1,0)</f>
        <v/>
      </c>
      <c r="BV206" s="34">
        <f>BF206+BG206+BH206+BY206-CA206</f>
        <v/>
      </c>
      <c r="BW206" s="34">
        <f>ABS(BX206)</f>
        <v/>
      </c>
      <c r="BX206" s="34">
        <f>AY206-(J206-L206+N206-Q206+T206-X206)</f>
        <v/>
      </c>
      <c r="BY206" s="34">
        <f>IF(AND(BX206&gt;0,MIN($F206:$G206)&lt;150,$E206="Enerji Açığı"),-100*BX206*1.03,IF(AND(BX206&gt;0,MIN($F206:$G206)&lt;150,$E206="Enerji Fazlası"),-100*BX206*1.06,IF(AND(BX206&gt;0,MIN($F206:$G206)&gt;=150,$E206="Enerji Açığı"),BX206*MIN($F206:$G206)*0.97,IF(AND(BX206&gt;0,MIN($F206:$G206)&gt;=150,$E206="Enerji Fazlası"),BX206*MIN($F206:$G206)*0.94,IF(AND(BX206&lt;0,MAX($F206:$G206)=4500,$E206="Enerji Açığı"),4500*1.05*1.06*BX206,IF(AND(BX206&lt;0,MAX($F206:$G206)=4500,$E206="Enerji Fazlası"),4500*1.05*1.03*BX206,IF(AND(BX206&lt;0,$E206="Enerji Açığı"),MAX($F206,$G206,150)*BX206*1.06,IF(AND(BX206&lt;0,$E206="Enerji Fazlası"),MAX($F206,$G206,150)*BX206*1.03,IF(AND(BX206&lt;0,$E206="Dengede"),MAX($F206:$G206,150)*1.03*BX206,MIN($F206:$G206)*0.97*BX206)))))))))</f>
        <v/>
      </c>
      <c r="BZ206" s="34">
        <f>BE206-BV206-CA206</f>
        <v/>
      </c>
      <c r="CA206" s="34">
        <f>BD206</f>
        <v/>
      </c>
      <c r="CB206" s="33">
        <f>BE206-BV206</f>
        <v/>
      </c>
      <c r="CC206" s="34">
        <f>IF(AY206=0,0,CB206/AY206)</f>
        <v/>
      </c>
      <c r="CD206" s="34">
        <f>MAX((AY206+MAX((-J206+L206-N206+Q206-T206+X206),0)),(MAX((J206-L206+N206-Q206+T206-X206),0)))</f>
        <v/>
      </c>
      <c r="CE206" s="82">
        <f>IFERROR(ABS(BX206/CD206),0)</f>
        <v/>
      </c>
      <c r="CF206" s="34">
        <f>IF(CE206&lt;=0.1,0,BX206/CE206*(CE206-0.1))</f>
        <v/>
      </c>
      <c r="CG206" s="34">
        <f>IF((CF206)&lt;0,MAX(F206:G206)*(CF206)*1.03,MIN(F206:G206)*(CF206)*0.97)</f>
        <v/>
      </c>
      <c r="CH206" s="34">
        <f>IF(CE206&gt;0.1,1,0)</f>
        <v/>
      </c>
      <c r="CI206" s="34">
        <f>(F206*BX206)-BY206</f>
        <v/>
      </c>
      <c r="CJ206" s="34">
        <f>IF(AY206=0,0,CI206/AY206)</f>
        <v/>
      </c>
    </row>
    <row r="207">
      <c r="A207" s="29" t="n">
        <v>46212.5</v>
      </c>
      <c r="B207" s="29" t="inlineStr">
        <is>
          <t>12:00</t>
        </is>
      </c>
      <c r="C207" s="35">
        <f>INT(A207)</f>
        <v/>
      </c>
      <c r="D207" s="36">
        <f>MONTH(A207)</f>
        <v/>
      </c>
      <c r="E207" s="147" t="inlineStr">
        <is>
          <t>Enerji Fazlası</t>
        </is>
      </c>
      <c r="F207" s="30" t="n">
        <v>1475.99</v>
      </c>
      <c r="G207" s="30" t="n">
        <v>450</v>
      </c>
      <c r="H207" s="30" t="n">
        <v>31.57</v>
      </c>
      <c r="I207" s="30" t="n">
        <v>1300.6</v>
      </c>
      <c r="J207" s="119" t="n">
        <v>0</v>
      </c>
      <c r="K207" s="34">
        <f>F207*J207</f>
        <v/>
      </c>
      <c r="L207" s="119" t="n">
        <v>0</v>
      </c>
      <c r="M207" s="34">
        <f>L207*F207</f>
        <v/>
      </c>
      <c r="N207" s="119" t="n">
        <v>16</v>
      </c>
      <c r="O207" s="34">
        <f>F207</f>
        <v/>
      </c>
      <c r="P207" s="34">
        <f>N207*O207</f>
        <v/>
      </c>
      <c r="Q207" s="117" t="n">
        <v>0</v>
      </c>
      <c r="R207" s="34">
        <f>F207</f>
        <v/>
      </c>
      <c r="S207" s="34">
        <f>R207*Q207</f>
        <v/>
      </c>
      <c r="T207" s="34" t="n"/>
      <c r="U207" s="34">
        <f>IFERROR(W207/T207,0)</f>
        <v/>
      </c>
      <c r="V207" s="34">
        <f>IF(U207=0,0,U207-F207)</f>
        <v/>
      </c>
      <c r="W207" s="34" t="n"/>
      <c r="X207" s="34" t="n"/>
      <c r="Y207" s="34">
        <f>IFERROR(AA207/X207,0)</f>
        <v/>
      </c>
      <c r="Z207" s="34">
        <f>IF(Y207=0,0,F207-Y207)</f>
        <v/>
      </c>
      <c r="AA207" s="34" t="n"/>
      <c r="AB207" s="34" t="n">
        <v>0</v>
      </c>
      <c r="AC207" s="34" t="n">
        <v>0</v>
      </c>
      <c r="AD207" s="34">
        <f>IF(AB207&gt;AC207*1.05,AB207-AC207*1.05,IF(AB207&lt;AC207*0.95,AC207*0.95-AB207,0))</f>
        <v/>
      </c>
      <c r="AE207" s="34">
        <f>MAX(F207,G207,750)*0.05*AD207</f>
        <v/>
      </c>
      <c r="AF207" s="34" t="n">
        <v>0</v>
      </c>
      <c r="AG207" s="34">
        <f>IF(AB207&gt;AF207*1.05,AB207-AF207*1.05,IF(AB207&lt;AF207*0.95,AF207*0.95-AB207,0))</f>
        <v/>
      </c>
      <c r="AH207" s="34">
        <f>MAX(I207,J207,750)*0.05*AG207</f>
        <v/>
      </c>
      <c r="AI207" t="n">
        <v>6.31</v>
      </c>
      <c r="AJ207" t="n">
        <v>9</v>
      </c>
      <c r="AK207" s="34">
        <f>IF(AI207&gt;AJ207*1.05,AI207-AJ207*1.05,IF(AI207&lt;AJ207*0.95,AJ207*0.95-AI207,0))</f>
        <v/>
      </c>
      <c r="AL207" s="34">
        <f>MAX(F207,G207,750)*0.05*AK207</f>
        <v/>
      </c>
      <c r="AM207" s="39" t="n">
        <v>6</v>
      </c>
      <c r="AN207" s="34">
        <f>IF(AI207&gt;AM207*1.05,AI207-AM207*1.05,IF(AI207&lt;AM207*0.95,AM207*0.95-AI207,0))</f>
        <v/>
      </c>
      <c r="AO207" s="34">
        <f>MAX(F207,G207,750)*0.05*AN207</f>
        <v/>
      </c>
      <c r="AP207" s="34" t="n">
        <v>13.67</v>
      </c>
      <c r="AQ207" s="34" t="n">
        <v>13.5</v>
      </c>
      <c r="AR207" s="34">
        <f>IF(AP207&gt;AQ207*1.05,AP207-AQ207*1.05,IF(AP207&lt;AQ207*0.95,AQ207*0.95-AP207,0))</f>
        <v/>
      </c>
      <c r="AS207" s="34">
        <f>MAX(F207:G207,750)*0.05*AR207</f>
        <v/>
      </c>
      <c r="AT207" t="n">
        <v>13.5</v>
      </c>
      <c r="AU207" s="34">
        <f>IF(AP207&gt;AT207*1.05,AP207-AT207*1.05,IF(AP207&lt;AT207*0.95,AT207*0.95-AP207,0))</f>
        <v/>
      </c>
      <c r="AV207" s="34">
        <f>MAX(F207:G207,750)*0.05*AU207</f>
        <v/>
      </c>
      <c r="AW207" s="34">
        <f>AC207+AJ207+AQ207</f>
        <v/>
      </c>
      <c r="AX207" s="34">
        <f>AF207+AM207+AT207</f>
        <v/>
      </c>
      <c r="AY207" s="34">
        <f>AB207+AI207+AP207</f>
        <v/>
      </c>
      <c r="AZ207" s="34" t="n">
        <v>0</v>
      </c>
      <c r="BA207" s="34">
        <f>AD207+AK207+AR207</f>
        <v/>
      </c>
      <c r="BB207" s="34">
        <f>MAX(F207:G207,750)*0.05*BA207</f>
        <v/>
      </c>
      <c r="BC207" s="34">
        <f>AG207+AN207+AU207</f>
        <v/>
      </c>
      <c r="BD207" s="34">
        <f>MAX(F207:G207,750)*0.05*BC207</f>
        <v/>
      </c>
      <c r="BE207" s="34">
        <f>F207*AY207</f>
        <v/>
      </c>
      <c r="BF207" s="34">
        <f>K207-M207</f>
        <v/>
      </c>
      <c r="BG207" s="34">
        <f>P207-S207</f>
        <v/>
      </c>
      <c r="BH207" s="34">
        <f>W207-AA207</f>
        <v/>
      </c>
      <c r="BI207" s="34">
        <f>BF207+BG207+BL207-BN207</f>
        <v/>
      </c>
      <c r="BJ207" s="34">
        <f>ABS(BK207)</f>
        <v/>
      </c>
      <c r="BK207" s="34">
        <f>AY207-(J207-L207+N207-Q207)</f>
        <v/>
      </c>
      <c r="BL207" s="34">
        <f>IF(AND(BK207&gt;0,MIN($F207:$G207)&lt;150,$E207="Enerji Açığı"),-100*BK207*1.03,IF(AND(BK207&gt;0,MIN($F207:$G207)&lt;150,$E207="Enerji Fazlası"),-100*BK207*1.06,IF(AND(BK207&gt;0,MIN($F207:$G207)&gt;=150,$E207="Enerji Açığı"),BK207*MIN($F207:$G207)*0.97,IF(AND(BK207&gt;0,MIN($F207:$G207)&gt;=150,$E207="Enerji Fazlası"),BK207*MIN($F207:$G207)*0.94,IF(AND(BK207&lt;0,MAX($F207:$G207)=4500,$E207="Enerji Açığı"),4500*1.05*1.06*BK207,IF(AND(BK207&lt;0,MAX($F207:$G207)=4500,$E207="Enerji Fazlası"),4500*1.05*1.03*BK207,IF(AND(BK207&lt;0,$E207="Enerji Açığı"),MAX($F207,$G207,150)*BK207*1.06,IF(AND(BK207&lt;0,$E207="Enerji Fazlası"),MAX($F207,$G207,150)*BK207*1.03,IF(AND(BK207&lt;0,$E207="Dengede"),MAX($F207:$G207,150)*1.03*BK207,MIN($F207:$G207)*0.97*BK207)))))))))</f>
        <v/>
      </c>
      <c r="BM207" s="34">
        <f>BE207-BI207-BN207</f>
        <v/>
      </c>
      <c r="BN207" s="34">
        <f>BB207</f>
        <v/>
      </c>
      <c r="BO207" s="34">
        <f>BE207-BI207</f>
        <v/>
      </c>
      <c r="BP207" s="34">
        <f>IF(AY207=0,0,BO207/AY207)</f>
        <v/>
      </c>
      <c r="BQ207" s="34">
        <f>MAX((AY207+MAX((-J207+L207-N207+Q207),0)),(MAX((J207-L207+N207-Q207),0)))</f>
        <v/>
      </c>
      <c r="BR207" s="82">
        <f>IFERROR(ABS(BK207/BQ207),0)</f>
        <v/>
      </c>
      <c r="BS207" s="34">
        <f>IF(BR207&lt;=0.1,0,BK207/BR207*(BR207-0.1))</f>
        <v/>
      </c>
      <c r="BT207" s="34">
        <f>IF((BS207)&lt;0,MAX(F207:G207)*(BS207)*1.03,MIN(F207:G207)*(BS207)*0.97)</f>
        <v/>
      </c>
      <c r="BU207" s="34">
        <f>IF(BR207&gt;0.1,1,0)</f>
        <v/>
      </c>
      <c r="BV207" s="34">
        <f>BF207+BG207+BH207+BY207-CA207</f>
        <v/>
      </c>
      <c r="BW207" s="34">
        <f>ABS(BX207)</f>
        <v/>
      </c>
      <c r="BX207" s="34">
        <f>AY207-(J207-L207+N207-Q207+T207-X207)</f>
        <v/>
      </c>
      <c r="BY207" s="34">
        <f>IF(AND(BX207&gt;0,MIN($F207:$G207)&lt;150,$E207="Enerji Açığı"),-100*BX207*1.03,IF(AND(BX207&gt;0,MIN($F207:$G207)&lt;150,$E207="Enerji Fazlası"),-100*BX207*1.06,IF(AND(BX207&gt;0,MIN($F207:$G207)&gt;=150,$E207="Enerji Açığı"),BX207*MIN($F207:$G207)*0.97,IF(AND(BX207&gt;0,MIN($F207:$G207)&gt;=150,$E207="Enerji Fazlası"),BX207*MIN($F207:$G207)*0.94,IF(AND(BX207&lt;0,MAX($F207:$G207)=4500,$E207="Enerji Açığı"),4500*1.05*1.06*BX207,IF(AND(BX207&lt;0,MAX($F207:$G207)=4500,$E207="Enerji Fazlası"),4500*1.05*1.03*BX207,IF(AND(BX207&lt;0,$E207="Enerji Açığı"),MAX($F207,$G207,150)*BX207*1.06,IF(AND(BX207&lt;0,$E207="Enerji Fazlası"),MAX($F207,$G207,150)*BX207*1.03,IF(AND(BX207&lt;0,$E207="Dengede"),MAX($F207:$G207,150)*1.03*BX207,MIN($F207:$G207)*0.97*BX207)))))))))</f>
        <v/>
      </c>
      <c r="BZ207" s="34">
        <f>BE207-BV207-CA207</f>
        <v/>
      </c>
      <c r="CA207" s="34">
        <f>BD207</f>
        <v/>
      </c>
      <c r="CB207" s="33">
        <f>BE207-BV207</f>
        <v/>
      </c>
      <c r="CC207" s="34">
        <f>IF(AY207=0,0,CB207/AY207)</f>
        <v/>
      </c>
      <c r="CD207" s="34">
        <f>MAX((AY207+MAX((-J207+L207-N207+Q207-T207+X207),0)),(MAX((J207-L207+N207-Q207+T207-X207),0)))</f>
        <v/>
      </c>
      <c r="CE207" s="82">
        <f>IFERROR(ABS(BX207/CD207),0)</f>
        <v/>
      </c>
      <c r="CF207" s="34">
        <f>IF(CE207&lt;=0.1,0,BX207/CE207*(CE207-0.1))</f>
        <v/>
      </c>
      <c r="CG207" s="34">
        <f>IF((CF207)&lt;0,MAX(F207:G207)*(CF207)*1.03,MIN(F207:G207)*(CF207)*0.97)</f>
        <v/>
      </c>
      <c r="CH207" s="34">
        <f>IF(CE207&gt;0.1,1,0)</f>
        <v/>
      </c>
      <c r="CI207" s="34">
        <f>(F207*BX207)-BY207</f>
        <v/>
      </c>
      <c r="CJ207" s="34">
        <f>IF(AY207=0,0,CI207/AY207)</f>
        <v/>
      </c>
    </row>
    <row r="208">
      <c r="A208" s="29" t="n">
        <v>46212.54166666666</v>
      </c>
      <c r="B208" s="29" t="inlineStr">
        <is>
          <t>13:00</t>
        </is>
      </c>
      <c r="C208" s="35">
        <f>INT(A208)</f>
        <v/>
      </c>
      <c r="D208" s="36">
        <f>MONTH(A208)</f>
        <v/>
      </c>
      <c r="E208" s="147" t="inlineStr">
        <is>
          <t>Enerji Açığı</t>
        </is>
      </c>
      <c r="F208" s="30" t="n">
        <v>2413.63</v>
      </c>
      <c r="G208" s="30" t="n">
        <v>3500</v>
      </c>
      <c r="H208" s="30" t="n">
        <v>51.63</v>
      </c>
      <c r="I208" s="30" t="n">
        <v>2107.44</v>
      </c>
      <c r="J208" s="119" t="n">
        <v>0</v>
      </c>
      <c r="K208" s="34">
        <f>F208*J208</f>
        <v/>
      </c>
      <c r="L208" s="119" t="n">
        <v>0</v>
      </c>
      <c r="M208" s="34">
        <f>L208*F208</f>
        <v/>
      </c>
      <c r="N208" s="119" t="n">
        <v>16</v>
      </c>
      <c r="O208" s="34">
        <f>F208</f>
        <v/>
      </c>
      <c r="P208" s="34">
        <f>N208*O208</f>
        <v/>
      </c>
      <c r="Q208" s="117" t="n">
        <v>0</v>
      </c>
      <c r="R208" s="34">
        <f>F208</f>
        <v/>
      </c>
      <c r="S208" s="34">
        <f>R208*Q208</f>
        <v/>
      </c>
      <c r="T208" s="34" t="n"/>
      <c r="U208" s="34">
        <f>IFERROR(W208/T208,0)</f>
        <v/>
      </c>
      <c r="V208" s="34">
        <f>IF(U208=0,0,U208-F208)</f>
        <v/>
      </c>
      <c r="W208" s="34" t="n"/>
      <c r="X208" s="34" t="n"/>
      <c r="Y208" s="34">
        <f>IFERROR(AA208/X208,0)</f>
        <v/>
      </c>
      <c r="Z208" s="34">
        <f>IF(Y208=0,0,F208-Y208)</f>
        <v/>
      </c>
      <c r="AA208" s="34" t="n"/>
      <c r="AB208" s="34" t="n">
        <v>0</v>
      </c>
      <c r="AC208" s="34" t="n">
        <v>0</v>
      </c>
      <c r="AD208" s="34">
        <f>IF(AB208&gt;AC208*1.05,AB208-AC208*1.05,IF(AB208&lt;AC208*0.95,AC208*0.95-AB208,0))</f>
        <v/>
      </c>
      <c r="AE208" s="34">
        <f>MAX(F208,G208,750)*0.05*AD208</f>
        <v/>
      </c>
      <c r="AF208" s="34" t="n">
        <v>0</v>
      </c>
      <c r="AG208" s="34">
        <f>IF(AB208&gt;AF208*1.05,AB208-AF208*1.05,IF(AB208&lt;AF208*0.95,AF208*0.95-AB208,0))</f>
        <v/>
      </c>
      <c r="AH208" s="34">
        <f>MAX(I208,J208,750)*0.05*AG208</f>
        <v/>
      </c>
      <c r="AI208" t="n">
        <v>7.86</v>
      </c>
      <c r="AJ208" t="n">
        <v>9</v>
      </c>
      <c r="AK208" s="34">
        <f>IF(AI208&gt;AJ208*1.05,AI208-AJ208*1.05,IF(AI208&lt;AJ208*0.95,AJ208*0.95-AI208,0))</f>
        <v/>
      </c>
      <c r="AL208" s="34">
        <f>MAX(F208,G208,750)*0.05*AK208</f>
        <v/>
      </c>
      <c r="AM208" s="39" t="n">
        <v>9</v>
      </c>
      <c r="AN208" s="34">
        <f>IF(AI208&gt;AM208*1.05,AI208-AM208*1.05,IF(AI208&lt;AM208*0.95,AM208*0.95-AI208,0))</f>
        <v/>
      </c>
      <c r="AO208" s="34">
        <f>MAX(F208,G208,750)*0.05*AN208</f>
        <v/>
      </c>
      <c r="AP208" s="34" t="n">
        <v>14.04</v>
      </c>
      <c r="AQ208" s="34" t="n">
        <v>13.5</v>
      </c>
      <c r="AR208" s="34">
        <f>IF(AP208&gt;AQ208*1.05,AP208-AQ208*1.05,IF(AP208&lt;AQ208*0.95,AQ208*0.95-AP208,0))</f>
        <v/>
      </c>
      <c r="AS208" s="34">
        <f>MAX(F208:G208,750)*0.05*AR208</f>
        <v/>
      </c>
      <c r="AT208" t="n">
        <v>13.5</v>
      </c>
      <c r="AU208" s="34">
        <f>IF(AP208&gt;AT208*1.05,AP208-AT208*1.05,IF(AP208&lt;AT208*0.95,AT208*0.95-AP208,0))</f>
        <v/>
      </c>
      <c r="AV208" s="34">
        <f>MAX(F208:G208,750)*0.05*AU208</f>
        <v/>
      </c>
      <c r="AW208" s="34">
        <f>AC208+AJ208+AQ208</f>
        <v/>
      </c>
      <c r="AX208" s="34">
        <f>AF208+AM208+AT208</f>
        <v/>
      </c>
      <c r="AY208" s="34">
        <f>AB208+AI208+AP208</f>
        <v/>
      </c>
      <c r="AZ208" s="34" t="n">
        <v>0</v>
      </c>
      <c r="BA208" s="34">
        <f>AD208+AK208+AR208</f>
        <v/>
      </c>
      <c r="BB208" s="34">
        <f>MAX(F208:G208,750)*0.05*BA208</f>
        <v/>
      </c>
      <c r="BC208" s="34">
        <f>AG208+AN208+AU208</f>
        <v/>
      </c>
      <c r="BD208" s="34">
        <f>MAX(F208:G208,750)*0.05*BC208</f>
        <v/>
      </c>
      <c r="BE208" s="34">
        <f>F208*AY208</f>
        <v/>
      </c>
      <c r="BF208" s="34">
        <f>K208-M208</f>
        <v/>
      </c>
      <c r="BG208" s="34">
        <f>P208-S208</f>
        <v/>
      </c>
      <c r="BH208" s="34">
        <f>W208-AA208</f>
        <v/>
      </c>
      <c r="BI208" s="34">
        <f>BF208+BG208+BL208-BN208</f>
        <v/>
      </c>
      <c r="BJ208" s="34">
        <f>ABS(BK208)</f>
        <v/>
      </c>
      <c r="BK208" s="34">
        <f>AY208-(J208-L208+N208-Q208)</f>
        <v/>
      </c>
      <c r="BL208" s="34">
        <f>IF(AND(BK208&gt;0,MIN($F208:$G208)&lt;150,$E208="Enerji Açığı"),-100*BK208*1.03,IF(AND(BK208&gt;0,MIN($F208:$G208)&lt;150,$E208="Enerji Fazlası"),-100*BK208*1.06,IF(AND(BK208&gt;0,MIN($F208:$G208)&gt;=150,$E208="Enerji Açığı"),BK208*MIN($F208:$G208)*0.97,IF(AND(BK208&gt;0,MIN($F208:$G208)&gt;=150,$E208="Enerji Fazlası"),BK208*MIN($F208:$G208)*0.94,IF(AND(BK208&lt;0,MAX($F208:$G208)=4500,$E208="Enerji Açığı"),4500*1.05*1.06*BK208,IF(AND(BK208&lt;0,MAX($F208:$G208)=4500,$E208="Enerji Fazlası"),4500*1.05*1.03*BK208,IF(AND(BK208&lt;0,$E208="Enerji Açığı"),MAX($F208,$G208,150)*BK208*1.06,IF(AND(BK208&lt;0,$E208="Enerji Fazlası"),MAX($F208,$G208,150)*BK208*1.03,IF(AND(BK208&lt;0,$E208="Dengede"),MAX($F208:$G208,150)*1.03*BK208,MIN($F208:$G208)*0.97*BK208)))))))))</f>
        <v/>
      </c>
      <c r="BM208" s="34">
        <f>BE208-BI208-BN208</f>
        <v/>
      </c>
      <c r="BN208" s="34">
        <f>BB208</f>
        <v/>
      </c>
      <c r="BO208" s="34">
        <f>BE208-BI208</f>
        <v/>
      </c>
      <c r="BP208" s="34">
        <f>IF(AY208=0,0,BO208/AY208)</f>
        <v/>
      </c>
      <c r="BQ208" s="34">
        <f>MAX((AY208+MAX((-J208+L208-N208+Q208),0)),(MAX((J208-L208+N208-Q208),0)))</f>
        <v/>
      </c>
      <c r="BR208" s="82">
        <f>IFERROR(ABS(BK208/BQ208),0)</f>
        <v/>
      </c>
      <c r="BS208" s="34">
        <f>IF(BR208&lt;=0.1,0,BK208/BR208*(BR208-0.1))</f>
        <v/>
      </c>
      <c r="BT208" s="34">
        <f>IF((BS208)&lt;0,MAX(F208:G208)*(BS208)*1.03,MIN(F208:G208)*(BS208)*0.97)</f>
        <v/>
      </c>
      <c r="BU208" s="34">
        <f>IF(BR208&gt;0.1,1,0)</f>
        <v/>
      </c>
      <c r="BV208" s="34">
        <f>BF208+BG208+BH208+BY208-CA208</f>
        <v/>
      </c>
      <c r="BW208" s="34">
        <f>ABS(BX208)</f>
        <v/>
      </c>
      <c r="BX208" s="34">
        <f>AY208-(J208-L208+N208-Q208+T208-X208)</f>
        <v/>
      </c>
      <c r="BY208" s="34">
        <f>IF(AND(BX208&gt;0,MIN($F208:$G208)&lt;150,$E208="Enerji Açığı"),-100*BX208*1.03,IF(AND(BX208&gt;0,MIN($F208:$G208)&lt;150,$E208="Enerji Fazlası"),-100*BX208*1.06,IF(AND(BX208&gt;0,MIN($F208:$G208)&gt;=150,$E208="Enerji Açığı"),BX208*MIN($F208:$G208)*0.97,IF(AND(BX208&gt;0,MIN($F208:$G208)&gt;=150,$E208="Enerji Fazlası"),BX208*MIN($F208:$G208)*0.94,IF(AND(BX208&lt;0,MAX($F208:$G208)=4500,$E208="Enerji Açığı"),4500*1.05*1.06*BX208,IF(AND(BX208&lt;0,MAX($F208:$G208)=4500,$E208="Enerji Fazlası"),4500*1.05*1.03*BX208,IF(AND(BX208&lt;0,$E208="Enerji Açığı"),MAX($F208,$G208,150)*BX208*1.06,IF(AND(BX208&lt;0,$E208="Enerji Fazlası"),MAX($F208,$G208,150)*BX208*1.03,IF(AND(BX208&lt;0,$E208="Dengede"),MAX($F208:$G208,150)*1.03*BX208,MIN($F208:$G208)*0.97*BX208)))))))))</f>
        <v/>
      </c>
      <c r="BZ208" s="34">
        <f>BE208-BV208-CA208</f>
        <v/>
      </c>
      <c r="CA208" s="34">
        <f>BD208</f>
        <v/>
      </c>
      <c r="CB208" s="33">
        <f>BE208-BV208</f>
        <v/>
      </c>
      <c r="CC208" s="34">
        <f>IF(AY208=0,0,CB208/AY208)</f>
        <v/>
      </c>
      <c r="CD208" s="34">
        <f>MAX((AY208+MAX((-J208+L208-N208+Q208-T208+X208),0)),(MAX((J208-L208+N208-Q208+T208-X208),0)))</f>
        <v/>
      </c>
      <c r="CE208" s="82">
        <f>IFERROR(ABS(BX208/CD208),0)</f>
        <v/>
      </c>
      <c r="CF208" s="34">
        <f>IF(CE208&lt;=0.1,0,BX208/CE208*(CE208-0.1))</f>
        <v/>
      </c>
      <c r="CG208" s="34">
        <f>IF((CF208)&lt;0,MAX(F208:G208)*(CF208)*1.03,MIN(F208:G208)*(CF208)*0.97)</f>
        <v/>
      </c>
      <c r="CH208" s="34">
        <f>IF(CE208&gt;0.1,1,0)</f>
        <v/>
      </c>
      <c r="CI208" s="34">
        <f>(F208*BX208)-BY208</f>
        <v/>
      </c>
      <c r="CJ208" s="34">
        <f>IF(AY208=0,0,CI208/AY208)</f>
        <v/>
      </c>
    </row>
    <row r="209">
      <c r="A209" s="29" t="n">
        <v>46212.58333333334</v>
      </c>
      <c r="B209" s="29" t="inlineStr">
        <is>
          <t>14:00</t>
        </is>
      </c>
      <c r="C209" s="35">
        <f>INT(A209)</f>
        <v/>
      </c>
      <c r="D209" s="36">
        <f>MONTH(A209)</f>
        <v/>
      </c>
      <c r="E209" s="147" t="inlineStr">
        <is>
          <t>Enerji Açığı</t>
        </is>
      </c>
      <c r="F209" s="30" t="n">
        <v>3478.04</v>
      </c>
      <c r="G209" s="30" t="n">
        <v>4019</v>
      </c>
      <c r="H209" s="30" t="n">
        <v>74.39</v>
      </c>
      <c r="I209" s="30" t="n">
        <v>3132.63</v>
      </c>
      <c r="J209" s="119" t="n">
        <v>0</v>
      </c>
      <c r="K209" s="34">
        <f>F209*J209</f>
        <v/>
      </c>
      <c r="L209" s="119" t="n">
        <v>0</v>
      </c>
      <c r="M209" s="34">
        <f>L209*F209</f>
        <v/>
      </c>
      <c r="N209" s="119" t="n">
        <v>16</v>
      </c>
      <c r="O209" s="34">
        <f>F209</f>
        <v/>
      </c>
      <c r="P209" s="34">
        <f>N209*O209</f>
        <v/>
      </c>
      <c r="Q209" s="117" t="n">
        <v>0</v>
      </c>
      <c r="R209" s="34">
        <f>F209</f>
        <v/>
      </c>
      <c r="S209" s="34">
        <f>R209*Q209</f>
        <v/>
      </c>
      <c r="T209" s="34" t="n"/>
      <c r="U209" s="34">
        <f>IFERROR(W209/T209,0)</f>
        <v/>
      </c>
      <c r="V209" s="34">
        <f>IF(U209=0,0,U209-F209)</f>
        <v/>
      </c>
      <c r="W209" s="34" t="n"/>
      <c r="X209" s="34" t="n"/>
      <c r="Y209" s="34">
        <f>IFERROR(AA209/X209,0)</f>
        <v/>
      </c>
      <c r="Z209" s="34">
        <f>IF(Y209=0,0,F209-Y209)</f>
        <v/>
      </c>
      <c r="AA209" s="34" t="n"/>
      <c r="AB209" s="34" t="n">
        <v>0</v>
      </c>
      <c r="AC209" s="34" t="n">
        <v>0</v>
      </c>
      <c r="AD209" s="34">
        <f>IF(AB209&gt;AC209*1.05,AB209-AC209*1.05,IF(AB209&lt;AC209*0.95,AC209*0.95-AB209,0))</f>
        <v/>
      </c>
      <c r="AE209" s="34">
        <f>MAX(F209,G209,750)*0.05*AD209</f>
        <v/>
      </c>
      <c r="AF209" s="34" t="n">
        <v>0</v>
      </c>
      <c r="AG209" s="34">
        <f>IF(AB209&gt;AF209*1.05,AB209-AF209*1.05,IF(AB209&lt;AF209*0.95,AF209*0.95-AB209,0))</f>
        <v/>
      </c>
      <c r="AH209" s="34">
        <f>MAX(I209,J209,750)*0.05*AG209</f>
        <v/>
      </c>
      <c r="AI209" t="n">
        <v>8.44</v>
      </c>
      <c r="AJ209" t="n">
        <v>9</v>
      </c>
      <c r="AK209" s="34">
        <f>IF(AI209&gt;AJ209*1.05,AI209-AJ209*1.05,IF(AI209&lt;AJ209*0.95,AJ209*0.95-AI209,0))</f>
        <v/>
      </c>
      <c r="AL209" s="34">
        <f>MAX(F209,G209,750)*0.05*AK209</f>
        <v/>
      </c>
      <c r="AM209" s="39" t="n">
        <v>9</v>
      </c>
      <c r="AN209" s="34">
        <f>IF(AI209&gt;AM209*1.05,AI209-AM209*1.05,IF(AI209&lt;AM209*0.95,AM209*0.95-AI209,0))</f>
        <v/>
      </c>
      <c r="AO209" s="34">
        <f>MAX(F209,G209,750)*0.05*AN209</f>
        <v/>
      </c>
      <c r="AP209" s="34" t="n">
        <v>14.51</v>
      </c>
      <c r="AQ209" s="34" t="n">
        <v>13.5</v>
      </c>
      <c r="AR209" s="34">
        <f>IF(AP209&gt;AQ209*1.05,AP209-AQ209*1.05,IF(AP209&lt;AQ209*0.95,AQ209*0.95-AP209,0))</f>
        <v/>
      </c>
      <c r="AS209" s="34">
        <f>MAX(F209:G209,750)*0.05*AR209</f>
        <v/>
      </c>
      <c r="AT209" t="n">
        <v>13.5</v>
      </c>
      <c r="AU209" s="34">
        <f>IF(AP209&gt;AT209*1.05,AP209-AT209*1.05,IF(AP209&lt;AT209*0.95,AT209*0.95-AP209,0))</f>
        <v/>
      </c>
      <c r="AV209" s="34">
        <f>MAX(F209:G209,750)*0.05*AU209</f>
        <v/>
      </c>
      <c r="AW209" s="34">
        <f>AC209+AJ209+AQ209</f>
        <v/>
      </c>
      <c r="AX209" s="34">
        <f>AF209+AM209+AT209</f>
        <v/>
      </c>
      <c r="AY209" s="34">
        <f>AB209+AI209+AP209</f>
        <v/>
      </c>
      <c r="AZ209" s="34" t="n">
        <v>0</v>
      </c>
      <c r="BA209" s="34">
        <f>AD209+AK209+AR209</f>
        <v/>
      </c>
      <c r="BB209" s="34">
        <f>MAX(F209:G209,750)*0.05*BA209</f>
        <v/>
      </c>
      <c r="BC209" s="34">
        <f>AG209+AN209+AU209</f>
        <v/>
      </c>
      <c r="BD209" s="34">
        <f>MAX(F209:G209,750)*0.05*BC209</f>
        <v/>
      </c>
      <c r="BE209" s="34">
        <f>F209*AY209</f>
        <v/>
      </c>
      <c r="BF209" s="34">
        <f>K209-M209</f>
        <v/>
      </c>
      <c r="BG209" s="34">
        <f>P209-S209</f>
        <v/>
      </c>
      <c r="BH209" s="34">
        <f>W209-AA209</f>
        <v/>
      </c>
      <c r="BI209" s="34">
        <f>BF209+BG209+BL209-BN209</f>
        <v/>
      </c>
      <c r="BJ209" s="34">
        <f>ABS(BK209)</f>
        <v/>
      </c>
      <c r="BK209" s="34">
        <f>AY209-(J209-L209+N209-Q209)</f>
        <v/>
      </c>
      <c r="BL209" s="34">
        <f>IF(AND(BK209&gt;0,MIN($F209:$G209)&lt;150,$E209="Enerji Açığı"),-100*BK209*1.03,IF(AND(BK209&gt;0,MIN($F209:$G209)&lt;150,$E209="Enerji Fazlası"),-100*BK209*1.06,IF(AND(BK209&gt;0,MIN($F209:$G209)&gt;=150,$E209="Enerji Açığı"),BK209*MIN($F209:$G209)*0.97,IF(AND(BK209&gt;0,MIN($F209:$G209)&gt;=150,$E209="Enerji Fazlası"),BK209*MIN($F209:$G209)*0.94,IF(AND(BK209&lt;0,MAX($F209:$G209)=4500,$E209="Enerji Açığı"),4500*1.05*1.06*BK209,IF(AND(BK209&lt;0,MAX($F209:$G209)=4500,$E209="Enerji Fazlası"),4500*1.05*1.03*BK209,IF(AND(BK209&lt;0,$E209="Enerji Açığı"),MAX($F209,$G209,150)*BK209*1.06,IF(AND(BK209&lt;0,$E209="Enerji Fazlası"),MAX($F209,$G209,150)*BK209*1.03,IF(AND(BK209&lt;0,$E209="Dengede"),MAX($F209:$G209,150)*1.03*BK209,MIN($F209:$G209)*0.97*BK209)))))))))</f>
        <v/>
      </c>
      <c r="BM209" s="34">
        <f>BE209-BI209-BN209</f>
        <v/>
      </c>
      <c r="BN209" s="34">
        <f>BB209</f>
        <v/>
      </c>
      <c r="BO209" s="34">
        <f>BE209-BI209</f>
        <v/>
      </c>
      <c r="BP209" s="34">
        <f>IF(AY209=0,0,BO209/AY209)</f>
        <v/>
      </c>
      <c r="BQ209" s="34">
        <f>MAX((AY209+MAX((-J209+L209-N209+Q209),0)),(MAX((J209-L209+N209-Q209),0)))</f>
        <v/>
      </c>
      <c r="BR209" s="82">
        <f>IFERROR(ABS(BK209/BQ209),0)</f>
        <v/>
      </c>
      <c r="BS209" s="34">
        <f>IF(BR209&lt;=0.1,0,BK209/BR209*(BR209-0.1))</f>
        <v/>
      </c>
      <c r="BT209" s="34">
        <f>IF((BS209)&lt;0,MAX(F209:G209)*(BS209)*1.03,MIN(F209:G209)*(BS209)*0.97)</f>
        <v/>
      </c>
      <c r="BU209" s="34">
        <f>IF(BR209&gt;0.1,1,0)</f>
        <v/>
      </c>
      <c r="BV209" s="34">
        <f>BF209+BG209+BH209+BY209-CA209</f>
        <v/>
      </c>
      <c r="BW209" s="34">
        <f>ABS(BX209)</f>
        <v/>
      </c>
      <c r="BX209" s="34">
        <f>AY209-(J209-L209+N209-Q209+T209-X209)</f>
        <v/>
      </c>
      <c r="BY209" s="34">
        <f>IF(AND(BX209&gt;0,MIN($F209:$G209)&lt;150,$E209="Enerji Açığı"),-100*BX209*1.03,IF(AND(BX209&gt;0,MIN($F209:$G209)&lt;150,$E209="Enerji Fazlası"),-100*BX209*1.06,IF(AND(BX209&gt;0,MIN($F209:$G209)&gt;=150,$E209="Enerji Açığı"),BX209*MIN($F209:$G209)*0.97,IF(AND(BX209&gt;0,MIN($F209:$G209)&gt;=150,$E209="Enerji Fazlası"),BX209*MIN($F209:$G209)*0.94,IF(AND(BX209&lt;0,MAX($F209:$G209)=4500,$E209="Enerji Açığı"),4500*1.05*1.06*BX209,IF(AND(BX209&lt;0,MAX($F209:$G209)=4500,$E209="Enerji Fazlası"),4500*1.05*1.03*BX209,IF(AND(BX209&lt;0,$E209="Enerji Açığı"),MAX($F209,$G209,150)*BX209*1.06,IF(AND(BX209&lt;0,$E209="Enerji Fazlası"),MAX($F209,$G209,150)*BX209*1.03,IF(AND(BX209&lt;0,$E209="Dengede"),MAX($F209:$G209,150)*1.03*BX209,MIN($F209:$G209)*0.97*BX209)))))))))</f>
        <v/>
      </c>
      <c r="BZ209" s="34">
        <f>BE209-BV209-CA209</f>
        <v/>
      </c>
      <c r="CA209" s="34">
        <f>BD209</f>
        <v/>
      </c>
      <c r="CB209" s="33">
        <f>BE209-BV209</f>
        <v/>
      </c>
      <c r="CC209" s="34">
        <f>IF(AY209=0,0,CB209/AY209)</f>
        <v/>
      </c>
      <c r="CD209" s="34">
        <f>MAX((AY209+MAX((-J209+L209-N209+Q209-T209+X209),0)),(MAX((J209-L209+N209-Q209+T209-X209),0)))</f>
        <v/>
      </c>
      <c r="CE209" s="82">
        <f>IFERROR(ABS(BX209/CD209),0)</f>
        <v/>
      </c>
      <c r="CF209" s="34">
        <f>IF(CE209&lt;=0.1,0,BX209/CE209*(CE209-0.1))</f>
        <v/>
      </c>
      <c r="CG209" s="34">
        <f>IF((CF209)&lt;0,MAX(F209:G209)*(CF209)*1.03,MIN(F209:G209)*(CF209)*0.97)</f>
        <v/>
      </c>
      <c r="CH209" s="34">
        <f>IF(CE209&gt;0.1,1,0)</f>
        <v/>
      </c>
      <c r="CI209" s="34">
        <f>(F209*BX209)-BY209</f>
        <v/>
      </c>
      <c r="CJ209" s="34">
        <f>IF(AY209=0,0,CI209/AY209)</f>
        <v/>
      </c>
    </row>
    <row r="210">
      <c r="A210" s="29" t="n">
        <v>46212.625</v>
      </c>
      <c r="B210" s="29" t="inlineStr">
        <is>
          <t>15:00</t>
        </is>
      </c>
      <c r="C210" s="35">
        <f>INT(A210)</f>
        <v/>
      </c>
      <c r="D210" s="36">
        <f>MONTH(A210)</f>
        <v/>
      </c>
      <c r="E210" s="147" t="inlineStr">
        <is>
          <t>Enerji Açığı</t>
        </is>
      </c>
      <c r="F210" s="30" t="n">
        <v>3200.01</v>
      </c>
      <c r="G210" s="30" t="n">
        <v>3800</v>
      </c>
      <c r="H210" s="30" t="n">
        <v>68.45</v>
      </c>
      <c r="I210" s="30" t="n">
        <v>3163.71</v>
      </c>
      <c r="J210" s="119" t="n">
        <v>0</v>
      </c>
      <c r="K210" s="34">
        <f>F210*J210</f>
        <v/>
      </c>
      <c r="L210" s="119" t="n">
        <v>0</v>
      </c>
      <c r="M210" s="34">
        <f>L210*F210</f>
        <v/>
      </c>
      <c r="N210" s="119" t="n">
        <v>16</v>
      </c>
      <c r="O210" s="34">
        <f>F210</f>
        <v/>
      </c>
      <c r="P210" s="34">
        <f>N210*O210</f>
        <v/>
      </c>
      <c r="Q210" s="117" t="n">
        <v>0</v>
      </c>
      <c r="R210" s="34">
        <f>F210</f>
        <v/>
      </c>
      <c r="S210" s="34">
        <f>R210*Q210</f>
        <v/>
      </c>
      <c r="T210" s="34" t="n"/>
      <c r="U210" s="34">
        <f>IFERROR(W210/T210,0)</f>
        <v/>
      </c>
      <c r="V210" s="34">
        <f>IF(U210=0,0,U210-F210)</f>
        <v/>
      </c>
      <c r="W210" s="34" t="n"/>
      <c r="X210" s="34" t="n"/>
      <c r="Y210" s="34">
        <f>IFERROR(AA210/X210,0)</f>
        <v/>
      </c>
      <c r="Z210" s="34">
        <f>IF(Y210=0,0,F210-Y210)</f>
        <v/>
      </c>
      <c r="AA210" s="34" t="n"/>
      <c r="AB210" s="34" t="n">
        <v>0</v>
      </c>
      <c r="AC210" s="34" t="n">
        <v>0</v>
      </c>
      <c r="AD210" s="34">
        <f>IF(AB210&gt;AC210*1.05,AB210-AC210*1.05,IF(AB210&lt;AC210*0.95,AC210*0.95-AB210,0))</f>
        <v/>
      </c>
      <c r="AE210" s="34">
        <f>MAX(F210,G210,750)*0.05*AD210</f>
        <v/>
      </c>
      <c r="AF210" s="34" t="n">
        <v>0</v>
      </c>
      <c r="AG210" s="34">
        <f>IF(AB210&gt;AF210*1.05,AB210-AF210*1.05,IF(AB210&lt;AF210*0.95,AF210*0.95-AB210,0))</f>
        <v/>
      </c>
      <c r="AH210" s="34">
        <f>MAX(I210,J210,750)*0.05*AG210</f>
        <v/>
      </c>
      <c r="AI210" t="n">
        <v>7.32</v>
      </c>
      <c r="AJ210" t="n">
        <v>9</v>
      </c>
      <c r="AK210" s="34">
        <f>IF(AI210&gt;AJ210*1.05,AI210-AJ210*1.05,IF(AI210&lt;AJ210*0.95,AJ210*0.95-AI210,0))</f>
        <v/>
      </c>
      <c r="AL210" s="34">
        <f>MAX(F210,G210,750)*0.05*AK210</f>
        <v/>
      </c>
      <c r="AM210" s="39" t="n">
        <v>9</v>
      </c>
      <c r="AN210" s="34">
        <f>IF(AI210&gt;AM210*1.05,AI210-AM210*1.05,IF(AI210&lt;AM210*0.95,AM210*0.95-AI210,0))</f>
        <v/>
      </c>
      <c r="AO210" s="34">
        <f>MAX(F210,G210,750)*0.05*AN210</f>
        <v/>
      </c>
      <c r="AP210" s="34" t="n">
        <v>14.99</v>
      </c>
      <c r="AQ210" s="34" t="n">
        <v>13.3</v>
      </c>
      <c r="AR210" s="34">
        <f>IF(AP210&gt;AQ210*1.05,AP210-AQ210*1.05,IF(AP210&lt;AQ210*0.95,AQ210*0.95-AP210,0))</f>
        <v/>
      </c>
      <c r="AS210" s="34">
        <f>MAX(F210:G210,750)*0.05*AR210</f>
        <v/>
      </c>
      <c r="AT210" t="n">
        <v>13.3</v>
      </c>
      <c r="AU210" s="34">
        <f>IF(AP210&gt;AT210*1.05,AP210-AT210*1.05,IF(AP210&lt;AT210*0.95,AT210*0.95-AP210,0))</f>
        <v/>
      </c>
      <c r="AV210" s="34">
        <f>MAX(F210:G210,750)*0.05*AU210</f>
        <v/>
      </c>
      <c r="AW210" s="34">
        <f>AC210+AJ210+AQ210</f>
        <v/>
      </c>
      <c r="AX210" s="34">
        <f>AF210+AM210+AT210</f>
        <v/>
      </c>
      <c r="AY210" s="34">
        <f>AB210+AI210+AP210</f>
        <v/>
      </c>
      <c r="AZ210" s="34" t="n">
        <v>0</v>
      </c>
      <c r="BA210" s="34">
        <f>AD210+AK210+AR210</f>
        <v/>
      </c>
      <c r="BB210" s="34">
        <f>MAX(F210:G210,750)*0.05*BA210</f>
        <v/>
      </c>
      <c r="BC210" s="34">
        <f>AG210+AN210+AU210</f>
        <v/>
      </c>
      <c r="BD210" s="34">
        <f>MAX(F210:G210,750)*0.05*BC210</f>
        <v/>
      </c>
      <c r="BE210" s="34">
        <f>F210*AY210</f>
        <v/>
      </c>
      <c r="BF210" s="34">
        <f>K210-M210</f>
        <v/>
      </c>
      <c r="BG210" s="34">
        <f>P210-S210</f>
        <v/>
      </c>
      <c r="BH210" s="34">
        <f>W210-AA210</f>
        <v/>
      </c>
      <c r="BI210" s="34">
        <f>BF210+BG210+BL210-BN210</f>
        <v/>
      </c>
      <c r="BJ210" s="34">
        <f>ABS(BK210)</f>
        <v/>
      </c>
      <c r="BK210" s="34">
        <f>AY210-(J210-L210+N210-Q210)</f>
        <v/>
      </c>
      <c r="BL210" s="34">
        <f>IF(AND(BK210&gt;0,MIN($F210:$G210)&lt;150,$E210="Enerji Açığı"),-100*BK210*1.03,IF(AND(BK210&gt;0,MIN($F210:$G210)&lt;150,$E210="Enerji Fazlası"),-100*BK210*1.06,IF(AND(BK210&gt;0,MIN($F210:$G210)&gt;=150,$E210="Enerji Açığı"),BK210*MIN($F210:$G210)*0.97,IF(AND(BK210&gt;0,MIN($F210:$G210)&gt;=150,$E210="Enerji Fazlası"),BK210*MIN($F210:$G210)*0.94,IF(AND(BK210&lt;0,MAX($F210:$G210)=4500,$E210="Enerji Açığı"),4500*1.05*1.06*BK210,IF(AND(BK210&lt;0,MAX($F210:$G210)=4500,$E210="Enerji Fazlası"),4500*1.05*1.03*BK210,IF(AND(BK210&lt;0,$E210="Enerji Açığı"),MAX($F210,$G210,150)*BK210*1.06,IF(AND(BK210&lt;0,$E210="Enerji Fazlası"),MAX($F210,$G210,150)*BK210*1.03,IF(AND(BK210&lt;0,$E210="Dengede"),MAX($F210:$G210,150)*1.03*BK210,MIN($F210:$G210)*0.97*BK210)))))))))</f>
        <v/>
      </c>
      <c r="BM210" s="34">
        <f>BE210-BI210-BN210</f>
        <v/>
      </c>
      <c r="BN210" s="34">
        <f>BB210</f>
        <v/>
      </c>
      <c r="BO210" s="34">
        <f>BE210-BI210</f>
        <v/>
      </c>
      <c r="BP210" s="34">
        <f>IF(AY210=0,0,BO210/AY210)</f>
        <v/>
      </c>
      <c r="BQ210" s="34">
        <f>MAX((AY210+MAX((-J210+L210-N210+Q210),0)),(MAX((J210-L210+N210-Q210),0)))</f>
        <v/>
      </c>
      <c r="BR210" s="82">
        <f>IFERROR(ABS(BK210/BQ210),0)</f>
        <v/>
      </c>
      <c r="BS210" s="34">
        <f>IF(BR210&lt;=0.1,0,BK210/BR210*(BR210-0.1))</f>
        <v/>
      </c>
      <c r="BT210" s="34">
        <f>IF((BS210)&lt;0,MAX(F210:G210)*(BS210)*1.03,MIN(F210:G210)*(BS210)*0.97)</f>
        <v/>
      </c>
      <c r="BU210" s="34">
        <f>IF(BR210&gt;0.1,1,0)</f>
        <v/>
      </c>
      <c r="BV210" s="34">
        <f>BF210+BG210+BH210+BY210-CA210</f>
        <v/>
      </c>
      <c r="BW210" s="34">
        <f>ABS(BX210)</f>
        <v/>
      </c>
      <c r="BX210" s="34">
        <f>AY210-(J210-L210+N210-Q210+T210-X210)</f>
        <v/>
      </c>
      <c r="BY210" s="34">
        <f>IF(AND(BX210&gt;0,MIN($F210:$G210)&lt;150,$E210="Enerji Açığı"),-100*BX210*1.03,IF(AND(BX210&gt;0,MIN($F210:$G210)&lt;150,$E210="Enerji Fazlası"),-100*BX210*1.06,IF(AND(BX210&gt;0,MIN($F210:$G210)&gt;=150,$E210="Enerji Açığı"),BX210*MIN($F210:$G210)*0.97,IF(AND(BX210&gt;0,MIN($F210:$G210)&gt;=150,$E210="Enerji Fazlası"),BX210*MIN($F210:$G210)*0.94,IF(AND(BX210&lt;0,MAX($F210:$G210)=4500,$E210="Enerji Açığı"),4500*1.05*1.06*BX210,IF(AND(BX210&lt;0,MAX($F210:$G210)=4500,$E210="Enerji Fazlası"),4500*1.05*1.03*BX210,IF(AND(BX210&lt;0,$E210="Enerji Açığı"),MAX($F210,$G210,150)*BX210*1.06,IF(AND(BX210&lt;0,$E210="Enerji Fazlası"),MAX($F210,$G210,150)*BX210*1.03,IF(AND(BX210&lt;0,$E210="Dengede"),MAX($F210:$G210,150)*1.03*BX210,MIN($F210:$G210)*0.97*BX210)))))))))</f>
        <v/>
      </c>
      <c r="BZ210" s="34">
        <f>BE210-BV210-CA210</f>
        <v/>
      </c>
      <c r="CA210" s="34">
        <f>BD210</f>
        <v/>
      </c>
      <c r="CB210" s="33">
        <f>BE210-BV210</f>
        <v/>
      </c>
      <c r="CC210" s="34">
        <f>IF(AY210=0,0,CB210/AY210)</f>
        <v/>
      </c>
      <c r="CD210" s="34">
        <f>MAX((AY210+MAX((-J210+L210-N210+Q210-T210+X210),0)),(MAX((J210-L210+N210-Q210+T210-X210),0)))</f>
        <v/>
      </c>
      <c r="CE210" s="82">
        <f>IFERROR(ABS(BX210/CD210),0)</f>
        <v/>
      </c>
      <c r="CF210" s="34">
        <f>IF(CE210&lt;=0.1,0,BX210/CE210*(CE210-0.1))</f>
        <v/>
      </c>
      <c r="CG210" s="34">
        <f>IF((CF210)&lt;0,MAX(F210:G210)*(CF210)*1.03,MIN(F210:G210)*(CF210)*0.97)</f>
        <v/>
      </c>
      <c r="CH210" s="34">
        <f>IF(CE210&gt;0.1,1,0)</f>
        <v/>
      </c>
      <c r="CI210" s="34">
        <f>(F210*BX210)-BY210</f>
        <v/>
      </c>
      <c r="CJ210" s="34">
        <f>IF(AY210=0,0,CI210/AY210)</f>
        <v/>
      </c>
    </row>
    <row r="211">
      <c r="A211" s="29" t="n">
        <v>46212.66666666666</v>
      </c>
      <c r="B211" s="29" t="inlineStr">
        <is>
          <t>16:00</t>
        </is>
      </c>
      <c r="C211" s="35">
        <f>INT(A211)</f>
        <v/>
      </c>
      <c r="D211" s="36">
        <f>MONTH(A211)</f>
        <v/>
      </c>
      <c r="E211" s="147" t="inlineStr">
        <is>
          <t>Enerji Açığı</t>
        </is>
      </c>
      <c r="F211" s="30" t="n">
        <v>3500</v>
      </c>
      <c r="G211" s="30" t="n">
        <v>3750</v>
      </c>
      <c r="H211" s="30" t="n">
        <v>74.86</v>
      </c>
      <c r="I211" s="30" t="n">
        <v>3531.71</v>
      </c>
      <c r="J211" s="119" t="n">
        <v>0</v>
      </c>
      <c r="K211" s="34">
        <f>F211*J211</f>
        <v/>
      </c>
      <c r="L211" s="119" t="n">
        <v>0</v>
      </c>
      <c r="M211" s="34">
        <f>L211*F211</f>
        <v/>
      </c>
      <c r="N211" s="119" t="n">
        <v>16</v>
      </c>
      <c r="O211" s="34">
        <f>F211</f>
        <v/>
      </c>
      <c r="P211" s="34">
        <f>N211*O211</f>
        <v/>
      </c>
      <c r="Q211" s="117" t="n">
        <v>0</v>
      </c>
      <c r="R211" s="34">
        <f>F211</f>
        <v/>
      </c>
      <c r="S211" s="34">
        <f>R211*Q211</f>
        <v/>
      </c>
      <c r="T211" s="34" t="n"/>
      <c r="U211" s="34">
        <f>IFERROR(W211/T211,0)</f>
        <v/>
      </c>
      <c r="V211" s="34">
        <f>IF(U211=0,0,U211-F211)</f>
        <v/>
      </c>
      <c r="W211" s="34" t="n"/>
      <c r="X211" s="34" t="n"/>
      <c r="Y211" s="34">
        <f>IFERROR(AA211/X211,0)</f>
        <v/>
      </c>
      <c r="Z211" s="34">
        <f>IF(Y211=0,0,F211-Y211)</f>
        <v/>
      </c>
      <c r="AA211" s="34" t="n"/>
      <c r="AB211" s="34" t="n">
        <v>0</v>
      </c>
      <c r="AC211" s="34" t="n">
        <v>0</v>
      </c>
      <c r="AD211" s="34">
        <f>IF(AB211&gt;AC211*1.05,AB211-AC211*1.05,IF(AB211&lt;AC211*0.95,AC211*0.95-AB211,0))</f>
        <v/>
      </c>
      <c r="AE211" s="34">
        <f>MAX(F211,G211,750)*0.05*AD211</f>
        <v/>
      </c>
      <c r="AF211" s="34" t="n">
        <v>0</v>
      </c>
      <c r="AG211" s="34">
        <f>IF(AB211&gt;AF211*1.05,AB211-AF211*1.05,IF(AB211&lt;AF211*0.95,AF211*0.95-AB211,0))</f>
        <v/>
      </c>
      <c r="AH211" s="34">
        <f>MAX(I211,J211,750)*0.05*AG211</f>
        <v/>
      </c>
      <c r="AI211" t="n">
        <v>6.1</v>
      </c>
      <c r="AJ211" t="n">
        <v>9</v>
      </c>
      <c r="AK211" s="34">
        <f>IF(AI211&gt;AJ211*1.05,AI211-AJ211*1.05,IF(AI211&lt;AJ211*0.95,AJ211*0.95-AI211,0))</f>
        <v/>
      </c>
      <c r="AL211" s="34">
        <f>MAX(F211,G211,750)*0.05*AK211</f>
        <v/>
      </c>
      <c r="AM211" s="39" t="n">
        <v>6</v>
      </c>
      <c r="AN211" s="34">
        <f>IF(AI211&gt;AM211*1.05,AI211-AM211*1.05,IF(AI211&lt;AM211*0.95,AM211*0.95-AI211,0))</f>
        <v/>
      </c>
      <c r="AO211" s="34">
        <f>MAX(F211,G211,750)*0.05*AN211</f>
        <v/>
      </c>
      <c r="AP211" s="34" t="n">
        <v>13.06</v>
      </c>
      <c r="AQ211" s="34" t="n">
        <v>13</v>
      </c>
      <c r="AR211" s="34">
        <f>IF(AP211&gt;AQ211*1.05,AP211-AQ211*1.05,IF(AP211&lt;AQ211*0.95,AQ211*0.95-AP211,0))</f>
        <v/>
      </c>
      <c r="AS211" s="34">
        <f>MAX(F211:G211,750)*0.05*AR211</f>
        <v/>
      </c>
      <c r="AT211" t="n">
        <v>13</v>
      </c>
      <c r="AU211" s="34">
        <f>IF(AP211&gt;AT211*1.05,AP211-AT211*1.05,IF(AP211&lt;AT211*0.95,AT211*0.95-AP211,0))</f>
        <v/>
      </c>
      <c r="AV211" s="34">
        <f>MAX(F211:G211,750)*0.05*AU211</f>
        <v/>
      </c>
      <c r="AW211" s="34">
        <f>AC211+AJ211+AQ211</f>
        <v/>
      </c>
      <c r="AX211" s="34">
        <f>AF211+AM211+AT211</f>
        <v/>
      </c>
      <c r="AY211" s="34">
        <f>AB211+AI211+AP211</f>
        <v/>
      </c>
      <c r="AZ211" s="34" t="n">
        <v>0</v>
      </c>
      <c r="BA211" s="34">
        <f>AD211+AK211+AR211</f>
        <v/>
      </c>
      <c r="BB211" s="34">
        <f>MAX(F211:G211,750)*0.05*BA211</f>
        <v/>
      </c>
      <c r="BC211" s="34">
        <f>AG211+AN211+AU211</f>
        <v/>
      </c>
      <c r="BD211" s="34">
        <f>MAX(F211:G211,750)*0.05*BC211</f>
        <v/>
      </c>
      <c r="BE211" s="34">
        <f>F211*AY211</f>
        <v/>
      </c>
      <c r="BF211" s="34">
        <f>K211-M211</f>
        <v/>
      </c>
      <c r="BG211" s="34">
        <f>P211-S211</f>
        <v/>
      </c>
      <c r="BH211" s="34">
        <f>W211-AA211</f>
        <v/>
      </c>
      <c r="BI211" s="34">
        <f>BF211+BG211+BL211-BN211</f>
        <v/>
      </c>
      <c r="BJ211" s="34">
        <f>ABS(BK211)</f>
        <v/>
      </c>
      <c r="BK211" s="34">
        <f>AY211-(J211-L211+N211-Q211)</f>
        <v/>
      </c>
      <c r="BL211" s="34">
        <f>IF(AND(BK211&gt;0,MIN($F211:$G211)&lt;150,$E211="Enerji Açığı"),-100*BK211*1.03,IF(AND(BK211&gt;0,MIN($F211:$G211)&lt;150,$E211="Enerji Fazlası"),-100*BK211*1.06,IF(AND(BK211&gt;0,MIN($F211:$G211)&gt;=150,$E211="Enerji Açığı"),BK211*MIN($F211:$G211)*0.97,IF(AND(BK211&gt;0,MIN($F211:$G211)&gt;=150,$E211="Enerji Fazlası"),BK211*MIN($F211:$G211)*0.94,IF(AND(BK211&lt;0,MAX($F211:$G211)=4500,$E211="Enerji Açığı"),4500*1.05*1.06*BK211,IF(AND(BK211&lt;0,MAX($F211:$G211)=4500,$E211="Enerji Fazlası"),4500*1.05*1.03*BK211,IF(AND(BK211&lt;0,$E211="Enerji Açığı"),MAX($F211,$G211,150)*BK211*1.06,IF(AND(BK211&lt;0,$E211="Enerji Fazlası"),MAX($F211,$G211,150)*BK211*1.03,IF(AND(BK211&lt;0,$E211="Dengede"),MAX($F211:$G211,150)*1.03*BK211,MIN($F211:$G211)*0.97*BK211)))))))))</f>
        <v/>
      </c>
      <c r="BM211" s="34">
        <f>BE211-BI211-BN211</f>
        <v/>
      </c>
      <c r="BN211" s="34">
        <f>BB211</f>
        <v/>
      </c>
      <c r="BO211" s="34">
        <f>BE211-BI211</f>
        <v/>
      </c>
      <c r="BP211" s="34">
        <f>IF(AY211=0,0,BO211/AY211)</f>
        <v/>
      </c>
      <c r="BQ211" s="34">
        <f>MAX((AY211+MAX((-J211+L211-N211+Q211),0)),(MAX((J211-L211+N211-Q211),0)))</f>
        <v/>
      </c>
      <c r="BR211" s="82">
        <f>IFERROR(ABS(BK211/BQ211),0)</f>
        <v/>
      </c>
      <c r="BS211" s="34">
        <f>IF(BR211&lt;=0.1,0,BK211/BR211*(BR211-0.1))</f>
        <v/>
      </c>
      <c r="BT211" s="34">
        <f>IF((BS211)&lt;0,MAX(F211:G211)*(BS211)*1.03,MIN(F211:G211)*(BS211)*0.97)</f>
        <v/>
      </c>
      <c r="BU211" s="34">
        <f>IF(BR211&gt;0.1,1,0)</f>
        <v/>
      </c>
      <c r="BV211" s="34">
        <f>BF211+BG211+BH211+BY211-CA211</f>
        <v/>
      </c>
      <c r="BW211" s="34">
        <f>ABS(BX211)</f>
        <v/>
      </c>
      <c r="BX211" s="34">
        <f>AY211-(J211-L211+N211-Q211+T211-X211)</f>
        <v/>
      </c>
      <c r="BY211" s="34">
        <f>IF(AND(BX211&gt;0,MIN($F211:$G211)&lt;150,$E211="Enerji Açığı"),-100*BX211*1.03,IF(AND(BX211&gt;0,MIN($F211:$G211)&lt;150,$E211="Enerji Fazlası"),-100*BX211*1.06,IF(AND(BX211&gt;0,MIN($F211:$G211)&gt;=150,$E211="Enerji Açığı"),BX211*MIN($F211:$G211)*0.97,IF(AND(BX211&gt;0,MIN($F211:$G211)&gt;=150,$E211="Enerji Fazlası"),BX211*MIN($F211:$G211)*0.94,IF(AND(BX211&lt;0,MAX($F211:$G211)=4500,$E211="Enerji Açığı"),4500*1.05*1.06*BX211,IF(AND(BX211&lt;0,MAX($F211:$G211)=4500,$E211="Enerji Fazlası"),4500*1.05*1.03*BX211,IF(AND(BX211&lt;0,$E211="Enerji Açığı"),MAX($F211,$G211,150)*BX211*1.06,IF(AND(BX211&lt;0,$E211="Enerji Fazlası"),MAX($F211,$G211,150)*BX211*1.03,IF(AND(BX211&lt;0,$E211="Dengede"),MAX($F211:$G211,150)*1.03*BX211,MIN($F211:$G211)*0.97*BX211)))))))))</f>
        <v/>
      </c>
      <c r="BZ211" s="34">
        <f>BE211-BV211-CA211</f>
        <v/>
      </c>
      <c r="CA211" s="34">
        <f>BD211</f>
        <v/>
      </c>
      <c r="CB211" s="33">
        <f>BE211-BV211</f>
        <v/>
      </c>
      <c r="CC211" s="34">
        <f>IF(AY211=0,0,CB211/AY211)</f>
        <v/>
      </c>
      <c r="CD211" s="34">
        <f>MAX((AY211+MAX((-J211+L211-N211+Q211-T211+X211),0)),(MAX((J211-L211+N211-Q211+T211-X211),0)))</f>
        <v/>
      </c>
      <c r="CE211" s="82">
        <f>IFERROR(ABS(BX211/CD211),0)</f>
        <v/>
      </c>
      <c r="CF211" s="34">
        <f>IF(CE211&lt;=0.1,0,BX211/CE211*(CE211-0.1))</f>
        <v/>
      </c>
      <c r="CG211" s="34">
        <f>IF((CF211)&lt;0,MAX(F211:G211)*(CF211)*1.03,MIN(F211:G211)*(CF211)*0.97)</f>
        <v/>
      </c>
      <c r="CH211" s="34">
        <f>IF(CE211&gt;0.1,1,0)</f>
        <v/>
      </c>
      <c r="CI211" s="34">
        <f>(F211*BX211)-BY211</f>
        <v/>
      </c>
      <c r="CJ211" s="34">
        <f>IF(AY211=0,0,CI211/AY211)</f>
        <v/>
      </c>
    </row>
    <row r="212">
      <c r="A212" s="29" t="n">
        <v>46212.70833333334</v>
      </c>
      <c r="B212" s="29" t="inlineStr">
        <is>
          <t>17:00</t>
        </is>
      </c>
      <c r="C212" s="35">
        <f>INT(A212)</f>
        <v/>
      </c>
      <c r="D212" s="36">
        <f>MONTH(A212)</f>
        <v/>
      </c>
      <c r="E212" s="147" t="inlineStr">
        <is>
          <t>Enerji Fazlası</t>
        </is>
      </c>
      <c r="F212" s="30" t="n">
        <v>3600</v>
      </c>
      <c r="G212" s="30" t="n">
        <v>2850</v>
      </c>
      <c r="H212" s="30" t="n">
        <v>77</v>
      </c>
      <c r="I212" s="30" t="n">
        <v>3680.58</v>
      </c>
      <c r="J212" s="119" t="n">
        <v>0</v>
      </c>
      <c r="K212" s="34">
        <f>F212*J212</f>
        <v/>
      </c>
      <c r="L212" s="119" t="n">
        <v>0</v>
      </c>
      <c r="M212" s="34">
        <f>L212*F212</f>
        <v/>
      </c>
      <c r="N212" s="119" t="n">
        <v>16</v>
      </c>
      <c r="O212" s="34">
        <f>F212</f>
        <v/>
      </c>
      <c r="P212" s="34">
        <f>N212*O212</f>
        <v/>
      </c>
      <c r="Q212" s="117" t="n">
        <v>0</v>
      </c>
      <c r="R212" s="34">
        <f>F212</f>
        <v/>
      </c>
      <c r="S212" s="34">
        <f>R212*Q212</f>
        <v/>
      </c>
      <c r="T212" s="34" t="n"/>
      <c r="U212" s="34">
        <f>IFERROR(W212/T212,0)</f>
        <v/>
      </c>
      <c r="V212" s="34">
        <f>IF(U212=0,0,U212-F212)</f>
        <v/>
      </c>
      <c r="W212" s="34" t="n"/>
      <c r="X212" s="34" t="n"/>
      <c r="Y212" s="34">
        <f>IFERROR(AA212/X212,0)</f>
        <v/>
      </c>
      <c r="Z212" s="34">
        <f>IF(Y212=0,0,F212-Y212)</f>
        <v/>
      </c>
      <c r="AA212" s="34" t="n"/>
      <c r="AB212" s="34" t="n">
        <v>0</v>
      </c>
      <c r="AC212" s="34" t="n">
        <v>0</v>
      </c>
      <c r="AD212" s="34">
        <f>IF(AB212&gt;AC212*1.05,AB212-AC212*1.05,IF(AB212&lt;AC212*0.95,AC212*0.95-AB212,0))</f>
        <v/>
      </c>
      <c r="AE212" s="34">
        <f>MAX(F212,G212,750)*0.05*AD212</f>
        <v/>
      </c>
      <c r="AF212" s="34" t="n">
        <v>0</v>
      </c>
      <c r="AG212" s="34">
        <f>IF(AB212&gt;AF212*1.05,AB212-AF212*1.05,IF(AB212&lt;AF212*0.95,AF212*0.95-AB212,0))</f>
        <v/>
      </c>
      <c r="AH212" s="34">
        <f>MAX(I212,J212,750)*0.05*AG212</f>
        <v/>
      </c>
      <c r="AI212" t="n">
        <v>7.09</v>
      </c>
      <c r="AJ212" t="n">
        <v>9</v>
      </c>
      <c r="AK212" s="34">
        <f>IF(AI212&gt;AJ212*1.05,AI212-AJ212*1.05,IF(AI212&lt;AJ212*0.95,AJ212*0.95-AI212,0))</f>
        <v/>
      </c>
      <c r="AL212" s="34">
        <f>MAX(F212,G212,750)*0.05*AK212</f>
        <v/>
      </c>
      <c r="AM212" s="39" t="n">
        <v>6</v>
      </c>
      <c r="AN212" s="34">
        <f>IF(AI212&gt;AM212*1.05,AI212-AM212*1.05,IF(AI212&lt;AM212*0.95,AM212*0.95-AI212,0))</f>
        <v/>
      </c>
      <c r="AO212" s="34">
        <f>MAX(F212,G212,750)*0.05*AN212</f>
        <v/>
      </c>
      <c r="AP212" s="34" t="n">
        <v>12.44</v>
      </c>
      <c r="AQ212" s="34" t="n">
        <v>12.5</v>
      </c>
      <c r="AR212" s="34">
        <f>IF(AP212&gt;AQ212*1.05,AP212-AQ212*1.05,IF(AP212&lt;AQ212*0.95,AQ212*0.95-AP212,0))</f>
        <v/>
      </c>
      <c r="AS212" s="34">
        <f>MAX(F212:G212,750)*0.05*AR212</f>
        <v/>
      </c>
      <c r="AT212" t="n">
        <v>12.5</v>
      </c>
      <c r="AU212" s="34">
        <f>IF(AP212&gt;AT212*1.05,AP212-AT212*1.05,IF(AP212&lt;AT212*0.95,AT212*0.95-AP212,0))</f>
        <v/>
      </c>
      <c r="AV212" s="34">
        <f>MAX(F212:G212,750)*0.05*AU212</f>
        <v/>
      </c>
      <c r="AW212" s="34">
        <f>AC212+AJ212+AQ212</f>
        <v/>
      </c>
      <c r="AX212" s="34">
        <f>AF212+AM212+AT212</f>
        <v/>
      </c>
      <c r="AY212" s="34">
        <f>AB212+AI212+AP212</f>
        <v/>
      </c>
      <c r="AZ212" s="34" t="n">
        <v>0</v>
      </c>
      <c r="BA212" s="34">
        <f>AD212+AK212+AR212</f>
        <v/>
      </c>
      <c r="BB212" s="34">
        <f>MAX(F212:G212,750)*0.05*BA212</f>
        <v/>
      </c>
      <c r="BC212" s="34">
        <f>AG212+AN212+AU212</f>
        <v/>
      </c>
      <c r="BD212" s="34">
        <f>MAX(F212:G212,750)*0.05*BC212</f>
        <v/>
      </c>
      <c r="BE212" s="34">
        <f>F212*AY212</f>
        <v/>
      </c>
      <c r="BF212" s="34">
        <f>K212-M212</f>
        <v/>
      </c>
      <c r="BG212" s="34">
        <f>P212-S212</f>
        <v/>
      </c>
      <c r="BH212" s="34">
        <f>W212-AA212</f>
        <v/>
      </c>
      <c r="BI212" s="34">
        <f>BF212+BG212+BL212-BN212</f>
        <v/>
      </c>
      <c r="BJ212" s="34">
        <f>ABS(BK212)</f>
        <v/>
      </c>
      <c r="BK212" s="34">
        <f>AY212-(J212-L212+N212-Q212)</f>
        <v/>
      </c>
      <c r="BL212" s="34">
        <f>IF(AND(BK212&gt;0,MIN($F212:$G212)&lt;150,$E212="Enerji Açığı"),-100*BK212*1.03,IF(AND(BK212&gt;0,MIN($F212:$G212)&lt;150,$E212="Enerji Fazlası"),-100*BK212*1.06,IF(AND(BK212&gt;0,MIN($F212:$G212)&gt;=150,$E212="Enerji Açığı"),BK212*MIN($F212:$G212)*0.97,IF(AND(BK212&gt;0,MIN($F212:$G212)&gt;=150,$E212="Enerji Fazlası"),BK212*MIN($F212:$G212)*0.94,IF(AND(BK212&lt;0,MAX($F212:$G212)=4500,$E212="Enerji Açığı"),4500*1.05*1.06*BK212,IF(AND(BK212&lt;0,MAX($F212:$G212)=4500,$E212="Enerji Fazlası"),4500*1.05*1.03*BK212,IF(AND(BK212&lt;0,$E212="Enerji Açığı"),MAX($F212,$G212,150)*BK212*1.06,IF(AND(BK212&lt;0,$E212="Enerji Fazlası"),MAX($F212,$G212,150)*BK212*1.03,IF(AND(BK212&lt;0,$E212="Dengede"),MAX($F212:$G212,150)*1.03*BK212,MIN($F212:$G212)*0.97*BK212)))))))))</f>
        <v/>
      </c>
      <c r="BM212" s="34">
        <f>BE212-BI212-BN212</f>
        <v/>
      </c>
      <c r="BN212" s="34">
        <f>BB212</f>
        <v/>
      </c>
      <c r="BO212" s="34">
        <f>BE212-BI212</f>
        <v/>
      </c>
      <c r="BP212" s="34">
        <f>IF(AY212=0,0,BO212/AY212)</f>
        <v/>
      </c>
      <c r="BQ212" s="34">
        <f>MAX((AY212+MAX((-J212+L212-N212+Q212),0)),(MAX((J212-L212+N212-Q212),0)))</f>
        <v/>
      </c>
      <c r="BR212" s="82">
        <f>IFERROR(ABS(BK212/BQ212),0)</f>
        <v/>
      </c>
      <c r="BS212" s="34">
        <f>IF(BR212&lt;=0.1,0,BK212/BR212*(BR212-0.1))</f>
        <v/>
      </c>
      <c r="BT212" s="34">
        <f>IF((BS212)&lt;0,MAX(F212:G212)*(BS212)*1.03,MIN(F212:G212)*(BS212)*0.97)</f>
        <v/>
      </c>
      <c r="BU212" s="34">
        <f>IF(BR212&gt;0.1,1,0)</f>
        <v/>
      </c>
      <c r="BV212" s="34">
        <f>BF212+BG212+BH212+BY212-CA212</f>
        <v/>
      </c>
      <c r="BW212" s="34">
        <f>ABS(BX212)</f>
        <v/>
      </c>
      <c r="BX212" s="34">
        <f>AY212-(J212-L212+N212-Q212+T212-X212)</f>
        <v/>
      </c>
      <c r="BY212" s="34">
        <f>IF(AND(BX212&gt;0,MIN($F212:$G212)&lt;150,$E212="Enerji Açığı"),-100*BX212*1.03,IF(AND(BX212&gt;0,MIN($F212:$G212)&lt;150,$E212="Enerji Fazlası"),-100*BX212*1.06,IF(AND(BX212&gt;0,MIN($F212:$G212)&gt;=150,$E212="Enerji Açığı"),BX212*MIN($F212:$G212)*0.97,IF(AND(BX212&gt;0,MIN($F212:$G212)&gt;=150,$E212="Enerji Fazlası"),BX212*MIN($F212:$G212)*0.94,IF(AND(BX212&lt;0,MAX($F212:$G212)=4500,$E212="Enerji Açığı"),4500*1.05*1.06*BX212,IF(AND(BX212&lt;0,MAX($F212:$G212)=4500,$E212="Enerji Fazlası"),4500*1.05*1.03*BX212,IF(AND(BX212&lt;0,$E212="Enerji Açığı"),MAX($F212,$G212,150)*BX212*1.06,IF(AND(BX212&lt;0,$E212="Enerji Fazlası"),MAX($F212,$G212,150)*BX212*1.03,IF(AND(BX212&lt;0,$E212="Dengede"),MAX($F212:$G212,150)*1.03*BX212,MIN($F212:$G212)*0.97*BX212)))))))))</f>
        <v/>
      </c>
      <c r="BZ212" s="34">
        <f>BE212-BV212-CA212</f>
        <v/>
      </c>
      <c r="CA212" s="34">
        <f>BD212</f>
        <v/>
      </c>
      <c r="CB212" s="33">
        <f>BE212-BV212</f>
        <v/>
      </c>
      <c r="CC212" s="34">
        <f>IF(AY212=0,0,CB212/AY212)</f>
        <v/>
      </c>
      <c r="CD212" s="34">
        <f>MAX((AY212+MAX((-J212+L212-N212+Q212-T212+X212),0)),(MAX((J212-L212+N212-Q212+T212-X212),0)))</f>
        <v/>
      </c>
      <c r="CE212" s="82">
        <f>IFERROR(ABS(BX212/CD212),0)</f>
        <v/>
      </c>
      <c r="CF212" s="34">
        <f>IF(CE212&lt;=0.1,0,BX212/CE212*(CE212-0.1))</f>
        <v/>
      </c>
      <c r="CG212" s="34">
        <f>IF((CF212)&lt;0,MAX(F212:G212)*(CF212)*1.03,MIN(F212:G212)*(CF212)*0.97)</f>
        <v/>
      </c>
      <c r="CH212" s="34">
        <f>IF(CE212&gt;0.1,1,0)</f>
        <v/>
      </c>
      <c r="CI212" s="34">
        <f>(F212*BX212)-BY212</f>
        <v/>
      </c>
      <c r="CJ212" s="34">
        <f>IF(AY212=0,0,CI212/AY212)</f>
        <v/>
      </c>
    </row>
    <row r="213">
      <c r="A213" s="29" t="n">
        <v>46212.75</v>
      </c>
      <c r="B213" s="29" t="inlineStr">
        <is>
          <t>18:00</t>
        </is>
      </c>
      <c r="C213" s="35">
        <f>INT(A213)</f>
        <v/>
      </c>
      <c r="D213" s="36">
        <f>MONTH(A213)</f>
        <v/>
      </c>
      <c r="E213" s="147" t="inlineStr">
        <is>
          <t>Enerji Açığı</t>
        </is>
      </c>
      <c r="F213" s="30" t="n">
        <v>3457.18</v>
      </c>
      <c r="G213" s="30" t="n">
        <v>3700</v>
      </c>
      <c r="H213" s="30" t="n">
        <v>73.95</v>
      </c>
      <c r="I213" s="30" t="n">
        <v>3464.56</v>
      </c>
      <c r="J213" s="119" t="n">
        <v>0</v>
      </c>
      <c r="K213" s="34">
        <f>F213*J213</f>
        <v/>
      </c>
      <c r="L213" s="119" t="n">
        <v>0</v>
      </c>
      <c r="M213" s="34">
        <f>L213*F213</f>
        <v/>
      </c>
      <c r="N213" s="119" t="n">
        <v>16</v>
      </c>
      <c r="O213" s="34">
        <f>F213</f>
        <v/>
      </c>
      <c r="P213" s="34">
        <f>N213*O213</f>
        <v/>
      </c>
      <c r="Q213" s="117" t="n">
        <v>0</v>
      </c>
      <c r="R213" s="34">
        <f>F213</f>
        <v/>
      </c>
      <c r="S213" s="34">
        <f>R213*Q213</f>
        <v/>
      </c>
      <c r="T213" s="34" t="n"/>
      <c r="U213" s="34">
        <f>IFERROR(W213/T213,0)</f>
        <v/>
      </c>
      <c r="V213" s="34">
        <f>IF(U213=0,0,U213-F213)</f>
        <v/>
      </c>
      <c r="W213" s="34" t="n"/>
      <c r="X213" s="34" t="n"/>
      <c r="Y213" s="34">
        <f>IFERROR(AA213/X213,0)</f>
        <v/>
      </c>
      <c r="Z213" s="34">
        <f>IF(Y213=0,0,F213-Y213)</f>
        <v/>
      </c>
      <c r="AA213" s="34" t="n"/>
      <c r="AB213" s="34" t="n">
        <v>0</v>
      </c>
      <c r="AC213" s="34" t="n">
        <v>0</v>
      </c>
      <c r="AD213" s="34">
        <f>IF(AB213&gt;AC213*1.05,AB213-AC213*1.05,IF(AB213&lt;AC213*0.95,AC213*0.95-AB213,0))</f>
        <v/>
      </c>
      <c r="AE213" s="34">
        <f>MAX(F213,G213,750)*0.05*AD213</f>
        <v/>
      </c>
      <c r="AF213" s="34" t="n">
        <v>0</v>
      </c>
      <c r="AG213" s="34">
        <f>IF(AB213&gt;AF213*1.05,AB213-AF213*1.05,IF(AB213&lt;AF213*0.95,AF213*0.95-AB213,0))</f>
        <v/>
      </c>
      <c r="AH213" s="34">
        <f>MAX(I213,J213,750)*0.05*AG213</f>
        <v/>
      </c>
      <c r="AI213" t="n">
        <v>10.99</v>
      </c>
      <c r="AJ213" t="n">
        <v>9</v>
      </c>
      <c r="AK213" s="34">
        <f>IF(AI213&gt;AJ213*1.05,AI213-AJ213*1.05,IF(AI213&lt;AJ213*0.95,AJ213*0.95-AI213,0))</f>
        <v/>
      </c>
      <c r="AL213" s="34">
        <f>MAX(F213,G213,750)*0.05*AK213</f>
        <v/>
      </c>
      <c r="AM213" s="39" t="n">
        <v>9</v>
      </c>
      <c r="AN213" s="34">
        <f>IF(AI213&gt;AM213*1.05,AI213-AM213*1.05,IF(AI213&lt;AM213*0.95,AM213*0.95-AI213,0))</f>
        <v/>
      </c>
      <c r="AO213" s="34">
        <f>MAX(F213,G213,750)*0.05*AN213</f>
        <v/>
      </c>
      <c r="AP213" s="34" t="n">
        <v>10.81</v>
      </c>
      <c r="AQ213" s="34" t="n">
        <v>12.3</v>
      </c>
      <c r="AR213" s="34">
        <f>IF(AP213&gt;AQ213*1.05,AP213-AQ213*1.05,IF(AP213&lt;AQ213*0.95,AQ213*0.95-AP213,0))</f>
        <v/>
      </c>
      <c r="AS213" s="34">
        <f>MAX(F213:G213,750)*0.05*AR213</f>
        <v/>
      </c>
      <c r="AT213" t="n">
        <v>12.3</v>
      </c>
      <c r="AU213" s="34">
        <f>IF(AP213&gt;AT213*1.05,AP213-AT213*1.05,IF(AP213&lt;AT213*0.95,AT213*0.95-AP213,0))</f>
        <v/>
      </c>
      <c r="AV213" s="34">
        <f>MAX(F213:G213,750)*0.05*AU213</f>
        <v/>
      </c>
      <c r="AW213" s="34">
        <f>AC213+AJ213+AQ213</f>
        <v/>
      </c>
      <c r="AX213" s="34">
        <f>AF213+AM213+AT213</f>
        <v/>
      </c>
      <c r="AY213" s="34">
        <f>AB213+AI213+AP213</f>
        <v/>
      </c>
      <c r="AZ213" s="34" t="n">
        <v>0</v>
      </c>
      <c r="BA213" s="34">
        <f>AD213+AK213+AR213</f>
        <v/>
      </c>
      <c r="BB213" s="34">
        <f>MAX(F213:G213,750)*0.05*BA213</f>
        <v/>
      </c>
      <c r="BC213" s="34">
        <f>AG213+AN213+AU213</f>
        <v/>
      </c>
      <c r="BD213" s="34">
        <f>MAX(F213:G213,750)*0.05*BC213</f>
        <v/>
      </c>
      <c r="BE213" s="34">
        <f>F213*AY213</f>
        <v/>
      </c>
      <c r="BF213" s="34">
        <f>K213-M213</f>
        <v/>
      </c>
      <c r="BG213" s="34">
        <f>P213-S213</f>
        <v/>
      </c>
      <c r="BH213" s="34">
        <f>W213-AA213</f>
        <v/>
      </c>
      <c r="BI213" s="34">
        <f>BF213+BG213+BL213-BN213</f>
        <v/>
      </c>
      <c r="BJ213" s="34">
        <f>ABS(BK213)</f>
        <v/>
      </c>
      <c r="BK213" s="34">
        <f>AY213-(J213-L213+N213-Q213)</f>
        <v/>
      </c>
      <c r="BL213" s="34">
        <f>IF(AND(BK213&gt;0,MIN($F213:$G213)&lt;150,$E213="Enerji Açığı"),-100*BK213*1.03,IF(AND(BK213&gt;0,MIN($F213:$G213)&lt;150,$E213="Enerji Fazlası"),-100*BK213*1.06,IF(AND(BK213&gt;0,MIN($F213:$G213)&gt;=150,$E213="Enerji Açığı"),BK213*MIN($F213:$G213)*0.97,IF(AND(BK213&gt;0,MIN($F213:$G213)&gt;=150,$E213="Enerji Fazlası"),BK213*MIN($F213:$G213)*0.94,IF(AND(BK213&lt;0,MAX($F213:$G213)=4500,$E213="Enerji Açığı"),4500*1.05*1.06*BK213,IF(AND(BK213&lt;0,MAX($F213:$G213)=4500,$E213="Enerji Fazlası"),4500*1.05*1.03*BK213,IF(AND(BK213&lt;0,$E213="Enerji Açığı"),MAX($F213,$G213,150)*BK213*1.06,IF(AND(BK213&lt;0,$E213="Enerji Fazlası"),MAX($F213,$G213,150)*BK213*1.03,IF(AND(BK213&lt;0,$E213="Dengede"),MAX($F213:$G213,150)*1.03*BK213,MIN($F213:$G213)*0.97*BK213)))))))))</f>
        <v/>
      </c>
      <c r="BM213" s="34">
        <f>BE213-BI213-BN213</f>
        <v/>
      </c>
      <c r="BN213" s="34">
        <f>BB213</f>
        <v/>
      </c>
      <c r="BO213" s="34">
        <f>BE213-BI213</f>
        <v/>
      </c>
      <c r="BP213" s="34">
        <f>IF(AY213=0,0,BO213/AY213)</f>
        <v/>
      </c>
      <c r="BQ213" s="34">
        <f>MAX((AY213+MAX((-J213+L213-N213+Q213),0)),(MAX((J213-L213+N213-Q213),0)))</f>
        <v/>
      </c>
      <c r="BR213" s="82">
        <f>IFERROR(ABS(BK213/BQ213),0)</f>
        <v/>
      </c>
      <c r="BS213" s="34">
        <f>IF(BR213&lt;=0.1,0,BK213/BR213*(BR213-0.1))</f>
        <v/>
      </c>
      <c r="BT213" s="34">
        <f>IF((BS213)&lt;0,MAX(F213:G213)*(BS213)*1.03,MIN(F213:G213)*(BS213)*0.97)</f>
        <v/>
      </c>
      <c r="BU213" s="34">
        <f>IF(BR213&gt;0.1,1,0)</f>
        <v/>
      </c>
      <c r="BV213" s="34">
        <f>BF213+BG213+BH213+BY213-CA213</f>
        <v/>
      </c>
      <c r="BW213" s="34">
        <f>ABS(BX213)</f>
        <v/>
      </c>
      <c r="BX213" s="34">
        <f>AY213-(J213-L213+N213-Q213+T213-X213)</f>
        <v/>
      </c>
      <c r="BY213" s="34">
        <f>IF(AND(BX213&gt;0,MIN($F213:$G213)&lt;150,$E213="Enerji Açığı"),-100*BX213*1.03,IF(AND(BX213&gt;0,MIN($F213:$G213)&lt;150,$E213="Enerji Fazlası"),-100*BX213*1.06,IF(AND(BX213&gt;0,MIN($F213:$G213)&gt;=150,$E213="Enerji Açığı"),BX213*MIN($F213:$G213)*0.97,IF(AND(BX213&gt;0,MIN($F213:$G213)&gt;=150,$E213="Enerji Fazlası"),BX213*MIN($F213:$G213)*0.94,IF(AND(BX213&lt;0,MAX($F213:$G213)=4500,$E213="Enerji Açığı"),4500*1.05*1.06*BX213,IF(AND(BX213&lt;0,MAX($F213:$G213)=4500,$E213="Enerji Fazlası"),4500*1.05*1.03*BX213,IF(AND(BX213&lt;0,$E213="Enerji Açığı"),MAX($F213,$G213,150)*BX213*1.06,IF(AND(BX213&lt;0,$E213="Enerji Fazlası"),MAX($F213,$G213,150)*BX213*1.03,IF(AND(BX213&lt;0,$E213="Dengede"),MAX($F213:$G213,150)*1.03*BX213,MIN($F213:$G213)*0.97*BX213)))))))))</f>
        <v/>
      </c>
      <c r="BZ213" s="34">
        <f>BE213-BV213-CA213</f>
        <v/>
      </c>
      <c r="CA213" s="34">
        <f>BD213</f>
        <v/>
      </c>
      <c r="CB213" s="33">
        <f>BE213-BV213</f>
        <v/>
      </c>
      <c r="CC213" s="34">
        <f>IF(AY213=0,0,CB213/AY213)</f>
        <v/>
      </c>
      <c r="CD213" s="34">
        <f>MAX((AY213+MAX((-J213+L213-N213+Q213-T213+X213),0)),(MAX((J213-L213+N213-Q213+T213-X213),0)))</f>
        <v/>
      </c>
      <c r="CE213" s="82">
        <f>IFERROR(ABS(BX213/CD213),0)</f>
        <v/>
      </c>
      <c r="CF213" s="34">
        <f>IF(CE213&lt;=0.1,0,BX213/CE213*(CE213-0.1))</f>
        <v/>
      </c>
      <c r="CG213" s="34">
        <f>IF((CF213)&lt;0,MAX(F213:G213)*(CF213)*1.03,MIN(F213:G213)*(CF213)*0.97)</f>
        <v/>
      </c>
      <c r="CH213" s="34">
        <f>IF(CE213&gt;0.1,1,0)</f>
        <v/>
      </c>
      <c r="CI213" s="34">
        <f>(F213*BX213)-BY213</f>
        <v/>
      </c>
      <c r="CJ213" s="34">
        <f>IF(AY213=0,0,CI213/AY213)</f>
        <v/>
      </c>
    </row>
    <row r="214">
      <c r="A214" s="29" t="n">
        <v>46212.79166666666</v>
      </c>
      <c r="B214" s="29" t="inlineStr">
        <is>
          <t>19:00</t>
        </is>
      </c>
      <c r="C214" s="35">
        <f>INT(A214)</f>
        <v/>
      </c>
      <c r="D214" s="36">
        <f>MONTH(A214)</f>
        <v/>
      </c>
      <c r="E214" s="147" t="inlineStr">
        <is>
          <t>Enerji Açığı</t>
        </is>
      </c>
      <c r="F214" s="30" t="n">
        <v>3377</v>
      </c>
      <c r="G214" s="30" t="n">
        <v>4477</v>
      </c>
      <c r="H214" s="30" t="n">
        <v>72.23</v>
      </c>
      <c r="I214" s="30" t="n">
        <v>3462.88</v>
      </c>
      <c r="J214" s="119" t="n">
        <v>0</v>
      </c>
      <c r="K214" s="34">
        <f>F214*J214</f>
        <v/>
      </c>
      <c r="L214" s="119" t="n">
        <v>0</v>
      </c>
      <c r="M214" s="34">
        <f>L214*F214</f>
        <v/>
      </c>
      <c r="N214" s="119" t="n">
        <v>16</v>
      </c>
      <c r="O214" s="34">
        <f>F214</f>
        <v/>
      </c>
      <c r="P214" s="34">
        <f>N214*O214</f>
        <v/>
      </c>
      <c r="Q214" s="117" t="n">
        <v>0</v>
      </c>
      <c r="R214" s="34">
        <f>F214</f>
        <v/>
      </c>
      <c r="S214" s="34">
        <f>R214*Q214</f>
        <v/>
      </c>
      <c r="T214" s="34" t="n"/>
      <c r="U214" s="34">
        <f>IFERROR(W214/T214,0)</f>
        <v/>
      </c>
      <c r="V214" s="34">
        <f>IF(U214=0,0,U214-F214)</f>
        <v/>
      </c>
      <c r="W214" s="34" t="n"/>
      <c r="X214" s="34" t="n"/>
      <c r="Y214" s="34">
        <f>IFERROR(AA214/X214,0)</f>
        <v/>
      </c>
      <c r="Z214" s="34">
        <f>IF(Y214=0,0,F214-Y214)</f>
        <v/>
      </c>
      <c r="AA214" s="34" t="n"/>
      <c r="AB214" s="34" t="n">
        <v>0</v>
      </c>
      <c r="AC214" s="34" t="n">
        <v>0</v>
      </c>
      <c r="AD214" s="34">
        <f>IF(AB214&gt;AC214*1.05,AB214-AC214*1.05,IF(AB214&lt;AC214*0.95,AC214*0.95-AB214,0))</f>
        <v/>
      </c>
      <c r="AE214" s="34">
        <f>MAX(F214,G214,750)*0.05*AD214</f>
        <v/>
      </c>
      <c r="AF214" s="34" t="n">
        <v>0</v>
      </c>
      <c r="AG214" s="34">
        <f>IF(AB214&gt;AF214*1.05,AB214-AF214*1.05,IF(AB214&lt;AF214*0.95,AF214*0.95-AB214,0))</f>
        <v/>
      </c>
      <c r="AH214" s="34">
        <f>MAX(I214,J214,750)*0.05*AG214</f>
        <v/>
      </c>
      <c r="AI214" t="n">
        <v>9.890000000000001</v>
      </c>
      <c r="AJ214" t="n">
        <v>9</v>
      </c>
      <c r="AK214" s="34">
        <f>IF(AI214&gt;AJ214*1.05,AI214-AJ214*1.05,IF(AI214&lt;AJ214*0.95,AJ214*0.95-AI214,0))</f>
        <v/>
      </c>
      <c r="AL214" s="34">
        <f>MAX(F214,G214,750)*0.05*AK214</f>
        <v/>
      </c>
      <c r="AM214" s="39" t="n">
        <v>9</v>
      </c>
      <c r="AN214" s="34">
        <f>IF(AI214&gt;AM214*1.05,AI214-AM214*1.05,IF(AI214&lt;AM214*0.95,AM214*0.95-AI214,0))</f>
        <v/>
      </c>
      <c r="AO214" s="34">
        <f>MAX(F214,G214,750)*0.05*AN214</f>
        <v/>
      </c>
      <c r="AP214" s="34" t="n">
        <v>11.66</v>
      </c>
      <c r="AQ214" s="34" t="n">
        <v>12.2</v>
      </c>
      <c r="AR214" s="34">
        <f>IF(AP214&gt;AQ214*1.05,AP214-AQ214*1.05,IF(AP214&lt;AQ214*0.95,AQ214*0.95-AP214,0))</f>
        <v/>
      </c>
      <c r="AS214" s="34">
        <f>MAX(F214:G214,750)*0.05*AR214</f>
        <v/>
      </c>
      <c r="AT214" t="n">
        <v>12.2</v>
      </c>
      <c r="AU214" s="34">
        <f>IF(AP214&gt;AT214*1.05,AP214-AT214*1.05,IF(AP214&lt;AT214*0.95,AT214*0.95-AP214,0))</f>
        <v/>
      </c>
      <c r="AV214" s="34">
        <f>MAX(F214:G214,750)*0.05*AU214</f>
        <v/>
      </c>
      <c r="AW214" s="34">
        <f>AC214+AJ214+AQ214</f>
        <v/>
      </c>
      <c r="AX214" s="34">
        <f>AF214+AM214+AT214</f>
        <v/>
      </c>
      <c r="AY214" s="34">
        <f>AB214+AI214+AP214</f>
        <v/>
      </c>
      <c r="AZ214" s="34" t="n">
        <v>0</v>
      </c>
      <c r="BA214" s="34">
        <f>AD214+AK214+AR214</f>
        <v/>
      </c>
      <c r="BB214" s="34">
        <f>MAX(F214:G214,750)*0.05*BA214</f>
        <v/>
      </c>
      <c r="BC214" s="34">
        <f>AG214+AN214+AU214</f>
        <v/>
      </c>
      <c r="BD214" s="34">
        <f>MAX(F214:G214,750)*0.05*BC214</f>
        <v/>
      </c>
      <c r="BE214" s="34">
        <f>F214*AY214</f>
        <v/>
      </c>
      <c r="BF214" s="34">
        <f>K214-M214</f>
        <v/>
      </c>
      <c r="BG214" s="34">
        <f>P214-S214</f>
        <v/>
      </c>
      <c r="BH214" s="34">
        <f>W214-AA214</f>
        <v/>
      </c>
      <c r="BI214" s="34">
        <f>BF214+BG214+BL214-BN214</f>
        <v/>
      </c>
      <c r="BJ214" s="34">
        <f>ABS(BK214)</f>
        <v/>
      </c>
      <c r="BK214" s="34">
        <f>AY214-(J214-L214+N214-Q214)</f>
        <v/>
      </c>
      <c r="BL214" s="34">
        <f>IF(AND(BK214&gt;0,MIN($F214:$G214)&lt;150,$E214="Enerji Açığı"),-100*BK214*1.03,IF(AND(BK214&gt;0,MIN($F214:$G214)&lt;150,$E214="Enerji Fazlası"),-100*BK214*1.06,IF(AND(BK214&gt;0,MIN($F214:$G214)&gt;=150,$E214="Enerji Açığı"),BK214*MIN($F214:$G214)*0.97,IF(AND(BK214&gt;0,MIN($F214:$G214)&gt;=150,$E214="Enerji Fazlası"),BK214*MIN($F214:$G214)*0.94,IF(AND(BK214&lt;0,MAX($F214:$G214)=4500,$E214="Enerji Açığı"),4500*1.05*1.06*BK214,IF(AND(BK214&lt;0,MAX($F214:$G214)=4500,$E214="Enerji Fazlası"),4500*1.05*1.03*BK214,IF(AND(BK214&lt;0,$E214="Enerji Açığı"),MAX($F214,$G214,150)*BK214*1.06,IF(AND(BK214&lt;0,$E214="Enerji Fazlası"),MAX($F214,$G214,150)*BK214*1.03,IF(AND(BK214&lt;0,$E214="Dengede"),MAX($F214:$G214,150)*1.03*BK214,MIN($F214:$G214)*0.97*BK214)))))))))</f>
        <v/>
      </c>
      <c r="BM214" s="34">
        <f>BE214-BI214-BN214</f>
        <v/>
      </c>
      <c r="BN214" s="34">
        <f>BB214</f>
        <v/>
      </c>
      <c r="BO214" s="34">
        <f>BE214-BI214</f>
        <v/>
      </c>
      <c r="BP214" s="34">
        <f>IF(AY214=0,0,BO214/AY214)</f>
        <v/>
      </c>
      <c r="BQ214" s="34">
        <f>MAX((AY214+MAX((-J214+L214-N214+Q214),0)),(MAX((J214-L214+N214-Q214),0)))</f>
        <v/>
      </c>
      <c r="BR214" s="82">
        <f>IFERROR(ABS(BK214/BQ214),0)</f>
        <v/>
      </c>
      <c r="BS214" s="34">
        <f>IF(BR214&lt;=0.1,0,BK214/BR214*(BR214-0.1))</f>
        <v/>
      </c>
      <c r="BT214" s="34">
        <f>IF((BS214)&lt;0,MAX(F214:G214)*(BS214)*1.03,MIN(F214:G214)*(BS214)*0.97)</f>
        <v/>
      </c>
      <c r="BU214" s="34">
        <f>IF(BR214&gt;0.1,1,0)</f>
        <v/>
      </c>
      <c r="BV214" s="34">
        <f>BF214+BG214+BH214+BY214-CA214</f>
        <v/>
      </c>
      <c r="BW214" s="34">
        <f>ABS(BX214)</f>
        <v/>
      </c>
      <c r="BX214" s="34">
        <f>AY214-(J214-L214+N214-Q214+T214-X214)</f>
        <v/>
      </c>
      <c r="BY214" s="34">
        <f>IF(AND(BX214&gt;0,MIN($F214:$G214)&lt;150,$E214="Enerji Açığı"),-100*BX214*1.03,IF(AND(BX214&gt;0,MIN($F214:$G214)&lt;150,$E214="Enerji Fazlası"),-100*BX214*1.06,IF(AND(BX214&gt;0,MIN($F214:$G214)&gt;=150,$E214="Enerji Açığı"),BX214*MIN($F214:$G214)*0.97,IF(AND(BX214&gt;0,MIN($F214:$G214)&gt;=150,$E214="Enerji Fazlası"),BX214*MIN($F214:$G214)*0.94,IF(AND(BX214&lt;0,MAX($F214:$G214)=4500,$E214="Enerji Açığı"),4500*1.05*1.06*BX214,IF(AND(BX214&lt;0,MAX($F214:$G214)=4500,$E214="Enerji Fazlası"),4500*1.05*1.03*BX214,IF(AND(BX214&lt;0,$E214="Enerji Açığı"),MAX($F214,$G214,150)*BX214*1.06,IF(AND(BX214&lt;0,$E214="Enerji Fazlası"),MAX($F214,$G214,150)*BX214*1.03,IF(AND(BX214&lt;0,$E214="Dengede"),MAX($F214:$G214,150)*1.03*BX214,MIN($F214:$G214)*0.97*BX214)))))))))</f>
        <v/>
      </c>
      <c r="BZ214" s="34">
        <f>BE214-BV214-CA214</f>
        <v/>
      </c>
      <c r="CA214" s="34">
        <f>BD214</f>
        <v/>
      </c>
      <c r="CB214" s="33">
        <f>BE214-BV214</f>
        <v/>
      </c>
      <c r="CC214" s="34">
        <f>IF(AY214=0,0,CB214/AY214)</f>
        <v/>
      </c>
      <c r="CD214" s="34">
        <f>MAX((AY214+MAX((-J214+L214-N214+Q214-T214+X214),0)),(MAX((J214-L214+N214-Q214+T214-X214),0)))</f>
        <v/>
      </c>
      <c r="CE214" s="82">
        <f>IFERROR(ABS(BX214/CD214),0)</f>
        <v/>
      </c>
      <c r="CF214" s="34">
        <f>IF(CE214&lt;=0.1,0,BX214/CE214*(CE214-0.1))</f>
        <v/>
      </c>
      <c r="CG214" s="34">
        <f>IF((CF214)&lt;0,MAX(F214:G214)*(CF214)*1.03,MIN(F214:G214)*(CF214)*0.97)</f>
        <v/>
      </c>
      <c r="CH214" s="34">
        <f>IF(CE214&gt;0.1,1,0)</f>
        <v/>
      </c>
      <c r="CI214" s="34">
        <f>(F214*BX214)-BY214</f>
        <v/>
      </c>
      <c r="CJ214" s="34">
        <f>IF(AY214=0,0,CI214/AY214)</f>
        <v/>
      </c>
    </row>
    <row r="215">
      <c r="A215" s="29" t="n">
        <v>46212.83333333334</v>
      </c>
      <c r="B215" s="29" t="inlineStr">
        <is>
          <t>20:00</t>
        </is>
      </c>
      <c r="C215" s="35">
        <f>INT(A215)</f>
        <v/>
      </c>
      <c r="D215" s="36">
        <f>MONTH(A215)</f>
        <v/>
      </c>
      <c r="E215" s="147" t="inlineStr">
        <is>
          <t>Enerji Açığı</t>
        </is>
      </c>
      <c r="F215" s="30" t="n">
        <v>4300</v>
      </c>
      <c r="G215" s="30" t="n">
        <v>4497.6</v>
      </c>
      <c r="H215" s="30" t="n">
        <v>91.97</v>
      </c>
      <c r="I215" s="30" t="n">
        <v>4469.94</v>
      </c>
      <c r="J215" s="119" t="n">
        <v>0</v>
      </c>
      <c r="K215" s="34">
        <f>F215*J215</f>
        <v/>
      </c>
      <c r="L215" s="119" t="n">
        <v>0</v>
      </c>
      <c r="M215" s="34">
        <f>L215*F215</f>
        <v/>
      </c>
      <c r="N215" s="119" t="n">
        <v>16</v>
      </c>
      <c r="O215" s="34">
        <f>F215</f>
        <v/>
      </c>
      <c r="P215" s="34">
        <f>N215*O215</f>
        <v/>
      </c>
      <c r="Q215" s="117" t="n">
        <v>0</v>
      </c>
      <c r="R215" s="34">
        <f>F215</f>
        <v/>
      </c>
      <c r="S215" s="34">
        <f>R215*Q215</f>
        <v/>
      </c>
      <c r="T215" s="34" t="n"/>
      <c r="U215" s="34">
        <f>IFERROR(W215/T215,0)</f>
        <v/>
      </c>
      <c r="V215" s="34">
        <f>IF(U215=0,0,U215-F215)</f>
        <v/>
      </c>
      <c r="W215" s="34" t="n"/>
      <c r="X215" s="34" t="n"/>
      <c r="Y215" s="34">
        <f>IFERROR(AA215/X215,0)</f>
        <v/>
      </c>
      <c r="Z215" s="34">
        <f>IF(Y215=0,0,F215-Y215)</f>
        <v/>
      </c>
      <c r="AA215" s="34" t="n"/>
      <c r="AB215" s="34" t="n">
        <v>0</v>
      </c>
      <c r="AC215" s="34" t="n">
        <v>0</v>
      </c>
      <c r="AD215" s="34">
        <f>IF(AB215&gt;AC215*1.05,AB215-AC215*1.05,IF(AB215&lt;AC215*0.95,AC215*0.95-AB215,0))</f>
        <v/>
      </c>
      <c r="AE215" s="34">
        <f>MAX(F215,G215,750)*0.05*AD215</f>
        <v/>
      </c>
      <c r="AF215" s="34" t="n">
        <v>0</v>
      </c>
      <c r="AG215" s="34">
        <f>IF(AB215&gt;AF215*1.05,AB215-AF215*1.05,IF(AB215&lt;AF215*0.95,AF215*0.95-AB215,0))</f>
        <v/>
      </c>
      <c r="AH215" s="34">
        <f>MAX(I215,J215,750)*0.05*AG215</f>
        <v/>
      </c>
      <c r="AI215" t="n">
        <v>10.38</v>
      </c>
      <c r="AJ215" t="n">
        <v>11</v>
      </c>
      <c r="AK215" s="34">
        <f>IF(AI215&gt;AJ215*1.05,AI215-AJ215*1.05,IF(AI215&lt;AJ215*0.95,AJ215*0.95-AI215,0))</f>
        <v/>
      </c>
      <c r="AL215" s="34">
        <f>MAX(F215,G215,750)*0.05*AK215</f>
        <v/>
      </c>
      <c r="AM215" s="39" t="n">
        <v>9</v>
      </c>
      <c r="AN215" s="34">
        <f>IF(AI215&gt;AM215*1.05,AI215-AM215*1.05,IF(AI215&lt;AM215*0.95,AM215*0.95-AI215,0))</f>
        <v/>
      </c>
      <c r="AO215" s="34">
        <f>MAX(F215,G215,750)*0.05*AN215</f>
        <v/>
      </c>
      <c r="AP215" s="34" t="n">
        <v>11.09</v>
      </c>
      <c r="AQ215" s="34" t="n">
        <v>12</v>
      </c>
      <c r="AR215" s="34">
        <f>IF(AP215&gt;AQ215*1.05,AP215-AQ215*1.05,IF(AP215&lt;AQ215*0.95,AQ215*0.95-AP215,0))</f>
        <v/>
      </c>
      <c r="AS215" s="34">
        <f>MAX(F215:G215,750)*0.05*AR215</f>
        <v/>
      </c>
      <c r="AT215" t="n">
        <v>12</v>
      </c>
      <c r="AU215" s="34">
        <f>IF(AP215&gt;AT215*1.05,AP215-AT215*1.05,IF(AP215&lt;AT215*0.95,AT215*0.95-AP215,0))</f>
        <v/>
      </c>
      <c r="AV215" s="34">
        <f>MAX(F215:G215,750)*0.05*AU215</f>
        <v/>
      </c>
      <c r="AW215" s="34">
        <f>AC215+AJ215+AQ215</f>
        <v/>
      </c>
      <c r="AX215" s="34">
        <f>AF215+AM215+AT215</f>
        <v/>
      </c>
      <c r="AY215" s="34">
        <f>AB215+AI215+AP215</f>
        <v/>
      </c>
      <c r="AZ215" s="34" t="n">
        <v>0</v>
      </c>
      <c r="BA215" s="34">
        <f>AD215+AK215+AR215</f>
        <v/>
      </c>
      <c r="BB215" s="34">
        <f>MAX(F215:G215,750)*0.05*BA215</f>
        <v/>
      </c>
      <c r="BC215" s="34">
        <f>AG215+AN215+AU215</f>
        <v/>
      </c>
      <c r="BD215" s="34">
        <f>MAX(F215:G215,750)*0.05*BC215</f>
        <v/>
      </c>
      <c r="BE215" s="34">
        <f>F215*AY215</f>
        <v/>
      </c>
      <c r="BF215" s="34">
        <f>K215-M215</f>
        <v/>
      </c>
      <c r="BG215" s="34">
        <f>P215-S215</f>
        <v/>
      </c>
      <c r="BH215" s="34">
        <f>W215-AA215</f>
        <v/>
      </c>
      <c r="BI215" s="34">
        <f>BF215+BG215+BL215-BN215</f>
        <v/>
      </c>
      <c r="BJ215" s="34">
        <f>ABS(BK215)</f>
        <v/>
      </c>
      <c r="BK215" s="34">
        <f>AY215-(J215-L215+N215-Q215)</f>
        <v/>
      </c>
      <c r="BL215" s="34">
        <f>IF(AND(BK215&gt;0,MIN($F215:$G215)&lt;150,$E215="Enerji Açığı"),-100*BK215*1.03,IF(AND(BK215&gt;0,MIN($F215:$G215)&lt;150,$E215="Enerji Fazlası"),-100*BK215*1.06,IF(AND(BK215&gt;0,MIN($F215:$G215)&gt;=150,$E215="Enerji Açığı"),BK215*MIN($F215:$G215)*0.97,IF(AND(BK215&gt;0,MIN($F215:$G215)&gt;=150,$E215="Enerji Fazlası"),BK215*MIN($F215:$G215)*0.94,IF(AND(BK215&lt;0,MAX($F215:$G215)=4500,$E215="Enerji Açığı"),4500*1.05*1.06*BK215,IF(AND(BK215&lt;0,MAX($F215:$G215)=4500,$E215="Enerji Fazlası"),4500*1.05*1.03*BK215,IF(AND(BK215&lt;0,$E215="Enerji Açığı"),MAX($F215,$G215,150)*BK215*1.06,IF(AND(BK215&lt;0,$E215="Enerji Fazlası"),MAX($F215,$G215,150)*BK215*1.03,IF(AND(BK215&lt;0,$E215="Dengede"),MAX($F215:$G215,150)*1.03*BK215,MIN($F215:$G215)*0.97*BK215)))))))))</f>
        <v/>
      </c>
      <c r="BM215" s="34">
        <f>BE215-BI215-BN215</f>
        <v/>
      </c>
      <c r="BN215" s="34">
        <f>BB215</f>
        <v/>
      </c>
      <c r="BO215" s="34">
        <f>BE215-BI215</f>
        <v/>
      </c>
      <c r="BP215" s="34">
        <f>IF(AY215=0,0,BO215/AY215)</f>
        <v/>
      </c>
      <c r="BQ215" s="34">
        <f>MAX((AY215+MAX((-J215+L215-N215+Q215),0)),(MAX((J215-L215+N215-Q215),0)))</f>
        <v/>
      </c>
      <c r="BR215" s="82">
        <f>IFERROR(ABS(BK215/BQ215),0)</f>
        <v/>
      </c>
      <c r="BS215" s="34">
        <f>IF(BR215&lt;=0.1,0,BK215/BR215*(BR215-0.1))</f>
        <v/>
      </c>
      <c r="BT215" s="34">
        <f>IF((BS215)&lt;0,MAX(F215:G215)*(BS215)*1.03,MIN(F215:G215)*(BS215)*0.97)</f>
        <v/>
      </c>
      <c r="BU215" s="34">
        <f>IF(BR215&gt;0.1,1,0)</f>
        <v/>
      </c>
      <c r="BV215" s="34">
        <f>BF215+BG215+BH215+BY215-CA215</f>
        <v/>
      </c>
      <c r="BW215" s="34">
        <f>ABS(BX215)</f>
        <v/>
      </c>
      <c r="BX215" s="34">
        <f>AY215-(J215-L215+N215-Q215+T215-X215)</f>
        <v/>
      </c>
      <c r="BY215" s="34">
        <f>IF(AND(BX215&gt;0,MIN($F215:$G215)&lt;150,$E215="Enerji Açığı"),-100*BX215*1.03,IF(AND(BX215&gt;0,MIN($F215:$G215)&lt;150,$E215="Enerji Fazlası"),-100*BX215*1.06,IF(AND(BX215&gt;0,MIN($F215:$G215)&gt;=150,$E215="Enerji Açığı"),BX215*MIN($F215:$G215)*0.97,IF(AND(BX215&gt;0,MIN($F215:$G215)&gt;=150,$E215="Enerji Fazlası"),BX215*MIN($F215:$G215)*0.94,IF(AND(BX215&lt;0,MAX($F215:$G215)=4500,$E215="Enerji Açığı"),4500*1.05*1.06*BX215,IF(AND(BX215&lt;0,MAX($F215:$G215)=4500,$E215="Enerji Fazlası"),4500*1.05*1.03*BX215,IF(AND(BX215&lt;0,$E215="Enerji Açığı"),MAX($F215,$G215,150)*BX215*1.06,IF(AND(BX215&lt;0,$E215="Enerji Fazlası"),MAX($F215,$G215,150)*BX215*1.03,IF(AND(BX215&lt;0,$E215="Dengede"),MAX($F215:$G215,150)*1.03*BX215,MIN($F215:$G215)*0.97*BX215)))))))))</f>
        <v/>
      </c>
      <c r="BZ215" s="34">
        <f>BE215-BV215-CA215</f>
        <v/>
      </c>
      <c r="CA215" s="34">
        <f>BD215</f>
        <v/>
      </c>
      <c r="CB215" s="33">
        <f>BE215-BV215</f>
        <v/>
      </c>
      <c r="CC215" s="34">
        <f>IF(AY215=0,0,CB215/AY215)</f>
        <v/>
      </c>
      <c r="CD215" s="34">
        <f>MAX((AY215+MAX((-J215+L215-N215+Q215-T215+X215),0)),(MAX((J215-L215+N215-Q215+T215-X215),0)))</f>
        <v/>
      </c>
      <c r="CE215" s="82">
        <f>IFERROR(ABS(BX215/CD215),0)</f>
        <v/>
      </c>
      <c r="CF215" s="34">
        <f>IF(CE215&lt;=0.1,0,BX215/CE215*(CE215-0.1))</f>
        <v/>
      </c>
      <c r="CG215" s="34">
        <f>IF((CF215)&lt;0,MAX(F215:G215)*(CF215)*1.03,MIN(F215:G215)*(CF215)*0.97)</f>
        <v/>
      </c>
      <c r="CH215" s="34">
        <f>IF(CE215&gt;0.1,1,0)</f>
        <v/>
      </c>
      <c r="CI215" s="34">
        <f>(F215*BX215)-BY215</f>
        <v/>
      </c>
      <c r="CJ215" s="34">
        <f>IF(AY215=0,0,CI215/AY215)</f>
        <v/>
      </c>
    </row>
    <row r="216">
      <c r="A216" s="29" t="n">
        <v>46212.875</v>
      </c>
      <c r="B216" s="29" t="inlineStr">
        <is>
          <t>21:00</t>
        </is>
      </c>
      <c r="C216" s="35">
        <f>INT(A216)</f>
        <v/>
      </c>
      <c r="D216" s="36">
        <f>MONTH(A216)</f>
        <v/>
      </c>
      <c r="E216" s="147" t="inlineStr">
        <is>
          <t>Enerji Açığı</t>
        </is>
      </c>
      <c r="F216" s="30" t="n">
        <v>4300.01</v>
      </c>
      <c r="G216" s="30" t="n">
        <v>4498</v>
      </c>
      <c r="H216" s="30" t="n">
        <v>91.97</v>
      </c>
      <c r="I216" s="30" t="n">
        <v>4486.02</v>
      </c>
      <c r="J216" s="119" t="n">
        <v>0</v>
      </c>
      <c r="K216" s="34">
        <f>F216*J216</f>
        <v/>
      </c>
      <c r="L216" s="119" t="n">
        <v>0</v>
      </c>
      <c r="M216" s="34">
        <f>L216*F216</f>
        <v/>
      </c>
      <c r="N216" s="119" t="n">
        <v>16</v>
      </c>
      <c r="O216" s="34">
        <f>F216</f>
        <v/>
      </c>
      <c r="P216" s="34">
        <f>N216*O216</f>
        <v/>
      </c>
      <c r="Q216" s="117" t="n">
        <v>0</v>
      </c>
      <c r="R216" s="34">
        <f>F216</f>
        <v/>
      </c>
      <c r="S216" s="34">
        <f>R216*Q216</f>
        <v/>
      </c>
      <c r="T216" s="34" t="n"/>
      <c r="U216" s="34">
        <f>IFERROR(W216/T216,0)</f>
        <v/>
      </c>
      <c r="V216" s="34">
        <f>IF(U216=0,0,U216-F216)</f>
        <v/>
      </c>
      <c r="W216" s="34" t="n"/>
      <c r="X216" s="34" t="n"/>
      <c r="Y216" s="34">
        <f>IFERROR(AA216/X216,0)</f>
        <v/>
      </c>
      <c r="Z216" s="34">
        <f>IF(Y216=0,0,F216-Y216)</f>
        <v/>
      </c>
      <c r="AA216" s="34" t="n"/>
      <c r="AB216" s="34" t="n">
        <v>0</v>
      </c>
      <c r="AC216" s="34" t="n">
        <v>0</v>
      </c>
      <c r="AD216" s="34">
        <f>IF(AB216&gt;AC216*1.05,AB216-AC216*1.05,IF(AB216&lt;AC216*0.95,AC216*0.95-AB216,0))</f>
        <v/>
      </c>
      <c r="AE216" s="34">
        <f>MAX(F216,G216,750)*0.05*AD216</f>
        <v/>
      </c>
      <c r="AF216" s="34" t="n">
        <v>0</v>
      </c>
      <c r="AG216" s="34">
        <f>IF(AB216&gt;AF216*1.05,AB216-AF216*1.05,IF(AB216&lt;AF216*0.95,AF216*0.95-AB216,0))</f>
        <v/>
      </c>
      <c r="AH216" s="34">
        <f>MAX(I216,J216,750)*0.05*AG216</f>
        <v/>
      </c>
      <c r="AI216" t="n">
        <v>9.27</v>
      </c>
      <c r="AJ216" t="n">
        <v>11</v>
      </c>
      <c r="AK216" s="34">
        <f>IF(AI216&gt;AJ216*1.05,AI216-AJ216*1.05,IF(AI216&lt;AJ216*0.95,AJ216*0.95-AI216,0))</f>
        <v/>
      </c>
      <c r="AL216" s="34">
        <f>MAX(F216,G216,750)*0.05*AK216</f>
        <v/>
      </c>
      <c r="AM216" s="39" t="n">
        <v>9</v>
      </c>
      <c r="AN216" s="34">
        <f>IF(AI216&gt;AM216*1.05,AI216-AM216*1.05,IF(AI216&lt;AM216*0.95,AM216*0.95-AI216,0))</f>
        <v/>
      </c>
      <c r="AO216" s="34">
        <f>MAX(F216,G216,750)*0.05*AN216</f>
        <v/>
      </c>
      <c r="AP216" s="34" t="n">
        <v>11.93</v>
      </c>
      <c r="AQ216" s="34" t="n">
        <v>12</v>
      </c>
      <c r="AR216" s="34">
        <f>IF(AP216&gt;AQ216*1.05,AP216-AQ216*1.05,IF(AP216&lt;AQ216*0.95,AQ216*0.95-AP216,0))</f>
        <v/>
      </c>
      <c r="AS216" s="34">
        <f>MAX(F216:G216,750)*0.05*AR216</f>
        <v/>
      </c>
      <c r="AT216" t="n">
        <v>12</v>
      </c>
      <c r="AU216" s="34">
        <f>IF(AP216&gt;AT216*1.05,AP216-AT216*1.05,IF(AP216&lt;AT216*0.95,AT216*0.95-AP216,0))</f>
        <v/>
      </c>
      <c r="AV216" s="34">
        <f>MAX(F216:G216,750)*0.05*AU216</f>
        <v/>
      </c>
      <c r="AW216" s="34">
        <f>AC216+AJ216+AQ216</f>
        <v/>
      </c>
      <c r="AX216" s="34">
        <f>AF216+AM216+AT216</f>
        <v/>
      </c>
      <c r="AY216" s="34">
        <f>AB216+AI216+AP216</f>
        <v/>
      </c>
      <c r="AZ216" s="34" t="n">
        <v>0</v>
      </c>
      <c r="BA216" s="34">
        <f>AD216+AK216+AR216</f>
        <v/>
      </c>
      <c r="BB216" s="34">
        <f>MAX(F216:G216,750)*0.05*BA216</f>
        <v/>
      </c>
      <c r="BC216" s="34">
        <f>AG216+AN216+AU216</f>
        <v/>
      </c>
      <c r="BD216" s="34">
        <f>MAX(F216:G216,750)*0.05*BC216</f>
        <v/>
      </c>
      <c r="BE216" s="34">
        <f>F216*AY216</f>
        <v/>
      </c>
      <c r="BF216" s="34">
        <f>K216-M216</f>
        <v/>
      </c>
      <c r="BG216" s="34">
        <f>P216-S216</f>
        <v/>
      </c>
      <c r="BH216" s="34">
        <f>W216-AA216</f>
        <v/>
      </c>
      <c r="BI216" s="34">
        <f>BF216+BG216+BL216-BN216</f>
        <v/>
      </c>
      <c r="BJ216" s="34">
        <f>ABS(BK216)</f>
        <v/>
      </c>
      <c r="BK216" s="34">
        <f>AY216-(J216-L216+N216-Q216)</f>
        <v/>
      </c>
      <c r="BL216" s="34">
        <f>IF(AND(BK216&gt;0,MIN($F216:$G216)&lt;150,$E216="Enerji Açığı"),-100*BK216*1.03,IF(AND(BK216&gt;0,MIN($F216:$G216)&lt;150,$E216="Enerji Fazlası"),-100*BK216*1.06,IF(AND(BK216&gt;0,MIN($F216:$G216)&gt;=150,$E216="Enerji Açığı"),BK216*MIN($F216:$G216)*0.97,IF(AND(BK216&gt;0,MIN($F216:$G216)&gt;=150,$E216="Enerji Fazlası"),BK216*MIN($F216:$G216)*0.94,IF(AND(BK216&lt;0,MAX($F216:$G216)=4500,$E216="Enerji Açığı"),4500*1.05*1.06*BK216,IF(AND(BK216&lt;0,MAX($F216:$G216)=4500,$E216="Enerji Fazlası"),4500*1.05*1.03*BK216,IF(AND(BK216&lt;0,$E216="Enerji Açığı"),MAX($F216,$G216,150)*BK216*1.06,IF(AND(BK216&lt;0,$E216="Enerji Fazlası"),MAX($F216,$G216,150)*BK216*1.03,IF(AND(BK216&lt;0,$E216="Dengede"),MAX($F216:$G216,150)*1.03*BK216,MIN($F216:$G216)*0.97*BK216)))))))))</f>
        <v/>
      </c>
      <c r="BM216" s="34">
        <f>BE216-BI216-BN216</f>
        <v/>
      </c>
      <c r="BN216" s="34">
        <f>BB216</f>
        <v/>
      </c>
      <c r="BO216" s="34">
        <f>BE216-BI216</f>
        <v/>
      </c>
      <c r="BP216" s="34">
        <f>IF(AY216=0,0,BO216/AY216)</f>
        <v/>
      </c>
      <c r="BQ216" s="34">
        <f>MAX((AY216+MAX((-J216+L216-N216+Q216),0)),(MAX((J216-L216+N216-Q216),0)))</f>
        <v/>
      </c>
      <c r="BR216" s="82">
        <f>IFERROR(ABS(BK216/BQ216),0)</f>
        <v/>
      </c>
      <c r="BS216" s="34">
        <f>IF(BR216&lt;=0.1,0,BK216/BR216*(BR216-0.1))</f>
        <v/>
      </c>
      <c r="BT216" s="34">
        <f>IF((BS216)&lt;0,MAX(F216:G216)*(BS216)*1.03,MIN(F216:G216)*(BS216)*0.97)</f>
        <v/>
      </c>
      <c r="BU216" s="34">
        <f>IF(BR216&gt;0.1,1,0)</f>
        <v/>
      </c>
      <c r="BV216" s="34">
        <f>BF216+BG216+BH216+BY216-CA216</f>
        <v/>
      </c>
      <c r="BW216" s="34">
        <f>ABS(BX216)</f>
        <v/>
      </c>
      <c r="BX216" s="34">
        <f>AY216-(J216-L216+N216-Q216+T216-X216)</f>
        <v/>
      </c>
      <c r="BY216" s="34">
        <f>IF(AND(BX216&gt;0,MIN($F216:$G216)&lt;150,$E216="Enerji Açığı"),-100*BX216*1.03,IF(AND(BX216&gt;0,MIN($F216:$G216)&lt;150,$E216="Enerji Fazlası"),-100*BX216*1.06,IF(AND(BX216&gt;0,MIN($F216:$G216)&gt;=150,$E216="Enerji Açığı"),BX216*MIN($F216:$G216)*0.97,IF(AND(BX216&gt;0,MIN($F216:$G216)&gt;=150,$E216="Enerji Fazlası"),BX216*MIN($F216:$G216)*0.94,IF(AND(BX216&lt;0,MAX($F216:$G216)=4500,$E216="Enerji Açığı"),4500*1.05*1.06*BX216,IF(AND(BX216&lt;0,MAX($F216:$G216)=4500,$E216="Enerji Fazlası"),4500*1.05*1.03*BX216,IF(AND(BX216&lt;0,$E216="Enerji Açığı"),MAX($F216,$G216,150)*BX216*1.06,IF(AND(BX216&lt;0,$E216="Enerji Fazlası"),MAX($F216,$G216,150)*BX216*1.03,IF(AND(BX216&lt;0,$E216="Dengede"),MAX($F216:$G216,150)*1.03*BX216,MIN($F216:$G216)*0.97*BX216)))))))))</f>
        <v/>
      </c>
      <c r="BZ216" s="34">
        <f>BE216-BV216-CA216</f>
        <v/>
      </c>
      <c r="CA216" s="34">
        <f>BD216</f>
        <v/>
      </c>
      <c r="CB216" s="33">
        <f>BE216-BV216</f>
        <v/>
      </c>
      <c r="CC216" s="34">
        <f>IF(AY216=0,0,CB216/AY216)</f>
        <v/>
      </c>
      <c r="CD216" s="34">
        <f>MAX((AY216+MAX((-J216+L216-N216+Q216-T216+X216),0)),(MAX((J216-L216+N216-Q216+T216-X216),0)))</f>
        <v/>
      </c>
      <c r="CE216" s="82">
        <f>IFERROR(ABS(BX216/CD216),0)</f>
        <v/>
      </c>
      <c r="CF216" s="34">
        <f>IF(CE216&lt;=0.1,0,BX216/CE216*(CE216-0.1))</f>
        <v/>
      </c>
      <c r="CG216" s="34">
        <f>IF((CF216)&lt;0,MAX(F216:G216)*(CF216)*1.03,MIN(F216:G216)*(CF216)*0.97)</f>
        <v/>
      </c>
      <c r="CH216" s="34">
        <f>IF(CE216&gt;0.1,1,0)</f>
        <v/>
      </c>
      <c r="CI216" s="34">
        <f>(F216*BX216)-BY216</f>
        <v/>
      </c>
      <c r="CJ216" s="34">
        <f>IF(AY216=0,0,CI216/AY216)</f>
        <v/>
      </c>
    </row>
    <row r="217">
      <c r="A217" s="29" t="n">
        <v>46212.91666666666</v>
      </c>
      <c r="B217" s="29" t="inlineStr">
        <is>
          <t>22:00</t>
        </is>
      </c>
      <c r="C217" s="35">
        <f>INT(A217)</f>
        <v/>
      </c>
      <c r="D217" s="36">
        <f>MONTH(A217)</f>
        <v/>
      </c>
      <c r="E217" s="147" t="inlineStr">
        <is>
          <t>Enerji Açığı</t>
        </is>
      </c>
      <c r="F217" s="30" t="n">
        <v>3691.99</v>
      </c>
      <c r="G217" s="30" t="n">
        <v>4421</v>
      </c>
      <c r="H217" s="30" t="n">
        <v>78.97</v>
      </c>
      <c r="I217" s="30" t="n">
        <v>3665.22</v>
      </c>
      <c r="J217" s="119" t="n">
        <v>0</v>
      </c>
      <c r="K217" s="34">
        <f>F217*J217</f>
        <v/>
      </c>
      <c r="L217" s="119" t="n">
        <v>0</v>
      </c>
      <c r="M217" s="34">
        <f>L217*F217</f>
        <v/>
      </c>
      <c r="N217" s="119" t="n">
        <v>16</v>
      </c>
      <c r="O217" s="34">
        <f>F217</f>
        <v/>
      </c>
      <c r="P217" s="34">
        <f>N217*O217</f>
        <v/>
      </c>
      <c r="Q217" s="117" t="n">
        <v>0</v>
      </c>
      <c r="R217" s="34">
        <f>F217</f>
        <v/>
      </c>
      <c r="S217" s="34">
        <f>R217*Q217</f>
        <v/>
      </c>
      <c r="T217" s="34" t="n"/>
      <c r="U217" s="34">
        <f>IFERROR(W217/T217,0)</f>
        <v/>
      </c>
      <c r="V217" s="34">
        <f>IF(U217=0,0,U217-F217)</f>
        <v/>
      </c>
      <c r="W217" s="34" t="n"/>
      <c r="X217" s="34" t="n"/>
      <c r="Y217" s="34">
        <f>IFERROR(AA217/X217,0)</f>
        <v/>
      </c>
      <c r="Z217" s="34">
        <f>IF(Y217=0,0,F217-Y217)</f>
        <v/>
      </c>
      <c r="AA217" s="34" t="n"/>
      <c r="AB217" s="34" t="n">
        <v>0</v>
      </c>
      <c r="AC217" s="34" t="n">
        <v>0</v>
      </c>
      <c r="AD217" s="34">
        <f>IF(AB217&gt;AC217*1.05,AB217-AC217*1.05,IF(AB217&lt;AC217*0.95,AC217*0.95-AB217,0))</f>
        <v/>
      </c>
      <c r="AE217" s="34">
        <f>MAX(F217,G217,750)*0.05*AD217</f>
        <v/>
      </c>
      <c r="AF217" s="34" t="n">
        <v>0</v>
      </c>
      <c r="AG217" s="34">
        <f>IF(AB217&gt;AF217*1.05,AB217-AF217*1.05,IF(AB217&lt;AF217*0.95,AF217*0.95-AB217,0))</f>
        <v/>
      </c>
      <c r="AH217" s="34">
        <f>MAX(I217,J217,750)*0.05*AG217</f>
        <v/>
      </c>
      <c r="AI217" t="n">
        <v>9.210000000000001</v>
      </c>
      <c r="AJ217" t="n">
        <v>11</v>
      </c>
      <c r="AK217" s="34">
        <f>IF(AI217&gt;AJ217*1.05,AI217-AJ217*1.05,IF(AI217&lt;AJ217*0.95,AJ217*0.95-AI217,0))</f>
        <v/>
      </c>
      <c r="AL217" s="34">
        <f>MAX(F217,G217,750)*0.05*AK217</f>
        <v/>
      </c>
      <c r="AM217" s="39" t="n">
        <v>9</v>
      </c>
      <c r="AN217" s="34">
        <f>IF(AI217&gt;AM217*1.05,AI217-AM217*1.05,IF(AI217&lt;AM217*0.95,AM217*0.95-AI217,0))</f>
        <v/>
      </c>
      <c r="AO217" s="34">
        <f>MAX(F217,G217,750)*0.05*AN217</f>
        <v/>
      </c>
      <c r="AP217" s="34" t="n">
        <v>12.07</v>
      </c>
      <c r="AQ217" s="34" t="n">
        <v>12</v>
      </c>
      <c r="AR217" s="34">
        <f>IF(AP217&gt;AQ217*1.05,AP217-AQ217*1.05,IF(AP217&lt;AQ217*0.95,AQ217*0.95-AP217,0))</f>
        <v/>
      </c>
      <c r="AS217" s="34">
        <f>MAX(F217:G217,750)*0.05*AR217</f>
        <v/>
      </c>
      <c r="AT217" t="n">
        <v>12</v>
      </c>
      <c r="AU217" s="34">
        <f>IF(AP217&gt;AT217*1.05,AP217-AT217*1.05,IF(AP217&lt;AT217*0.95,AT217*0.95-AP217,0))</f>
        <v/>
      </c>
      <c r="AV217" s="34">
        <f>MAX(F217:G217,750)*0.05*AU217</f>
        <v/>
      </c>
      <c r="AW217" s="34">
        <f>AC217+AJ217+AQ217</f>
        <v/>
      </c>
      <c r="AX217" s="34">
        <f>AF217+AM217+AT217</f>
        <v/>
      </c>
      <c r="AY217" s="34">
        <f>AB217+AI217+AP217</f>
        <v/>
      </c>
      <c r="AZ217" s="34" t="n">
        <v>0</v>
      </c>
      <c r="BA217" s="34">
        <f>AD217+AK217+AR217</f>
        <v/>
      </c>
      <c r="BB217" s="34">
        <f>MAX(F217:G217,750)*0.05*BA217</f>
        <v/>
      </c>
      <c r="BC217" s="34">
        <f>AG217+AN217+AU217</f>
        <v/>
      </c>
      <c r="BD217" s="34">
        <f>MAX(F217:G217,750)*0.05*BC217</f>
        <v/>
      </c>
      <c r="BE217" s="34">
        <f>F217*AY217</f>
        <v/>
      </c>
      <c r="BF217" s="34">
        <f>K217-M217</f>
        <v/>
      </c>
      <c r="BG217" s="34">
        <f>P217-S217</f>
        <v/>
      </c>
      <c r="BH217" s="34">
        <f>W217-AA217</f>
        <v/>
      </c>
      <c r="BI217" s="34">
        <f>BF217+BG217+BL217-BN217</f>
        <v/>
      </c>
      <c r="BJ217" s="34">
        <f>ABS(BK217)</f>
        <v/>
      </c>
      <c r="BK217" s="34">
        <f>AY217-(J217-L217+N217-Q217)</f>
        <v/>
      </c>
      <c r="BL217" s="34">
        <f>IF(AND(BK217&gt;0,MIN($F217:$G217)&lt;150,$E217="Enerji Açığı"),-100*BK217*1.03,IF(AND(BK217&gt;0,MIN($F217:$G217)&lt;150,$E217="Enerji Fazlası"),-100*BK217*1.06,IF(AND(BK217&gt;0,MIN($F217:$G217)&gt;=150,$E217="Enerji Açığı"),BK217*MIN($F217:$G217)*0.97,IF(AND(BK217&gt;0,MIN($F217:$G217)&gt;=150,$E217="Enerji Fazlası"),BK217*MIN($F217:$G217)*0.94,IF(AND(BK217&lt;0,MAX($F217:$G217)=4500,$E217="Enerji Açığı"),4500*1.05*1.06*BK217,IF(AND(BK217&lt;0,MAX($F217:$G217)=4500,$E217="Enerji Fazlası"),4500*1.05*1.03*BK217,IF(AND(BK217&lt;0,$E217="Enerji Açığı"),MAX($F217,$G217,150)*BK217*1.06,IF(AND(BK217&lt;0,$E217="Enerji Fazlası"),MAX($F217,$G217,150)*BK217*1.03,IF(AND(BK217&lt;0,$E217="Dengede"),MAX($F217:$G217,150)*1.03*BK217,MIN($F217:$G217)*0.97*BK217)))))))))</f>
        <v/>
      </c>
      <c r="BM217" s="34">
        <f>BE217-BI217-BN217</f>
        <v/>
      </c>
      <c r="BN217" s="34">
        <f>BB217</f>
        <v/>
      </c>
      <c r="BO217" s="34">
        <f>BE217-BI217</f>
        <v/>
      </c>
      <c r="BP217" s="34">
        <f>IF(AY217=0,0,BO217/AY217)</f>
        <v/>
      </c>
      <c r="BQ217" s="34">
        <f>MAX((AY217+MAX((-J217+L217-N217+Q217),0)),(MAX((J217-L217+N217-Q217),0)))</f>
        <v/>
      </c>
      <c r="BR217" s="82">
        <f>IFERROR(ABS(BK217/BQ217),0)</f>
        <v/>
      </c>
      <c r="BS217" s="34">
        <f>IF(BR217&lt;=0.1,0,BK217/BR217*(BR217-0.1))</f>
        <v/>
      </c>
      <c r="BT217" s="34">
        <f>IF((BS217)&lt;0,MAX(F217:G217)*(BS217)*1.03,MIN(F217:G217)*(BS217)*0.97)</f>
        <v/>
      </c>
      <c r="BU217" s="34">
        <f>IF(BR217&gt;0.1,1,0)</f>
        <v/>
      </c>
      <c r="BV217" s="34">
        <f>BF217+BG217+BH217+BY217-CA217</f>
        <v/>
      </c>
      <c r="BW217" s="34">
        <f>ABS(BX217)</f>
        <v/>
      </c>
      <c r="BX217" s="34">
        <f>AY217-(J217-L217+N217-Q217+T217-X217)</f>
        <v/>
      </c>
      <c r="BY217" s="34">
        <f>IF(AND(BX217&gt;0,MIN($F217:$G217)&lt;150,$E217="Enerji Açığı"),-100*BX217*1.03,IF(AND(BX217&gt;0,MIN($F217:$G217)&lt;150,$E217="Enerji Fazlası"),-100*BX217*1.06,IF(AND(BX217&gt;0,MIN($F217:$G217)&gt;=150,$E217="Enerji Açığı"),BX217*MIN($F217:$G217)*0.97,IF(AND(BX217&gt;0,MIN($F217:$G217)&gt;=150,$E217="Enerji Fazlası"),BX217*MIN($F217:$G217)*0.94,IF(AND(BX217&lt;0,MAX($F217:$G217)=4500,$E217="Enerji Açığı"),4500*1.05*1.06*BX217,IF(AND(BX217&lt;0,MAX($F217:$G217)=4500,$E217="Enerji Fazlası"),4500*1.05*1.03*BX217,IF(AND(BX217&lt;0,$E217="Enerji Açığı"),MAX($F217,$G217,150)*BX217*1.06,IF(AND(BX217&lt;0,$E217="Enerji Fazlası"),MAX($F217,$G217,150)*BX217*1.03,IF(AND(BX217&lt;0,$E217="Dengede"),MAX($F217:$G217,150)*1.03*BX217,MIN($F217:$G217)*0.97*BX217)))))))))</f>
        <v/>
      </c>
      <c r="BZ217" s="34">
        <f>BE217-BV217-CA217</f>
        <v/>
      </c>
      <c r="CA217" s="34">
        <f>BD217</f>
        <v/>
      </c>
      <c r="CB217" s="33">
        <f>BE217-BV217</f>
        <v/>
      </c>
      <c r="CC217" s="34">
        <f>IF(AY217=0,0,CB217/AY217)</f>
        <v/>
      </c>
      <c r="CD217" s="34">
        <f>MAX((AY217+MAX((-J217+L217-N217+Q217-T217+X217),0)),(MAX((J217-L217+N217-Q217+T217-X217),0)))</f>
        <v/>
      </c>
      <c r="CE217" s="82">
        <f>IFERROR(ABS(BX217/CD217),0)</f>
        <v/>
      </c>
      <c r="CF217" s="34">
        <f>IF(CE217&lt;=0.1,0,BX217/CE217*(CE217-0.1))</f>
        <v/>
      </c>
      <c r="CG217" s="34">
        <f>IF((CF217)&lt;0,MAX(F217:G217)*(CF217)*1.03,MIN(F217:G217)*(CF217)*0.97)</f>
        <v/>
      </c>
      <c r="CH217" s="34">
        <f>IF(CE217&gt;0.1,1,0)</f>
        <v/>
      </c>
      <c r="CI217" s="34">
        <f>(F217*BX217)-BY217</f>
        <v/>
      </c>
      <c r="CJ217" s="34">
        <f>IF(AY217=0,0,CI217/AY217)</f>
        <v/>
      </c>
      <c r="CK217" t="inlineStr">
        <is>
          <t>l</t>
        </is>
      </c>
    </row>
    <row r="218">
      <c r="A218" s="29" t="n">
        <v>46212.95833333334</v>
      </c>
      <c r="B218" s="29" t="inlineStr">
        <is>
          <t>23:00</t>
        </is>
      </c>
      <c r="C218" s="35">
        <f>INT(A218)</f>
        <v/>
      </c>
      <c r="D218" s="36">
        <f>MONTH(A218)</f>
        <v/>
      </c>
      <c r="E218" s="147" t="inlineStr">
        <is>
          <t>Enerji Açığı</t>
        </is>
      </c>
      <c r="F218" s="30" t="n">
        <v>3603.81</v>
      </c>
      <c r="G218" s="30" t="n">
        <v>3990</v>
      </c>
      <c r="H218" s="30" t="n">
        <v>77.08</v>
      </c>
      <c r="I218" s="30" t="n">
        <v>3568.18</v>
      </c>
      <c r="J218" s="119" t="n">
        <v>0</v>
      </c>
      <c r="K218" s="34">
        <f>F218*J218</f>
        <v/>
      </c>
      <c r="L218" s="119" t="n">
        <v>0</v>
      </c>
      <c r="M218" s="34">
        <f>L218*F218</f>
        <v/>
      </c>
      <c r="N218" s="119" t="n">
        <v>16</v>
      </c>
      <c r="O218" s="34">
        <f>F218</f>
        <v/>
      </c>
      <c r="P218" s="34">
        <f>N218*O218</f>
        <v/>
      </c>
      <c r="Q218" s="117" t="n">
        <v>0</v>
      </c>
      <c r="R218" s="34">
        <f>F218</f>
        <v/>
      </c>
      <c r="S218" s="34">
        <f>R218*Q218</f>
        <v/>
      </c>
      <c r="T218" s="34" t="n"/>
      <c r="U218" s="34">
        <f>IFERROR(W218/T218,0)</f>
        <v/>
      </c>
      <c r="V218" s="34">
        <f>IF(U218=0,0,U218-F218)</f>
        <v/>
      </c>
      <c r="W218" s="34" t="n">
        <v>13887.3</v>
      </c>
      <c r="X218" s="34" t="n"/>
      <c r="Y218" s="34">
        <f>IFERROR(AA218/X218,0)</f>
        <v/>
      </c>
      <c r="Z218" s="34">
        <f>IF(Y218=0,0,F218-Y218)</f>
        <v/>
      </c>
      <c r="AA218" s="34" t="n"/>
      <c r="AB218" s="34" t="n">
        <v>0</v>
      </c>
      <c r="AC218" s="34" t="n">
        <v>0</v>
      </c>
      <c r="AD218" s="34">
        <f>IF(AB218&gt;AC218*1.05,AB218-AC218*1.05,IF(AB218&lt;AC218*0.95,AC218*0.95-AB218,0))</f>
        <v/>
      </c>
      <c r="AE218" s="34">
        <f>MAX(F218,G218,750)*0.05*AD218</f>
        <v/>
      </c>
      <c r="AF218" s="34" t="n">
        <v>0</v>
      </c>
      <c r="AG218" s="34">
        <f>IF(AB218&gt;AF218*1.05,AB218-AF218*1.05,IF(AB218&lt;AF218*0.95,AF218*0.95-AB218,0))</f>
        <v/>
      </c>
      <c r="AH218" s="34">
        <f>MAX(I218,J218,750)*0.05*AG218</f>
        <v/>
      </c>
      <c r="AI218" t="n">
        <v>9.4</v>
      </c>
      <c r="AJ218" t="n">
        <v>9</v>
      </c>
      <c r="AK218" s="34">
        <f>IF(AI218&gt;AJ218*1.05,AI218-AJ218*1.05,IF(AI218&lt;AJ218*0.95,AJ218*0.95-AI218,0))</f>
        <v/>
      </c>
      <c r="AL218" s="34">
        <f>MAX(F218,G218,750)*0.05*AK218</f>
        <v/>
      </c>
      <c r="AM218" s="39" t="n">
        <v>9</v>
      </c>
      <c r="AN218" s="34">
        <f>IF(AI218&gt;AM218*1.05,AI218-AM218*1.05,IF(AI218&lt;AM218*0.95,AM218*0.95-AI218,0))</f>
        <v/>
      </c>
      <c r="AO218" s="34">
        <f>MAX(F218,G218,750)*0.05*AN218</f>
        <v/>
      </c>
      <c r="AP218" s="34" t="n">
        <v>12.08</v>
      </c>
      <c r="AQ218" s="34" t="n">
        <v>12</v>
      </c>
      <c r="AR218" s="34">
        <f>IF(AP218&gt;AQ218*1.05,AP218-AQ218*1.05,IF(AP218&lt;AQ218*0.95,AQ218*0.95-AP218,0))</f>
        <v/>
      </c>
      <c r="AS218" s="34">
        <f>MAX(F218:G218,750)*0.05*AR218</f>
        <v/>
      </c>
      <c r="AT218" t="n">
        <v>12</v>
      </c>
      <c r="AU218" s="34">
        <f>IF(AP218&gt;AT218*1.05,AP218-AT218*1.05,IF(AP218&lt;AT218*0.95,AT218*0.95-AP218,0))</f>
        <v/>
      </c>
      <c r="AV218" s="34">
        <f>MAX(F218:G218,750)*0.05*AU218</f>
        <v/>
      </c>
      <c r="AW218" s="34">
        <f>AC218+AJ218+AQ218</f>
        <v/>
      </c>
      <c r="AX218" s="34">
        <f>AF218+AM218+AT218</f>
        <v/>
      </c>
      <c r="AY218" s="34">
        <f>AB218+AI218+AP218</f>
        <v/>
      </c>
      <c r="AZ218" s="34" t="n">
        <v>0</v>
      </c>
      <c r="BA218" s="34">
        <f>AD218+AK218+AR218</f>
        <v/>
      </c>
      <c r="BB218" s="34">
        <f>MAX(F218:G218,750)*0.05*BA218</f>
        <v/>
      </c>
      <c r="BC218" s="34">
        <f>AG218+AN218+AU218</f>
        <v/>
      </c>
      <c r="BD218" s="34">
        <f>MAX(F218:G218,750)*0.05*BC218</f>
        <v/>
      </c>
      <c r="BE218" s="34">
        <f>F218*AY218</f>
        <v/>
      </c>
      <c r="BF218" s="34">
        <f>K218-M218</f>
        <v/>
      </c>
      <c r="BG218" s="34">
        <f>P218-S218</f>
        <v/>
      </c>
      <c r="BH218" s="34">
        <f>W218-AA218</f>
        <v/>
      </c>
      <c r="BI218" s="34">
        <f>BF218+BG218+BL218-BN218</f>
        <v/>
      </c>
      <c r="BJ218" s="34">
        <f>ABS(BK218)</f>
        <v/>
      </c>
      <c r="BK218" s="34">
        <f>AY218-(J218-L218+N218-Q218)</f>
        <v/>
      </c>
      <c r="BL218" s="34">
        <f>IF(AND(BK218&gt;0,MIN($F218:$G218)&lt;150,$E218="Enerji Açığı"),-100*BK218*1.03,IF(AND(BK218&gt;0,MIN($F218:$G218)&lt;150,$E218="Enerji Fazlası"),-100*BK218*1.06,IF(AND(BK218&gt;0,MIN($F218:$G218)&gt;=150,$E218="Enerji Açığı"),BK218*MIN($F218:$G218)*0.97,IF(AND(BK218&gt;0,MIN($F218:$G218)&gt;=150,$E218="Enerji Fazlası"),BK218*MIN($F218:$G218)*0.94,IF(AND(BK218&lt;0,MAX($F218:$G218)=4500,$E218="Enerji Açığı"),4500*1.05*1.06*BK218,IF(AND(BK218&lt;0,MAX($F218:$G218)=4500,$E218="Enerji Fazlası"),4500*1.05*1.03*BK218,IF(AND(BK218&lt;0,$E218="Enerji Açığı"),MAX($F218,$G218,150)*BK218*1.06,IF(AND(BK218&lt;0,$E218="Enerji Fazlası"),MAX($F218,$G218,150)*BK218*1.03,IF(AND(BK218&lt;0,$E218="Dengede"),MAX($F218:$G218,150)*1.03*BK218,MIN($F218:$G218)*0.97*BK218)))))))))</f>
        <v/>
      </c>
      <c r="BM218" s="34">
        <f>BE218-BI218-BN218</f>
        <v/>
      </c>
      <c r="BN218" s="34">
        <f>BB218</f>
        <v/>
      </c>
      <c r="BO218" s="34">
        <f>BE218-BI218</f>
        <v/>
      </c>
      <c r="BP218" s="34">
        <f>IF(AY218=0,0,BO218/AY218)</f>
        <v/>
      </c>
      <c r="BQ218" s="34">
        <f>MAX((AY218+MAX((-J218+L218-N218+Q218),0)),(MAX((J218-L218+N218-Q218),0)))</f>
        <v/>
      </c>
      <c r="BR218" s="82">
        <f>IFERROR(ABS(BK218/BQ218),0)</f>
        <v/>
      </c>
      <c r="BS218" s="34">
        <f>IF(BR218&lt;=0.1,0,BK218/BR218*(BR218-0.1))</f>
        <v/>
      </c>
      <c r="BT218" s="34">
        <f>IF((BS218)&lt;0,MAX(F218:G218)*(BS218)*1.03,MIN(F218:G218)*(BS218)*0.97)</f>
        <v/>
      </c>
      <c r="BU218" s="34">
        <f>IF(BR218&gt;0.1,1,0)</f>
        <v/>
      </c>
      <c r="BV218" s="34">
        <f>BF218+BG218+BH218+BY218-CA218</f>
        <v/>
      </c>
      <c r="BW218" s="34">
        <f>ABS(BX218)</f>
        <v/>
      </c>
      <c r="BX218" s="34">
        <f>AY218-(J218-L218+N218-Q218+T218-X218)</f>
        <v/>
      </c>
      <c r="BY218" s="34">
        <f>IF(AND(BX218&gt;0,MIN($F218:$G218)&lt;150,$E218="Enerji Açığı"),-100*BX218*1.03,IF(AND(BX218&gt;0,MIN($F218:$G218)&lt;150,$E218="Enerji Fazlası"),-100*BX218*1.06,IF(AND(BX218&gt;0,MIN($F218:$G218)&gt;=150,$E218="Enerji Açığı"),BX218*MIN($F218:$G218)*0.97,IF(AND(BX218&gt;0,MIN($F218:$G218)&gt;=150,$E218="Enerji Fazlası"),BX218*MIN($F218:$G218)*0.94,IF(AND(BX218&lt;0,MAX($F218:$G218)=4500,$E218="Enerji Açığı"),4500*1.05*1.06*BX218,IF(AND(BX218&lt;0,MAX($F218:$G218)=4500,$E218="Enerji Fazlası"),4500*1.05*1.03*BX218,IF(AND(BX218&lt;0,$E218="Enerji Açığı"),MAX($F218,$G218,150)*BX218*1.06,IF(AND(BX218&lt;0,$E218="Enerji Fazlası"),MAX($F218,$G218,150)*BX218*1.03,IF(AND(BX218&lt;0,$E218="Dengede"),MAX($F218:$G218,150)*1.03*BX218,MIN($F218:$G218)*0.97*BX218)))))))))</f>
        <v/>
      </c>
      <c r="BZ218" s="34">
        <f>BE218-BV218-CA218</f>
        <v/>
      </c>
      <c r="CA218" s="34">
        <f>BD218</f>
        <v/>
      </c>
      <c r="CB218" s="33">
        <f>BE218-BV218</f>
        <v/>
      </c>
      <c r="CC218" s="34">
        <f>IF(AY218=0,0,CB218/AY218)</f>
        <v/>
      </c>
      <c r="CD218" s="34">
        <f>MAX((AY218+MAX((-J218+L218-N218+Q218-T218+X218),0)),(MAX((J218-L218+N218-Q218+T218-X218),0)))</f>
        <v/>
      </c>
      <c r="CE218" s="82">
        <f>IFERROR(ABS(BX218/CD218),0)</f>
        <v/>
      </c>
      <c r="CF218" s="34">
        <f>IF(CE218&lt;=0.1,0,BX218/CE218*(CE218-0.1))</f>
        <v/>
      </c>
      <c r="CG218" s="34">
        <f>IF((CF218)&lt;0,MAX(F218:G218)*(CF218)*1.03,MIN(F218:G218)*(CF218)*0.97)</f>
        <v/>
      </c>
      <c r="CH218" s="34">
        <f>IF(CE218&gt;0.1,1,0)</f>
        <v/>
      </c>
      <c r="CI218" s="34">
        <f>(F218*BX218)-BY218</f>
        <v/>
      </c>
      <c r="CJ218" s="34">
        <f>IF(AY218=0,0,CI218/AY218)</f>
        <v/>
      </c>
    </row>
    <row r="219">
      <c r="A219" s="29" t="n">
        <v>46213</v>
      </c>
      <c r="B219" s="29" t="inlineStr">
        <is>
          <t>00:00</t>
        </is>
      </c>
      <c r="C219" s="35">
        <f>INT(A219)</f>
        <v/>
      </c>
      <c r="D219" s="36">
        <f>MONTH(A219)</f>
        <v/>
      </c>
      <c r="E219" s="147" t="inlineStr"/>
      <c r="F219" s="30" t="n">
        <v>3325</v>
      </c>
      <c r="G219" s="30" t="n"/>
      <c r="H219" s="30" t="n">
        <v>71.09</v>
      </c>
      <c r="I219" s="30" t="n">
        <v>3486.47</v>
      </c>
      <c r="J219" s="119" t="n">
        <v>0</v>
      </c>
      <c r="K219" s="34">
        <f>F219*J219</f>
        <v/>
      </c>
      <c r="L219" s="119" t="n">
        <v>0</v>
      </c>
      <c r="M219" s="34">
        <f>L219*F219</f>
        <v/>
      </c>
      <c r="N219" s="119" t="n">
        <v>16</v>
      </c>
      <c r="O219" s="34">
        <f>F219</f>
        <v/>
      </c>
      <c r="P219" s="34">
        <f>N219*O219</f>
        <v/>
      </c>
      <c r="Q219" s="117" t="n">
        <v>0</v>
      </c>
      <c r="R219" s="34">
        <f>F219</f>
        <v/>
      </c>
      <c r="S219" s="34">
        <f>R219*Q219</f>
        <v/>
      </c>
      <c r="T219" s="34" t="n"/>
      <c r="U219" s="34">
        <f>IFERROR(W219/T219,0)</f>
        <v/>
      </c>
      <c r="V219" s="34">
        <f>IF(U219=0,0,U219-F219)</f>
        <v/>
      </c>
      <c r="W219" s="34" t="n"/>
      <c r="X219" s="34" t="n"/>
      <c r="Y219" s="34">
        <f>IFERROR(AA219/X219,0)</f>
        <v/>
      </c>
      <c r="Z219" s="34">
        <f>IF(Y219=0,0,F219-Y219)</f>
        <v/>
      </c>
      <c r="AA219" s="34" t="n"/>
      <c r="AB219" s="34" t="n"/>
      <c r="AC219" s="34" t="n">
        <v>0</v>
      </c>
      <c r="AD219" s="34">
        <f>IF(AB219&gt;AC219*1.05,AB219-AC219*1.05,IF(AB219&lt;AC219*0.95,AC219*0.95-AB219,0))</f>
        <v/>
      </c>
      <c r="AE219" s="34">
        <f>MAX(F219,G219,750)*0.05*AD219</f>
        <v/>
      </c>
      <c r="AF219" s="34" t="n">
        <v>0</v>
      </c>
      <c r="AG219" s="34">
        <f>IF(AB219&gt;AF219*1.05,AB219-AF219*1.05,IF(AB219&lt;AF219*0.95,AF219*0.95-AB219,0))</f>
        <v/>
      </c>
      <c r="AH219" s="34">
        <f>MAX(I219,J219,750)*0.05*AG219</f>
        <v/>
      </c>
      <c r="AJ219" t="n">
        <v>6</v>
      </c>
      <c r="AK219" s="34">
        <f>IF(AI219&gt;AJ219*1.05,AI219-AJ219*1.05,IF(AI219&lt;AJ219*0.95,AJ219*0.95-AI219,0))</f>
        <v/>
      </c>
      <c r="AL219" s="34">
        <f>MAX(F219,G219,750)*0.05*AK219</f>
        <v/>
      </c>
      <c r="AM219" s="39" t="n">
        <v>6</v>
      </c>
      <c r="AN219" s="34">
        <f>IF(AI219&gt;AM219*1.05,AI219-AM219*1.05,IF(AI219&lt;AM219*0.95,AM219*0.95-AI219,0))</f>
        <v/>
      </c>
      <c r="AO219" s="34">
        <f>MAX(F219,G219,750)*0.05*AN219</f>
        <v/>
      </c>
      <c r="AP219" s="34" t="n"/>
      <c r="AQ219" s="34" t="n">
        <v>9</v>
      </c>
      <c r="AR219" s="34">
        <f>IF(AP219&gt;AQ219*1.05,AP219-AQ219*1.05,IF(AP219&lt;AQ219*0.95,AQ219*0.95-AP219,0))</f>
        <v/>
      </c>
      <c r="AS219" s="34">
        <f>MAX(F219:G219,750)*0.05*AR219</f>
        <v/>
      </c>
      <c r="AT219" t="n">
        <v>9</v>
      </c>
      <c r="AU219" s="34">
        <f>IF(AP219&gt;AT219*1.05,AP219-AT219*1.05,IF(AP219&lt;AT219*0.95,AT219*0.95-AP219,0))</f>
        <v/>
      </c>
      <c r="AV219" s="34">
        <f>MAX(F219:G219,750)*0.05*AU219</f>
        <v/>
      </c>
      <c r="AW219" s="34">
        <f>AC219+AJ219+AQ219</f>
        <v/>
      </c>
      <c r="AX219" s="34">
        <f>AF219+AM219+AT219</f>
        <v/>
      </c>
      <c r="AY219" s="34">
        <f>AB219+AI219+AP219</f>
        <v/>
      </c>
      <c r="AZ219" s="34" t="n">
        <v>0</v>
      </c>
      <c r="BA219" s="34">
        <f>AD219+AK219+AR219</f>
        <v/>
      </c>
      <c r="BB219" s="34">
        <f>MAX(F219:G219,750)*0.05*BA219</f>
        <v/>
      </c>
      <c r="BC219" s="34">
        <f>AG219+AN219+AU219</f>
        <v/>
      </c>
      <c r="BD219" s="34">
        <f>MAX(F219:G219,750)*0.05*BC219</f>
        <v/>
      </c>
      <c r="BE219" s="34">
        <f>F219*AY219</f>
        <v/>
      </c>
      <c r="BF219" s="34">
        <f>K219-M219</f>
        <v/>
      </c>
      <c r="BG219" s="34">
        <f>P219-S219</f>
        <v/>
      </c>
      <c r="BH219" s="34">
        <f>W219-AA219</f>
        <v/>
      </c>
      <c r="BI219" s="34">
        <f>BF219+BG219+BL219-BN219</f>
        <v/>
      </c>
      <c r="BJ219" s="34">
        <f>ABS(BK219)</f>
        <v/>
      </c>
      <c r="BK219" s="34">
        <f>AY219-(J219-L219+N219-Q219)</f>
        <v/>
      </c>
      <c r="BL219" s="34">
        <f>IF(AND(BK219&gt;0,MIN($F219:$G219)&lt;150,$E219="Enerji Açığı"),-100*BK219*1.03,IF(AND(BK219&gt;0,MIN($F219:$G219)&lt;150,$E219="Enerji Fazlası"),-100*BK219*1.06,IF(AND(BK219&gt;0,MIN($F219:$G219)&gt;=150,$E219="Enerji Açığı"),BK219*MIN($F219:$G219)*0.97,IF(AND(BK219&gt;0,MIN($F219:$G219)&gt;=150,$E219="Enerji Fazlası"),BK219*MIN($F219:$G219)*0.94,IF(AND(BK219&lt;0,MAX($F219:$G219)=4500,$E219="Enerji Açığı"),4500*1.05*1.06*BK219,IF(AND(BK219&lt;0,MAX($F219:$G219)=4500,$E219="Enerji Fazlası"),4500*1.05*1.03*BK219,IF(AND(BK219&lt;0,$E219="Enerji Açığı"),MAX($F219,$G219,150)*BK219*1.06,IF(AND(BK219&lt;0,$E219="Enerji Fazlası"),MAX($F219,$G219,150)*BK219*1.03,IF(AND(BK219&lt;0,$E219="Dengede"),MAX($F219:$G219,150)*1.03*BK219,MIN($F219:$G219)*0.97*BK219)))))))))</f>
        <v/>
      </c>
      <c r="BM219" s="34">
        <f>BE219-BI219-BN219</f>
        <v/>
      </c>
      <c r="BN219" s="34">
        <f>BB219</f>
        <v/>
      </c>
      <c r="BO219" s="34">
        <f>BE219-BI219</f>
        <v/>
      </c>
      <c r="BP219" s="34">
        <f>IF(AY219=0,0,BO219/AY219)</f>
        <v/>
      </c>
      <c r="BQ219" s="34">
        <f>MAX((AY219+MAX((-J219+L219-N219+Q219),0)),(MAX((J219-L219+N219-Q219),0)))</f>
        <v/>
      </c>
      <c r="BR219" s="82">
        <f>IFERROR(ABS(BK219/BQ219),0)</f>
        <v/>
      </c>
      <c r="BS219" s="34">
        <f>IF(BR219&lt;=0.1,0,BK219/BR219*(BR219-0.1))</f>
        <v/>
      </c>
      <c r="BT219" s="34">
        <f>IF((BS219)&lt;0,MAX(F219:G219)*(BS219)*1.03,MIN(F219:G219)*(BS219)*0.97)</f>
        <v/>
      </c>
      <c r="BU219" s="34">
        <f>IF(BR219&gt;0.1,1,0)</f>
        <v/>
      </c>
      <c r="BV219" s="34">
        <f>BF219+BG219+BH219+BY219-CA219</f>
        <v/>
      </c>
      <c r="BW219" s="34">
        <f>ABS(BX219)</f>
        <v/>
      </c>
      <c r="BX219" s="34">
        <f>AY219-(J219-L219+N219-Q219+T219-X219)</f>
        <v/>
      </c>
      <c r="BY219" s="34">
        <f>IF(AND(BX219&gt;0,MIN($F219:$G219)&lt;150,$E219="Enerji Açığı"),-100*BX219*1.03,IF(AND(BX219&gt;0,MIN($F219:$G219)&lt;150,$E219="Enerji Fazlası"),-100*BX219*1.06,IF(AND(BX219&gt;0,MIN($F219:$G219)&gt;=150,$E219="Enerji Açığı"),BX219*MIN($F219:$G219)*0.97,IF(AND(BX219&gt;0,MIN($F219:$G219)&gt;=150,$E219="Enerji Fazlası"),BX219*MIN($F219:$G219)*0.94,IF(AND(BX219&lt;0,MAX($F219:$G219)=4500,$E219="Enerji Açığı"),4500*1.05*1.06*BX219,IF(AND(BX219&lt;0,MAX($F219:$G219)=4500,$E219="Enerji Fazlası"),4500*1.05*1.03*BX219,IF(AND(BX219&lt;0,$E219="Enerji Açığı"),MAX($F219,$G219,150)*BX219*1.06,IF(AND(BX219&lt;0,$E219="Enerji Fazlası"),MAX($F219,$G219,150)*BX219*1.03,IF(AND(BX219&lt;0,$E219="Dengede"),MAX($F219:$G219,150)*1.03*BX219,MIN($F219:$G219)*0.97*BX219)))))))))</f>
        <v/>
      </c>
      <c r="BZ219" s="34">
        <f>BE219-BV219-CA219</f>
        <v/>
      </c>
      <c r="CA219" s="34">
        <f>BD219</f>
        <v/>
      </c>
      <c r="CB219" s="33">
        <f>BE219-BV219</f>
        <v/>
      </c>
      <c r="CC219" s="34">
        <f>IF(AY219=0,0,CB219/AY219)</f>
        <v/>
      </c>
      <c r="CD219" s="34">
        <f>MAX((AY219+MAX((-J219+L219-N219+Q219-T219+X219),0)),(MAX((J219-L219+N219-Q219+T219-X219),0)))</f>
        <v/>
      </c>
      <c r="CE219" s="82">
        <f>IFERROR(ABS(BX219/CD219),0)</f>
        <v/>
      </c>
      <c r="CF219" s="34">
        <f>IF(CE219&lt;=0.1,0,BX219/CE219*(CE219-0.1))</f>
        <v/>
      </c>
      <c r="CG219" s="34">
        <f>IF((CF219)&lt;0,MAX(F219:G219)*(CF219)*1.03,MIN(F219:G219)*(CF219)*0.97)</f>
        <v/>
      </c>
      <c r="CH219" s="34">
        <f>IF(CE219&gt;0.1,1,0)</f>
        <v/>
      </c>
      <c r="CI219" s="34">
        <f>(F219*BX219)-BY219</f>
        <v/>
      </c>
      <c r="CJ219" s="34">
        <f>IF(AY219=0,0,CI219/AY219)</f>
        <v/>
      </c>
    </row>
    <row r="220">
      <c r="A220" s="29" t="n">
        <v>46213.04166666666</v>
      </c>
      <c r="B220" s="29" t="inlineStr">
        <is>
          <t>01:00</t>
        </is>
      </c>
      <c r="C220" s="35">
        <f>INT(A220)</f>
        <v/>
      </c>
      <c r="D220" s="36">
        <f>MONTH(A220)</f>
        <v/>
      </c>
      <c r="E220" s="147" t="inlineStr">
        <is>
          <t>Enerji Fazlası</t>
        </is>
      </c>
      <c r="F220" s="30" t="n">
        <v>3600</v>
      </c>
      <c r="G220" s="30" t="n">
        <v>2663.18</v>
      </c>
      <c r="H220" s="30" t="n">
        <v>76.97</v>
      </c>
      <c r="I220" s="30" t="n">
        <v>3744.2</v>
      </c>
      <c r="J220" s="119" t="n">
        <v>0</v>
      </c>
      <c r="K220" s="34">
        <f>F220*J220</f>
        <v/>
      </c>
      <c r="L220" s="119" t="n">
        <v>0</v>
      </c>
      <c r="M220" s="34">
        <f>L220*F220</f>
        <v/>
      </c>
      <c r="N220" s="119" t="n">
        <v>16</v>
      </c>
      <c r="O220" s="34">
        <f>F220</f>
        <v/>
      </c>
      <c r="P220" s="34">
        <f>N220*O220</f>
        <v/>
      </c>
      <c r="Q220" s="117" t="n">
        <v>0</v>
      </c>
      <c r="R220" s="34">
        <f>F220</f>
        <v/>
      </c>
      <c r="S220" s="34">
        <f>R220*Q220</f>
        <v/>
      </c>
      <c r="T220" s="34" t="n"/>
      <c r="U220" s="34">
        <f>IFERROR(W220/T220,0)</f>
        <v/>
      </c>
      <c r="V220" s="34">
        <f>IF(U220=0,0,U220-F220)</f>
        <v/>
      </c>
      <c r="W220" s="34" t="n"/>
      <c r="X220" s="34" t="n"/>
      <c r="Y220" s="34">
        <f>IFERROR(AA220/X220,0)</f>
        <v/>
      </c>
      <c r="Z220" s="34">
        <f>IF(Y220=0,0,F220-Y220)</f>
        <v/>
      </c>
      <c r="AA220" s="34" t="n"/>
      <c r="AB220" s="34" t="n"/>
      <c r="AC220" s="34" t="n">
        <v>0</v>
      </c>
      <c r="AD220" s="34">
        <f>IF(AB220&gt;AC220*1.05,AB220-AC220*1.05,IF(AB220&lt;AC220*0.95,AC220*0.95-AB220,0))</f>
        <v/>
      </c>
      <c r="AE220" s="34">
        <f>MAX(F220,G220,750)*0.05*AD220</f>
        <v/>
      </c>
      <c r="AF220" s="34" t="n">
        <v>0</v>
      </c>
      <c r="AG220" s="34">
        <f>IF(AB220&gt;AF220*1.05,AB220-AF220*1.05,IF(AB220&lt;AF220*0.95,AF220*0.95-AB220,0))</f>
        <v/>
      </c>
      <c r="AH220" s="34">
        <f>MAX(I220,J220,750)*0.05*AG220</f>
        <v/>
      </c>
      <c r="AJ220" t="n">
        <v>6</v>
      </c>
      <c r="AK220" s="34">
        <f>IF(AI220&gt;AJ220*1.05,AI220-AJ220*1.05,IF(AI220&lt;AJ220*0.95,AJ220*0.95-AI220,0))</f>
        <v/>
      </c>
      <c r="AL220" s="34">
        <f>MAX(F220,G220,750)*0.05*AK220</f>
        <v/>
      </c>
      <c r="AM220" s="39" t="n">
        <v>6</v>
      </c>
      <c r="AN220" s="34">
        <f>IF(AI220&gt;AM220*1.05,AI220-AM220*1.05,IF(AI220&lt;AM220*0.95,AM220*0.95-AI220,0))</f>
        <v/>
      </c>
      <c r="AO220" s="34">
        <f>MAX(F220,G220,750)*0.05*AN220</f>
        <v/>
      </c>
      <c r="AP220" s="34" t="n"/>
      <c r="AQ220" s="34" t="n">
        <v>9</v>
      </c>
      <c r="AR220" s="34">
        <f>IF(AP220&gt;AQ220*1.05,AP220-AQ220*1.05,IF(AP220&lt;AQ220*0.95,AQ220*0.95-AP220,0))</f>
        <v/>
      </c>
      <c r="AS220" s="34">
        <f>MAX(F220:G220,750)*0.05*AR220</f>
        <v/>
      </c>
      <c r="AT220" t="n">
        <v>9</v>
      </c>
      <c r="AU220" s="34">
        <f>IF(AP220&gt;AT220*1.05,AP220-AT220*1.05,IF(AP220&lt;AT220*0.95,AT220*0.95-AP220,0))</f>
        <v/>
      </c>
      <c r="AV220" s="34">
        <f>MAX(F220:G220,750)*0.05*AU220</f>
        <v/>
      </c>
      <c r="AW220" s="34">
        <f>AC220+AJ220+AQ220</f>
        <v/>
      </c>
      <c r="AX220" s="34">
        <f>AF220+AM220+AT220</f>
        <v/>
      </c>
      <c r="AY220" s="34">
        <f>AB220+AI220+AP220</f>
        <v/>
      </c>
      <c r="AZ220" s="34" t="n">
        <v>0</v>
      </c>
      <c r="BA220" s="34">
        <f>AD220+AK220+AR220</f>
        <v/>
      </c>
      <c r="BB220" s="34">
        <f>MAX(F220:G220,750)*0.05*BA220</f>
        <v/>
      </c>
      <c r="BC220" s="34">
        <f>AG220+AN220+AU220</f>
        <v/>
      </c>
      <c r="BD220" s="34">
        <f>MAX(F220:G220,750)*0.05*BC220</f>
        <v/>
      </c>
      <c r="BE220" s="34">
        <f>F220*AY220</f>
        <v/>
      </c>
      <c r="BF220" s="34">
        <f>K220-M220</f>
        <v/>
      </c>
      <c r="BG220" s="34">
        <f>P220-S220</f>
        <v/>
      </c>
      <c r="BH220" s="34">
        <f>W220-AA220</f>
        <v/>
      </c>
      <c r="BI220" s="34">
        <f>BF220+BG220+BL220-BN220</f>
        <v/>
      </c>
      <c r="BJ220" s="34">
        <f>ABS(BK220)</f>
        <v/>
      </c>
      <c r="BK220" s="34">
        <f>AY220-(J220-L220+N220-Q220)</f>
        <v/>
      </c>
      <c r="BL220" s="34">
        <f>IF(AND(BK220&gt;0,MIN($F220:$G220)&lt;150,$E220="Enerji Açığı"),-100*BK220*1.03,IF(AND(BK220&gt;0,MIN($F220:$G220)&lt;150,$E220="Enerji Fazlası"),-100*BK220*1.06,IF(AND(BK220&gt;0,MIN($F220:$G220)&gt;=150,$E220="Enerji Açığı"),BK220*MIN($F220:$G220)*0.97,IF(AND(BK220&gt;0,MIN($F220:$G220)&gt;=150,$E220="Enerji Fazlası"),BK220*MIN($F220:$G220)*0.94,IF(AND(BK220&lt;0,MAX($F220:$G220)=4500,$E220="Enerji Açığı"),4500*1.05*1.06*BK220,IF(AND(BK220&lt;0,MAX($F220:$G220)=4500,$E220="Enerji Fazlası"),4500*1.05*1.03*BK220,IF(AND(BK220&lt;0,$E220="Enerji Açığı"),MAX($F220,$G220,150)*BK220*1.06,IF(AND(BK220&lt;0,$E220="Enerji Fazlası"),MAX($F220,$G220,150)*BK220*1.03,IF(AND(BK220&lt;0,$E220="Dengede"),MAX($F220:$G220,150)*1.03*BK220,MIN($F220:$G220)*0.97*BK220)))))))))</f>
        <v/>
      </c>
      <c r="BM220" s="34">
        <f>BE220-BI220-BN220</f>
        <v/>
      </c>
      <c r="BN220" s="34">
        <f>BB220</f>
        <v/>
      </c>
      <c r="BO220" s="34">
        <f>BE220-BI220</f>
        <v/>
      </c>
      <c r="BP220" s="34">
        <f>IF(AY220=0,0,BO220/AY220)</f>
        <v/>
      </c>
      <c r="BQ220" s="34">
        <f>MAX((AY220+MAX((-J220+L220-N220+Q220),0)),(MAX((J220-L220+N220-Q220),0)))</f>
        <v/>
      </c>
      <c r="BR220" s="82">
        <f>IFERROR(ABS(BK220/BQ220),0)</f>
        <v/>
      </c>
      <c r="BS220" s="34">
        <f>IF(BR220&lt;=0.1,0,BK220/BR220*(BR220-0.1))</f>
        <v/>
      </c>
      <c r="BT220" s="34">
        <f>IF((BS220)&lt;0,MAX(F220:G220)*(BS220)*1.03,MIN(F220:G220)*(BS220)*0.97)</f>
        <v/>
      </c>
      <c r="BU220" s="34">
        <f>IF(BR220&gt;0.1,1,0)</f>
        <v/>
      </c>
      <c r="BV220" s="34">
        <f>BF220+BG220+BH220+BY220-CA220</f>
        <v/>
      </c>
      <c r="BW220" s="34">
        <f>ABS(BX220)</f>
        <v/>
      </c>
      <c r="BX220" s="34">
        <f>AY220-(J220-L220+N220-Q220+T220-X220)</f>
        <v/>
      </c>
      <c r="BY220" s="34">
        <f>IF(AND(BX220&gt;0,MIN($F220:$G220)&lt;150,$E220="Enerji Açığı"),-100*BX220*1.03,IF(AND(BX220&gt;0,MIN($F220:$G220)&lt;150,$E220="Enerji Fazlası"),-100*BX220*1.06,IF(AND(BX220&gt;0,MIN($F220:$G220)&gt;=150,$E220="Enerji Açığı"),BX220*MIN($F220:$G220)*0.97,IF(AND(BX220&gt;0,MIN($F220:$G220)&gt;=150,$E220="Enerji Fazlası"),BX220*MIN($F220:$G220)*0.94,IF(AND(BX220&lt;0,MAX($F220:$G220)=4500,$E220="Enerji Açığı"),4500*1.05*1.06*BX220,IF(AND(BX220&lt;0,MAX($F220:$G220)=4500,$E220="Enerji Fazlası"),4500*1.05*1.03*BX220,IF(AND(BX220&lt;0,$E220="Enerji Açığı"),MAX($F220,$G220,150)*BX220*1.06,IF(AND(BX220&lt;0,$E220="Enerji Fazlası"),MAX($F220,$G220,150)*BX220*1.03,IF(AND(BX220&lt;0,$E220="Dengede"),MAX($F220:$G220,150)*1.03*BX220,MIN($F220:$G220)*0.97*BX220)))))))))</f>
        <v/>
      </c>
      <c r="BZ220" s="34">
        <f>BE220-BV220-CA220</f>
        <v/>
      </c>
      <c r="CA220" s="34">
        <f>BD220</f>
        <v/>
      </c>
      <c r="CB220" s="33">
        <f>BE220-BV220</f>
        <v/>
      </c>
      <c r="CC220" s="34">
        <f>IF(AY220=0,0,CB220/AY220)</f>
        <v/>
      </c>
      <c r="CD220" s="34">
        <f>MAX((AY220+MAX((-J220+L220-N220+Q220-T220+X220),0)),(MAX((J220-L220+N220-Q220+T220-X220),0)))</f>
        <v/>
      </c>
      <c r="CE220" s="82">
        <f>IFERROR(ABS(BX220/CD220),0)</f>
        <v/>
      </c>
      <c r="CF220" s="34">
        <f>IF(CE220&lt;=0.1,0,BX220/CE220*(CE220-0.1))</f>
        <v/>
      </c>
      <c r="CG220" s="34">
        <f>IF((CF220)&lt;0,MAX(F220:G220)*(CF220)*1.03,MIN(F220:G220)*(CF220)*0.97)</f>
        <v/>
      </c>
      <c r="CH220" s="34">
        <f>IF(CE220&gt;0.1,1,0)</f>
        <v/>
      </c>
      <c r="CI220" s="34">
        <f>(F220*BX220)-BY220</f>
        <v/>
      </c>
      <c r="CJ220" s="34">
        <f>IF(AY220=0,0,CI220/AY220)</f>
        <v/>
      </c>
    </row>
    <row r="221">
      <c r="A221" s="29" t="n">
        <v>46213.08333333334</v>
      </c>
      <c r="B221" s="29" t="inlineStr">
        <is>
          <t>02:00</t>
        </is>
      </c>
      <c r="C221" s="35">
        <f>INT(A221)</f>
        <v/>
      </c>
      <c r="D221" s="36">
        <f>MONTH(A221)</f>
        <v/>
      </c>
      <c r="E221" s="147" t="inlineStr">
        <is>
          <t>Enerji Fazlası</t>
        </is>
      </c>
      <c r="F221" s="30" t="n">
        <v>3400</v>
      </c>
      <c r="G221" s="30" t="n">
        <v>2501</v>
      </c>
      <c r="H221" s="30" t="n">
        <v>72.7</v>
      </c>
      <c r="I221" s="30" t="n">
        <v>2959.8</v>
      </c>
      <c r="J221" s="119" t="n">
        <v>0</v>
      </c>
      <c r="K221" s="34">
        <f>F221*J221</f>
        <v/>
      </c>
      <c r="L221" s="119" t="n">
        <v>0</v>
      </c>
      <c r="M221" s="34">
        <f>L221*F221</f>
        <v/>
      </c>
      <c r="N221" s="119" t="n">
        <v>16</v>
      </c>
      <c r="O221" s="34">
        <f>F221</f>
        <v/>
      </c>
      <c r="P221" s="34">
        <f>N221*O221</f>
        <v/>
      </c>
      <c r="Q221" s="117" t="n">
        <v>0</v>
      </c>
      <c r="R221" s="34">
        <f>F221</f>
        <v/>
      </c>
      <c r="S221" s="34">
        <f>R221*Q221</f>
        <v/>
      </c>
      <c r="T221" s="34" t="n"/>
      <c r="U221" s="34">
        <f>IFERROR(W221/T221,0)</f>
        <v/>
      </c>
      <c r="V221" s="34">
        <f>IF(U221=0,0,U221-F221)</f>
        <v/>
      </c>
      <c r="W221" s="34" t="n"/>
      <c r="X221" s="34" t="n"/>
      <c r="Y221" s="34">
        <f>IFERROR(AA221/X221,0)</f>
        <v/>
      </c>
      <c r="Z221" s="34">
        <f>IF(Y221=0,0,F221-Y221)</f>
        <v/>
      </c>
      <c r="AA221" s="34" t="n"/>
      <c r="AB221" s="34" t="n"/>
      <c r="AC221" s="34" t="n">
        <v>0</v>
      </c>
      <c r="AD221" s="34">
        <f>IF(AB221&gt;AC221*1.05,AB221-AC221*1.05,IF(AB221&lt;AC221*0.95,AC221*0.95-AB221,0))</f>
        <v/>
      </c>
      <c r="AE221" s="34">
        <f>MAX(F221,G221,750)*0.05*AD221</f>
        <v/>
      </c>
      <c r="AF221" s="34" t="n">
        <v>0</v>
      </c>
      <c r="AG221" s="34">
        <f>IF(AB221&gt;AF221*1.05,AB221-AF221*1.05,IF(AB221&lt;AF221*0.95,AF221*0.95-AB221,0))</f>
        <v/>
      </c>
      <c r="AH221" s="34">
        <f>MAX(I221,J221,750)*0.05*AG221</f>
        <v/>
      </c>
      <c r="AJ221" t="n">
        <v>6</v>
      </c>
      <c r="AK221" s="34">
        <f>IF(AI221&gt;AJ221*1.05,AI221-AJ221*1.05,IF(AI221&lt;AJ221*0.95,AJ221*0.95-AI221,0))</f>
        <v/>
      </c>
      <c r="AL221" s="34">
        <f>MAX(F221,G221,750)*0.05*AK221</f>
        <v/>
      </c>
      <c r="AM221" s="39" t="n">
        <v>6</v>
      </c>
      <c r="AN221" s="34">
        <f>IF(AI221&gt;AM221*1.05,AI221-AM221*1.05,IF(AI221&lt;AM221*0.95,AM221*0.95-AI221,0))</f>
        <v/>
      </c>
      <c r="AO221" s="34">
        <f>MAX(F221,G221,750)*0.05*AN221</f>
        <v/>
      </c>
      <c r="AP221" s="34" t="n"/>
      <c r="AQ221" s="34" t="n">
        <v>9</v>
      </c>
      <c r="AR221" s="34">
        <f>IF(AP221&gt;AQ221*1.05,AP221-AQ221*1.05,IF(AP221&lt;AQ221*0.95,AQ221*0.95-AP221,0))</f>
        <v/>
      </c>
      <c r="AS221" s="34">
        <f>MAX(F221:G221,750)*0.05*AR221</f>
        <v/>
      </c>
      <c r="AT221" t="n">
        <v>10</v>
      </c>
      <c r="AU221" s="34">
        <f>IF(AP221&gt;AT221*1.05,AP221-AT221*1.05,IF(AP221&lt;AT221*0.95,AT221*0.95-AP221,0))</f>
        <v/>
      </c>
      <c r="AV221" s="34">
        <f>MAX(F221:G221,750)*0.05*AU221</f>
        <v/>
      </c>
      <c r="AW221" s="34">
        <f>AC221+AJ221+AQ221</f>
        <v/>
      </c>
      <c r="AX221" s="34">
        <f>AF221+AM221+AT221</f>
        <v/>
      </c>
      <c r="AY221" s="34">
        <f>AB221+AI221+AP221</f>
        <v/>
      </c>
      <c r="AZ221" s="34" t="n">
        <v>0</v>
      </c>
      <c r="BA221" s="34">
        <f>AD221+AK221+AR221</f>
        <v/>
      </c>
      <c r="BB221" s="34">
        <f>MAX(F221:G221,750)*0.05*BA221</f>
        <v/>
      </c>
      <c r="BC221" s="34">
        <f>AG221+AN221+AU221</f>
        <v/>
      </c>
      <c r="BD221" s="34">
        <f>MAX(F221:G221,750)*0.05*BC221</f>
        <v/>
      </c>
      <c r="BE221" s="34">
        <f>F221*AY221</f>
        <v/>
      </c>
      <c r="BF221" s="34">
        <f>K221-M221</f>
        <v/>
      </c>
      <c r="BG221" s="34">
        <f>P221-S221</f>
        <v/>
      </c>
      <c r="BH221" s="34">
        <f>W221-AA221</f>
        <v/>
      </c>
      <c r="BI221" s="34">
        <f>BF221+BG221+BL221-BN221</f>
        <v/>
      </c>
      <c r="BJ221" s="34">
        <f>ABS(BK221)</f>
        <v/>
      </c>
      <c r="BK221" s="34">
        <f>AY221-(J221-L221+N221-Q221)</f>
        <v/>
      </c>
      <c r="BL221" s="34">
        <f>IF(AND(BK221&gt;0,MIN($F221:$G221)&lt;150,$E221="Enerji Açığı"),-100*BK221*1.03,IF(AND(BK221&gt;0,MIN($F221:$G221)&lt;150,$E221="Enerji Fazlası"),-100*BK221*1.06,IF(AND(BK221&gt;0,MIN($F221:$G221)&gt;=150,$E221="Enerji Açığı"),BK221*MIN($F221:$G221)*0.97,IF(AND(BK221&gt;0,MIN($F221:$G221)&gt;=150,$E221="Enerji Fazlası"),BK221*MIN($F221:$G221)*0.94,IF(AND(BK221&lt;0,MAX($F221:$G221)=4500,$E221="Enerji Açığı"),4500*1.05*1.06*BK221,IF(AND(BK221&lt;0,MAX($F221:$G221)=4500,$E221="Enerji Fazlası"),4500*1.05*1.03*BK221,IF(AND(BK221&lt;0,$E221="Enerji Açığı"),MAX($F221,$G221,150)*BK221*1.06,IF(AND(BK221&lt;0,$E221="Enerji Fazlası"),MAX($F221,$G221,150)*BK221*1.03,IF(AND(BK221&lt;0,$E221="Dengede"),MAX($F221:$G221,150)*1.03*BK221,MIN($F221:$G221)*0.97*BK221)))))))))</f>
        <v/>
      </c>
      <c r="BM221" s="34">
        <f>BE221-BI221-BN221</f>
        <v/>
      </c>
      <c r="BN221" s="34">
        <f>BB221</f>
        <v/>
      </c>
      <c r="BO221" s="34">
        <f>BE221-BI221</f>
        <v/>
      </c>
      <c r="BP221" s="34">
        <f>IF(AY221=0,0,BO221/AY221)</f>
        <v/>
      </c>
      <c r="BQ221" s="34">
        <f>MAX((AY221+MAX((-J221+L221-N221+Q221),0)),(MAX((J221-L221+N221-Q221),0)))</f>
        <v/>
      </c>
      <c r="BR221" s="82">
        <f>IFERROR(ABS(BK221/BQ221),0)</f>
        <v/>
      </c>
      <c r="BS221" s="34">
        <f>IF(BR221&lt;=0.1,0,BK221/BR221*(BR221-0.1))</f>
        <v/>
      </c>
      <c r="BT221" s="34">
        <f>IF((BS221)&lt;0,MAX(F221:G221)*(BS221)*1.03,MIN(F221:G221)*(BS221)*0.97)</f>
        <v/>
      </c>
      <c r="BU221" s="34">
        <f>IF(BR221&gt;0.1,1,0)</f>
        <v/>
      </c>
      <c r="BV221" s="34">
        <f>BF221+BG221+BH221+BY221-CA221</f>
        <v/>
      </c>
      <c r="BW221" s="34">
        <f>ABS(BX221)</f>
        <v/>
      </c>
      <c r="BX221" s="34">
        <f>AY221-(J221-L221+N221-Q221+T221-X221)</f>
        <v/>
      </c>
      <c r="BY221" s="34">
        <f>IF(AND(BX221&gt;0,MIN($F221:$G221)&lt;150,$E221="Enerji Açığı"),-100*BX221*1.03,IF(AND(BX221&gt;0,MIN($F221:$G221)&lt;150,$E221="Enerji Fazlası"),-100*BX221*1.06,IF(AND(BX221&gt;0,MIN($F221:$G221)&gt;=150,$E221="Enerji Açığı"),BX221*MIN($F221:$G221)*0.97,IF(AND(BX221&gt;0,MIN($F221:$G221)&gt;=150,$E221="Enerji Fazlası"),BX221*MIN($F221:$G221)*0.94,IF(AND(BX221&lt;0,MAX($F221:$G221)=4500,$E221="Enerji Açığı"),4500*1.05*1.06*BX221,IF(AND(BX221&lt;0,MAX($F221:$G221)=4500,$E221="Enerji Fazlası"),4500*1.05*1.03*BX221,IF(AND(BX221&lt;0,$E221="Enerji Açığı"),MAX($F221,$G221,150)*BX221*1.06,IF(AND(BX221&lt;0,$E221="Enerji Fazlası"),MAX($F221,$G221,150)*BX221*1.03,IF(AND(BX221&lt;0,$E221="Dengede"),MAX($F221:$G221,150)*1.03*BX221,MIN($F221:$G221)*0.97*BX221)))))))))</f>
        <v/>
      </c>
      <c r="BZ221" s="34">
        <f>BE221-BV221-CA221</f>
        <v/>
      </c>
      <c r="CA221" s="34">
        <f>BD221</f>
        <v/>
      </c>
      <c r="CB221" s="33">
        <f>BE221-BV221</f>
        <v/>
      </c>
      <c r="CC221" s="34">
        <f>IF(AY221=0,0,CB221/AY221)</f>
        <v/>
      </c>
      <c r="CD221" s="34">
        <f>MAX((AY221+MAX((-J221+L221-N221+Q221-T221+X221),0)),(MAX((J221-L221+N221-Q221+T221-X221),0)))</f>
        <v/>
      </c>
      <c r="CE221" s="82">
        <f>IFERROR(ABS(BX221/CD221),0)</f>
        <v/>
      </c>
      <c r="CF221" s="34">
        <f>IF(CE221&lt;=0.1,0,BX221/CE221*(CE221-0.1))</f>
        <v/>
      </c>
      <c r="CG221" s="34">
        <f>IF((CF221)&lt;0,MAX(F221:G221)*(CF221)*1.03,MIN(F221:G221)*(CF221)*0.97)</f>
        <v/>
      </c>
      <c r="CH221" s="34">
        <f>IF(CE221&gt;0.1,1,0)</f>
        <v/>
      </c>
      <c r="CI221" s="34">
        <f>(F221*BX221)-BY221</f>
        <v/>
      </c>
      <c r="CJ221" s="34">
        <f>IF(AY221=0,0,CI221/AY221)</f>
        <v/>
      </c>
    </row>
    <row r="222">
      <c r="A222" s="29" t="n">
        <v>46213.125</v>
      </c>
      <c r="B222" s="29" t="inlineStr">
        <is>
          <t>03:00</t>
        </is>
      </c>
      <c r="C222" s="35">
        <f>INT(A222)</f>
        <v/>
      </c>
      <c r="D222" s="36">
        <f>MONTH(A222)</f>
        <v/>
      </c>
      <c r="E222" s="147" t="inlineStr">
        <is>
          <t>Enerji Fazlası</t>
        </is>
      </c>
      <c r="F222" s="30" t="n">
        <v>3325.01</v>
      </c>
      <c r="G222" s="30" t="n">
        <v>2500</v>
      </c>
      <c r="H222" s="30" t="n">
        <v>71.09</v>
      </c>
      <c r="I222" s="30" t="n">
        <v>2820.67</v>
      </c>
      <c r="J222" s="119" t="n">
        <v>0</v>
      </c>
      <c r="K222" s="34">
        <f>F222*J222</f>
        <v/>
      </c>
      <c r="L222" s="119" t="n">
        <v>0</v>
      </c>
      <c r="M222" s="34">
        <f>L222*F222</f>
        <v/>
      </c>
      <c r="N222" s="119" t="n">
        <v>16</v>
      </c>
      <c r="O222" s="34">
        <f>F222</f>
        <v/>
      </c>
      <c r="P222" s="34">
        <f>N222*O222</f>
        <v/>
      </c>
      <c r="Q222" s="117" t="n">
        <v>0</v>
      </c>
      <c r="R222" s="34">
        <f>F222</f>
        <v/>
      </c>
      <c r="S222" s="34">
        <f>R222*Q222</f>
        <v/>
      </c>
      <c r="T222" s="34" t="n"/>
      <c r="U222" s="34">
        <f>IFERROR(W222/T222,0)</f>
        <v/>
      </c>
      <c r="V222" s="34">
        <f>IF(U222=0,0,U222-F222)</f>
        <v/>
      </c>
      <c r="W222" s="34" t="n"/>
      <c r="X222" s="34" t="n"/>
      <c r="Y222" s="34">
        <f>IFERROR(AA222/X222,0)</f>
        <v/>
      </c>
      <c r="Z222" s="34">
        <f>IF(Y222=0,0,F222-Y222)</f>
        <v/>
      </c>
      <c r="AA222" s="34" t="n"/>
      <c r="AB222" s="34" t="n"/>
      <c r="AC222" s="34" t="n">
        <v>0</v>
      </c>
      <c r="AD222" s="34">
        <f>IF(AB222&gt;AC222*1.05,AB222-AC222*1.05,IF(AB222&lt;AC222*0.95,AC222*0.95-AB222,0))</f>
        <v/>
      </c>
      <c r="AE222" s="34">
        <f>MAX(F222,G222,750)*0.05*AD222</f>
        <v/>
      </c>
      <c r="AF222" s="34" t="n">
        <v>0</v>
      </c>
      <c r="AG222" s="34">
        <f>IF(AB222&gt;AF222*1.05,AB222-AF222*1.05,IF(AB222&lt;AF222*0.95,AF222*0.95-AB222,0))</f>
        <v/>
      </c>
      <c r="AH222" s="34">
        <f>MAX(I222,J222,750)*0.05*AG222</f>
        <v/>
      </c>
      <c r="AJ222" t="n">
        <v>6</v>
      </c>
      <c r="AK222" s="34">
        <f>IF(AI222&gt;AJ222*1.05,AI222-AJ222*1.05,IF(AI222&lt;AJ222*0.95,AJ222*0.95-AI222,0))</f>
        <v/>
      </c>
      <c r="AL222" s="34">
        <f>MAX(F222,G222,750)*0.05*AK222</f>
        <v/>
      </c>
      <c r="AM222" s="39" t="n">
        <v>7</v>
      </c>
      <c r="AN222" s="34">
        <f>IF(AI222&gt;AM222*1.05,AI222-AM222*1.05,IF(AI222&lt;AM222*0.95,AM222*0.95-AI222,0))</f>
        <v/>
      </c>
      <c r="AO222" s="34">
        <f>MAX(F222,G222,750)*0.05*AN222</f>
        <v/>
      </c>
      <c r="AP222" s="34" t="n"/>
      <c r="AQ222" s="34" t="n">
        <v>9</v>
      </c>
      <c r="AR222" s="34">
        <f>IF(AP222&gt;AQ222*1.05,AP222-AQ222*1.05,IF(AP222&lt;AQ222*0.95,AQ222*0.95-AP222,0))</f>
        <v/>
      </c>
      <c r="AS222" s="34">
        <f>MAX(F222:G222,750)*0.05*AR222</f>
        <v/>
      </c>
      <c r="AT222" t="n">
        <v>11</v>
      </c>
      <c r="AU222" s="34">
        <f>IF(AP222&gt;AT222*1.05,AP222-AT222*1.05,IF(AP222&lt;AT222*0.95,AT222*0.95-AP222,0))</f>
        <v/>
      </c>
      <c r="AV222" s="34">
        <f>MAX(F222:G222,750)*0.05*AU222</f>
        <v/>
      </c>
      <c r="AW222" s="34">
        <f>AC222+AJ222+AQ222</f>
        <v/>
      </c>
      <c r="AX222" s="34">
        <f>AF222+AM222+AT222</f>
        <v/>
      </c>
      <c r="AY222" s="34">
        <f>AB222+AI222+AP222</f>
        <v/>
      </c>
      <c r="AZ222" s="34" t="n">
        <v>0</v>
      </c>
      <c r="BA222" s="34">
        <f>AD222+AK222+AR222</f>
        <v/>
      </c>
      <c r="BB222" s="34">
        <f>MAX(F222:G222,750)*0.05*BA222</f>
        <v/>
      </c>
      <c r="BC222" s="34">
        <f>AG222+AN222+AU222</f>
        <v/>
      </c>
      <c r="BD222" s="34">
        <f>MAX(F222:G222,750)*0.05*BC222</f>
        <v/>
      </c>
      <c r="BE222" s="34">
        <f>F222*AY222</f>
        <v/>
      </c>
      <c r="BF222" s="34">
        <f>K222-M222</f>
        <v/>
      </c>
      <c r="BG222" s="34">
        <f>P222-S222</f>
        <v/>
      </c>
      <c r="BH222" s="34">
        <f>W222-AA222</f>
        <v/>
      </c>
      <c r="BI222" s="34">
        <f>BF222+BG222+BL222-BN222</f>
        <v/>
      </c>
      <c r="BJ222" s="34">
        <f>ABS(BK222)</f>
        <v/>
      </c>
      <c r="BK222" s="34">
        <f>AY222-(J222-L222+N222-Q222)</f>
        <v/>
      </c>
      <c r="BL222" s="34">
        <f>IF(AND(BK222&gt;0,MIN($F222:$G222)&lt;150,$E222="Enerji Açığı"),-100*BK222*1.03,IF(AND(BK222&gt;0,MIN($F222:$G222)&lt;150,$E222="Enerji Fazlası"),-100*BK222*1.06,IF(AND(BK222&gt;0,MIN($F222:$G222)&gt;=150,$E222="Enerji Açığı"),BK222*MIN($F222:$G222)*0.97,IF(AND(BK222&gt;0,MIN($F222:$G222)&gt;=150,$E222="Enerji Fazlası"),BK222*MIN($F222:$G222)*0.94,IF(AND(BK222&lt;0,MAX($F222:$G222)=4500,$E222="Enerji Açığı"),4500*1.05*1.06*BK222,IF(AND(BK222&lt;0,MAX($F222:$G222)=4500,$E222="Enerji Fazlası"),4500*1.05*1.03*BK222,IF(AND(BK222&lt;0,$E222="Enerji Açığı"),MAX($F222,$G222,150)*BK222*1.06,IF(AND(BK222&lt;0,$E222="Enerji Fazlası"),MAX($F222,$G222,150)*BK222*1.03,IF(AND(BK222&lt;0,$E222="Dengede"),MAX($F222:$G222,150)*1.03*BK222,MIN($F222:$G222)*0.97*BK222)))))))))</f>
        <v/>
      </c>
      <c r="BM222" s="34">
        <f>BE222-BI222-BN222</f>
        <v/>
      </c>
      <c r="BN222" s="34">
        <f>BB222</f>
        <v/>
      </c>
      <c r="BO222" s="34">
        <f>BE222-BI222</f>
        <v/>
      </c>
      <c r="BP222" s="34">
        <f>IF(AY222=0,0,BO222/AY222)</f>
        <v/>
      </c>
      <c r="BQ222" s="34">
        <f>MAX((AY222+MAX((-J222+L222-N222+Q222),0)),(MAX((J222-L222+N222-Q222),0)))</f>
        <v/>
      </c>
      <c r="BR222" s="82">
        <f>IFERROR(ABS(BK222/BQ222),0)</f>
        <v/>
      </c>
      <c r="BS222" s="34">
        <f>IF(BR222&lt;=0.1,0,BK222/BR222*(BR222-0.1))</f>
        <v/>
      </c>
      <c r="BT222" s="34">
        <f>IF((BS222)&lt;0,MAX(F222:G222)*(BS222)*1.03,MIN(F222:G222)*(BS222)*0.97)</f>
        <v/>
      </c>
      <c r="BU222" s="34">
        <f>IF(BR222&gt;0.1,1,0)</f>
        <v/>
      </c>
      <c r="BV222" s="34">
        <f>BF222+BG222+BH222+BY222-CA222</f>
        <v/>
      </c>
      <c r="BW222" s="34">
        <f>ABS(BX222)</f>
        <v/>
      </c>
      <c r="BX222" s="34">
        <f>AY222-(J222-L222+N222-Q222+T222-X222)</f>
        <v/>
      </c>
      <c r="BY222" s="34">
        <f>IF(AND(BX222&gt;0,MIN($F222:$G222)&lt;150,$E222="Enerji Açığı"),-100*BX222*1.03,IF(AND(BX222&gt;0,MIN($F222:$G222)&lt;150,$E222="Enerji Fazlası"),-100*BX222*1.06,IF(AND(BX222&gt;0,MIN($F222:$G222)&gt;=150,$E222="Enerji Açığı"),BX222*MIN($F222:$G222)*0.97,IF(AND(BX222&gt;0,MIN($F222:$G222)&gt;=150,$E222="Enerji Fazlası"),BX222*MIN($F222:$G222)*0.94,IF(AND(BX222&lt;0,MAX($F222:$G222)=4500,$E222="Enerji Açığı"),4500*1.05*1.06*BX222,IF(AND(BX222&lt;0,MAX($F222:$G222)=4500,$E222="Enerji Fazlası"),4500*1.05*1.03*BX222,IF(AND(BX222&lt;0,$E222="Enerji Açığı"),MAX($F222,$G222,150)*BX222*1.06,IF(AND(BX222&lt;0,$E222="Enerji Fazlası"),MAX($F222,$G222,150)*BX222*1.03,IF(AND(BX222&lt;0,$E222="Dengede"),MAX($F222:$G222,150)*1.03*BX222,MIN($F222:$G222)*0.97*BX222)))))))))</f>
        <v/>
      </c>
      <c r="BZ222" s="34">
        <f>BE222-BV222-CA222</f>
        <v/>
      </c>
      <c r="CA222" s="34">
        <f>BD222</f>
        <v/>
      </c>
      <c r="CB222" s="33">
        <f>BE222-BV222</f>
        <v/>
      </c>
      <c r="CC222" s="34">
        <f>IF(AY222=0,0,CB222/AY222)</f>
        <v/>
      </c>
      <c r="CD222" s="34">
        <f>MAX((AY222+MAX((-J222+L222-N222+Q222-T222+X222),0)),(MAX((J222-L222+N222-Q222+T222-X222),0)))</f>
        <v/>
      </c>
      <c r="CE222" s="82">
        <f>IFERROR(ABS(BX222/CD222),0)</f>
        <v/>
      </c>
      <c r="CF222" s="34">
        <f>IF(CE222&lt;=0.1,0,BX222/CE222*(CE222-0.1))</f>
        <v/>
      </c>
      <c r="CG222" s="34">
        <f>IF((CF222)&lt;0,MAX(F222:G222)*(CF222)*1.03,MIN(F222:G222)*(CF222)*0.97)</f>
        <v/>
      </c>
      <c r="CH222" s="34">
        <f>IF(CE222&gt;0.1,1,0)</f>
        <v/>
      </c>
      <c r="CI222" s="34">
        <f>(F222*BX222)-BY222</f>
        <v/>
      </c>
      <c r="CJ222" s="34">
        <f>IF(AY222=0,0,CI222/AY222)</f>
        <v/>
      </c>
    </row>
    <row r="223">
      <c r="A223" s="29" t="n">
        <v>46213.16666666666</v>
      </c>
      <c r="B223" s="29" t="inlineStr">
        <is>
          <t>04:00</t>
        </is>
      </c>
      <c r="C223" s="35">
        <f>INT(A223)</f>
        <v/>
      </c>
      <c r="D223" s="36">
        <f>MONTH(A223)</f>
        <v/>
      </c>
      <c r="E223" s="147" t="inlineStr">
        <is>
          <t>Enerji Fazlası</t>
        </is>
      </c>
      <c r="F223" s="30" t="n">
        <v>4100.01</v>
      </c>
      <c r="G223" s="30" t="n">
        <v>2501</v>
      </c>
      <c r="H223" s="30" t="n">
        <v>87.66</v>
      </c>
      <c r="I223" s="30" t="n">
        <v>3485.41</v>
      </c>
      <c r="J223" s="119" t="n">
        <v>0</v>
      </c>
      <c r="K223" s="34">
        <f>F223*J223</f>
        <v/>
      </c>
      <c r="L223" s="119" t="n">
        <v>0</v>
      </c>
      <c r="M223" s="34">
        <f>L223*F223</f>
        <v/>
      </c>
      <c r="N223" s="119" t="n">
        <v>16</v>
      </c>
      <c r="O223" s="34">
        <f>F223</f>
        <v/>
      </c>
      <c r="P223" s="34">
        <f>N223*O223</f>
        <v/>
      </c>
      <c r="Q223" s="117" t="n">
        <v>0</v>
      </c>
      <c r="R223" s="34">
        <f>F223</f>
        <v/>
      </c>
      <c r="S223" s="34">
        <f>R223*Q223</f>
        <v/>
      </c>
      <c r="T223" s="34" t="n"/>
      <c r="U223" s="34">
        <f>IFERROR(W223/T223,0)</f>
        <v/>
      </c>
      <c r="V223" s="34">
        <f>IF(U223=0,0,U223-F223)</f>
        <v/>
      </c>
      <c r="W223" s="34" t="n"/>
      <c r="X223" s="34" t="n"/>
      <c r="Y223" s="34">
        <f>IFERROR(AA223/X223,0)</f>
        <v/>
      </c>
      <c r="Z223" s="34">
        <f>IF(Y223=0,0,F223-Y223)</f>
        <v/>
      </c>
      <c r="AA223" s="34" t="n"/>
      <c r="AB223" s="34" t="n"/>
      <c r="AC223" s="34" t="n">
        <v>0</v>
      </c>
      <c r="AD223" s="34">
        <f>IF(AB223&gt;AC223*1.05,AB223-AC223*1.05,IF(AB223&lt;AC223*0.95,AC223*0.95-AB223,0))</f>
        <v/>
      </c>
      <c r="AE223" s="34">
        <f>MAX(F223,G223,750)*0.05*AD223</f>
        <v/>
      </c>
      <c r="AF223" s="34" t="n">
        <v>0</v>
      </c>
      <c r="AG223" s="34">
        <f>IF(AB223&gt;AF223*1.05,AB223-AF223*1.05,IF(AB223&lt;AF223*0.95,AF223*0.95-AB223,0))</f>
        <v/>
      </c>
      <c r="AH223" s="34">
        <f>MAX(I223,J223,750)*0.05*AG223</f>
        <v/>
      </c>
      <c r="AJ223" t="n">
        <v>8</v>
      </c>
      <c r="AK223" s="34">
        <f>IF(AI223&gt;AJ223*1.05,AI223-AJ223*1.05,IF(AI223&lt;AJ223*0.95,AJ223*0.95-AI223,0))</f>
        <v/>
      </c>
      <c r="AL223" s="34">
        <f>MAX(F223,G223,750)*0.05*AK223</f>
        <v/>
      </c>
      <c r="AM223" s="39" t="n">
        <v>8</v>
      </c>
      <c r="AN223" s="34">
        <f>IF(AI223&gt;AM223*1.05,AI223-AM223*1.05,IF(AI223&lt;AM223*0.95,AM223*0.95-AI223,0))</f>
        <v/>
      </c>
      <c r="AO223" s="34">
        <f>MAX(F223,G223,750)*0.05*AN223</f>
        <v/>
      </c>
      <c r="AP223" s="34" t="n"/>
      <c r="AQ223" s="34" t="n">
        <v>11</v>
      </c>
      <c r="AR223" s="34">
        <f>IF(AP223&gt;AQ223*1.05,AP223-AQ223*1.05,IF(AP223&lt;AQ223*0.95,AQ223*0.95-AP223,0))</f>
        <v/>
      </c>
      <c r="AS223" s="34">
        <f>MAX(F223:G223,750)*0.05*AR223</f>
        <v/>
      </c>
      <c r="AT223" t="n">
        <v>11</v>
      </c>
      <c r="AU223" s="34">
        <f>IF(AP223&gt;AT223*1.05,AP223-AT223*1.05,IF(AP223&lt;AT223*0.95,AT223*0.95-AP223,0))</f>
        <v/>
      </c>
      <c r="AV223" s="34">
        <f>MAX(F223:G223,750)*0.05*AU223</f>
        <v/>
      </c>
      <c r="AW223" s="34">
        <f>AC223+AJ223+AQ223</f>
        <v/>
      </c>
      <c r="AX223" s="34">
        <f>AF223+AM223+AT223</f>
        <v/>
      </c>
      <c r="AY223" s="34">
        <f>AB223+AI223+AP223</f>
        <v/>
      </c>
      <c r="AZ223" s="34" t="n">
        <v>0</v>
      </c>
      <c r="BA223" s="34">
        <f>AD223+AK223+AR223</f>
        <v/>
      </c>
      <c r="BB223" s="34">
        <f>MAX(F223:G223,750)*0.05*BA223</f>
        <v/>
      </c>
      <c r="BC223" s="34">
        <f>AG223+AN223+AU223</f>
        <v/>
      </c>
      <c r="BD223" s="34">
        <f>MAX(F223:G223,750)*0.05*BC223</f>
        <v/>
      </c>
      <c r="BE223" s="34">
        <f>F223*AY223</f>
        <v/>
      </c>
      <c r="BF223" s="34">
        <f>K223-M223</f>
        <v/>
      </c>
      <c r="BG223" s="34">
        <f>P223-S223</f>
        <v/>
      </c>
      <c r="BH223" s="34">
        <f>W223-AA223</f>
        <v/>
      </c>
      <c r="BI223" s="34">
        <f>BF223+BG223+BL223-BN223</f>
        <v/>
      </c>
      <c r="BJ223" s="34">
        <f>ABS(BK223)</f>
        <v/>
      </c>
      <c r="BK223" s="34">
        <f>AY223-(J223-L223+N223-Q223)</f>
        <v/>
      </c>
      <c r="BL223" s="34">
        <f>IF(AND(BK223&gt;0,MIN($F223:$G223)&lt;150,$E223="Enerji Açığı"),-100*BK223*1.03,IF(AND(BK223&gt;0,MIN($F223:$G223)&lt;150,$E223="Enerji Fazlası"),-100*BK223*1.06,IF(AND(BK223&gt;0,MIN($F223:$G223)&gt;=150,$E223="Enerji Açığı"),BK223*MIN($F223:$G223)*0.97,IF(AND(BK223&gt;0,MIN($F223:$G223)&gt;=150,$E223="Enerji Fazlası"),BK223*MIN($F223:$G223)*0.94,IF(AND(BK223&lt;0,MAX($F223:$G223)=4500,$E223="Enerji Açığı"),4500*1.05*1.06*BK223,IF(AND(BK223&lt;0,MAX($F223:$G223)=4500,$E223="Enerji Fazlası"),4500*1.05*1.03*BK223,IF(AND(BK223&lt;0,$E223="Enerji Açığı"),MAX($F223,$G223,150)*BK223*1.06,IF(AND(BK223&lt;0,$E223="Enerji Fazlası"),MAX($F223,$G223,150)*BK223*1.03,IF(AND(BK223&lt;0,$E223="Dengede"),MAX($F223:$G223,150)*1.03*BK223,MIN($F223:$G223)*0.97*BK223)))))))))</f>
        <v/>
      </c>
      <c r="BM223" s="34">
        <f>BE223-BI223-BN223</f>
        <v/>
      </c>
      <c r="BN223" s="34">
        <f>BB223</f>
        <v/>
      </c>
      <c r="BO223" s="34">
        <f>BE223-BI223</f>
        <v/>
      </c>
      <c r="BP223" s="34">
        <f>IF(AY223=0,0,BO223/AY223)</f>
        <v/>
      </c>
      <c r="BQ223" s="34">
        <f>MAX((AY223+MAX((-J223+L223-N223+Q223),0)),(MAX((J223-L223+N223-Q223),0)))</f>
        <v/>
      </c>
      <c r="BR223" s="82">
        <f>IFERROR(ABS(BK223/BQ223),0)</f>
        <v/>
      </c>
      <c r="BS223" s="34">
        <f>IF(BR223&lt;=0.1,0,BK223/BR223*(BR223-0.1))</f>
        <v/>
      </c>
      <c r="BT223" s="34">
        <f>IF((BS223)&lt;0,MAX(F223:G223)*(BS223)*1.03,MIN(F223:G223)*(BS223)*0.97)</f>
        <v/>
      </c>
      <c r="BU223" s="34">
        <f>IF(BR223&gt;0.1,1,0)</f>
        <v/>
      </c>
      <c r="BV223" s="34">
        <f>BF223+BG223+BH223+BY223-CA223</f>
        <v/>
      </c>
      <c r="BW223" s="34">
        <f>ABS(BX223)</f>
        <v/>
      </c>
      <c r="BX223" s="34">
        <f>AY223-(J223-L223+N223-Q223+T223-X223)</f>
        <v/>
      </c>
      <c r="BY223" s="34">
        <f>IF(AND(BX223&gt;0,MIN($F223:$G223)&lt;150,$E223="Enerji Açığı"),-100*BX223*1.03,IF(AND(BX223&gt;0,MIN($F223:$G223)&lt;150,$E223="Enerji Fazlası"),-100*BX223*1.06,IF(AND(BX223&gt;0,MIN($F223:$G223)&gt;=150,$E223="Enerji Açığı"),BX223*MIN($F223:$G223)*0.97,IF(AND(BX223&gt;0,MIN($F223:$G223)&gt;=150,$E223="Enerji Fazlası"),BX223*MIN($F223:$G223)*0.94,IF(AND(BX223&lt;0,MAX($F223:$G223)=4500,$E223="Enerji Açığı"),4500*1.05*1.06*BX223,IF(AND(BX223&lt;0,MAX($F223:$G223)=4500,$E223="Enerji Fazlası"),4500*1.05*1.03*BX223,IF(AND(BX223&lt;0,$E223="Enerji Açığı"),MAX($F223,$G223,150)*BX223*1.06,IF(AND(BX223&lt;0,$E223="Enerji Fazlası"),MAX($F223,$G223,150)*BX223*1.03,IF(AND(BX223&lt;0,$E223="Dengede"),MAX($F223:$G223,150)*1.03*BX223,MIN($F223:$G223)*0.97*BX223)))))))))</f>
        <v/>
      </c>
      <c r="BZ223" s="34">
        <f>BE223-BV223-CA223</f>
        <v/>
      </c>
      <c r="CA223" s="34">
        <f>BD223</f>
        <v/>
      </c>
      <c r="CB223" s="33">
        <f>BE223-BV223</f>
        <v/>
      </c>
      <c r="CC223" s="34">
        <f>IF(AY223=0,0,CB223/AY223)</f>
        <v/>
      </c>
      <c r="CD223" s="34">
        <f>MAX((AY223+MAX((-J223+L223-N223+Q223-T223+X223),0)),(MAX((J223-L223+N223-Q223+T223-X223),0)))</f>
        <v/>
      </c>
      <c r="CE223" s="82">
        <f>IFERROR(ABS(BX223/CD223),0)</f>
        <v/>
      </c>
      <c r="CF223" s="34">
        <f>IF(CE223&lt;=0.1,0,BX223/CE223*(CE223-0.1))</f>
        <v/>
      </c>
      <c r="CG223" s="34">
        <f>IF((CF223)&lt;0,MAX(F223:G223)*(CF223)*1.03,MIN(F223:G223)*(CF223)*0.97)</f>
        <v/>
      </c>
      <c r="CH223" s="34">
        <f>IF(CE223&gt;0.1,1,0)</f>
        <v/>
      </c>
      <c r="CI223" s="34">
        <f>(F223*BX223)-BY223</f>
        <v/>
      </c>
      <c r="CJ223" s="34">
        <f>IF(AY223=0,0,CI223/AY223)</f>
        <v/>
      </c>
    </row>
    <row r="224">
      <c r="A224" s="29" t="n">
        <v>46213.20833333334</v>
      </c>
      <c r="B224" s="29" t="inlineStr">
        <is>
          <t>05:00</t>
        </is>
      </c>
      <c r="C224" s="35">
        <f>INT(A224)</f>
        <v/>
      </c>
      <c r="D224" s="36">
        <f>MONTH(A224)</f>
        <v/>
      </c>
      <c r="E224" s="147" t="inlineStr">
        <is>
          <t>Enerji Fazlası</t>
        </is>
      </c>
      <c r="F224" s="30" t="n">
        <v>3553.5</v>
      </c>
      <c r="G224" s="30" t="n">
        <v>3405</v>
      </c>
      <c r="H224" s="30" t="n">
        <v>75.98</v>
      </c>
      <c r="I224" s="30" t="n">
        <v>2697.62</v>
      </c>
      <c r="J224" s="119" t="n">
        <v>0</v>
      </c>
      <c r="K224" s="34">
        <f>F224*J224</f>
        <v/>
      </c>
      <c r="L224" s="119" t="n">
        <v>0</v>
      </c>
      <c r="M224" s="34">
        <f>L224*F224</f>
        <v/>
      </c>
      <c r="N224" s="119" t="n">
        <v>16</v>
      </c>
      <c r="O224" s="34">
        <f>F224</f>
        <v/>
      </c>
      <c r="P224" s="34">
        <f>N224*O224</f>
        <v/>
      </c>
      <c r="Q224" s="117" t="n">
        <v>0</v>
      </c>
      <c r="R224" s="34">
        <f>F224</f>
        <v/>
      </c>
      <c r="S224" s="34">
        <f>R224*Q224</f>
        <v/>
      </c>
      <c r="T224" s="34" t="n"/>
      <c r="U224" s="34">
        <f>IFERROR(W224/T224,0)</f>
        <v/>
      </c>
      <c r="V224" s="34">
        <f>IF(U224=0,0,U224-F224)</f>
        <v/>
      </c>
      <c r="W224" s="34" t="n"/>
      <c r="X224" s="34" t="n"/>
      <c r="Y224" s="34">
        <f>IFERROR(AA224/X224,0)</f>
        <v/>
      </c>
      <c r="Z224" s="34">
        <f>IF(Y224=0,0,F224-Y224)</f>
        <v/>
      </c>
      <c r="AA224" s="34" t="n"/>
      <c r="AB224" s="34" t="n"/>
      <c r="AC224" s="34" t="n">
        <v>0</v>
      </c>
      <c r="AD224" s="34">
        <f>IF(AB224&gt;AC224*1.05,AB224-AC224*1.05,IF(AB224&lt;AC224*0.95,AC224*0.95-AB224,0))</f>
        <v/>
      </c>
      <c r="AE224" s="34">
        <f>MAX(F224,G224,750)*0.05*AD224</f>
        <v/>
      </c>
      <c r="AF224" s="34" t="n">
        <v>0</v>
      </c>
      <c r="AG224" s="34">
        <f>IF(AB224&gt;AF224*1.05,AB224-AF224*1.05,IF(AB224&lt;AF224*0.95,AF224*0.95-AB224,0))</f>
        <v/>
      </c>
      <c r="AH224" s="34">
        <f>MAX(I224,J224,750)*0.05*AG224</f>
        <v/>
      </c>
      <c r="AJ224" t="n">
        <v>8</v>
      </c>
      <c r="AK224" s="34">
        <f>IF(AI224&gt;AJ224*1.05,AI224-AJ224*1.05,IF(AI224&lt;AJ224*0.95,AJ224*0.95-AI224,0))</f>
        <v/>
      </c>
      <c r="AL224" s="34">
        <f>MAX(F224,G224,750)*0.05*AK224</f>
        <v/>
      </c>
      <c r="AM224" s="39" t="n">
        <v>8</v>
      </c>
      <c r="AN224" s="34">
        <f>IF(AI224&gt;AM224*1.05,AI224-AM224*1.05,IF(AI224&lt;AM224*0.95,AM224*0.95-AI224,0))</f>
        <v/>
      </c>
      <c r="AO224" s="34">
        <f>MAX(F224,G224,750)*0.05*AN224</f>
        <v/>
      </c>
      <c r="AP224" s="34" t="n"/>
      <c r="AQ224" s="34" t="n">
        <v>11</v>
      </c>
      <c r="AR224" s="34">
        <f>IF(AP224&gt;AQ224*1.05,AP224-AQ224*1.05,IF(AP224&lt;AQ224*0.95,AQ224*0.95-AP224,0))</f>
        <v/>
      </c>
      <c r="AS224" s="34">
        <f>MAX(F224:G224,750)*0.05*AR224</f>
        <v/>
      </c>
      <c r="AT224" t="n">
        <v>12</v>
      </c>
      <c r="AU224" s="34">
        <f>IF(AP224&gt;AT224*1.05,AP224-AT224*1.05,IF(AP224&lt;AT224*0.95,AT224*0.95-AP224,0))</f>
        <v/>
      </c>
      <c r="AV224" s="34">
        <f>MAX(F224:G224,750)*0.05*AU224</f>
        <v/>
      </c>
      <c r="AW224" s="34">
        <f>AC224+AJ224+AQ224</f>
        <v/>
      </c>
      <c r="AX224" s="34">
        <f>AF224+AM224+AT224</f>
        <v/>
      </c>
      <c r="AY224" s="34">
        <f>AB224+AI224+AP224</f>
        <v/>
      </c>
      <c r="AZ224" s="34" t="n">
        <v>0</v>
      </c>
      <c r="BA224" s="34">
        <f>AD224+AK224+AR224</f>
        <v/>
      </c>
      <c r="BB224" s="34">
        <f>MAX(F224:G224,750)*0.05*BA224</f>
        <v/>
      </c>
      <c r="BC224" s="34">
        <f>AG224+AN224+AU224</f>
        <v/>
      </c>
      <c r="BD224" s="34">
        <f>MAX(F224:G224,750)*0.05*BC224</f>
        <v/>
      </c>
      <c r="BE224" s="34">
        <f>F224*AY224</f>
        <v/>
      </c>
      <c r="BF224" s="34">
        <f>K224-M224</f>
        <v/>
      </c>
      <c r="BG224" s="34">
        <f>P224-S224</f>
        <v/>
      </c>
      <c r="BH224" s="34">
        <f>W224-AA224</f>
        <v/>
      </c>
      <c r="BI224" s="34">
        <f>BF224+BG224+BL224-BN224</f>
        <v/>
      </c>
      <c r="BJ224" s="34">
        <f>ABS(BK224)</f>
        <v/>
      </c>
      <c r="BK224" s="34">
        <f>AY224-(J224-L224+N224-Q224)</f>
        <v/>
      </c>
      <c r="BL224" s="34">
        <f>IF(AND(BK224&gt;0,MIN($F224:$G224)&lt;150,$E224="Enerji Açığı"),-100*BK224*1.03,IF(AND(BK224&gt;0,MIN($F224:$G224)&lt;150,$E224="Enerji Fazlası"),-100*BK224*1.06,IF(AND(BK224&gt;0,MIN($F224:$G224)&gt;=150,$E224="Enerji Açığı"),BK224*MIN($F224:$G224)*0.97,IF(AND(BK224&gt;0,MIN($F224:$G224)&gt;=150,$E224="Enerji Fazlası"),BK224*MIN($F224:$G224)*0.94,IF(AND(BK224&lt;0,MAX($F224:$G224)=4500,$E224="Enerji Açığı"),4500*1.05*1.06*BK224,IF(AND(BK224&lt;0,MAX($F224:$G224)=4500,$E224="Enerji Fazlası"),4500*1.05*1.03*BK224,IF(AND(BK224&lt;0,$E224="Enerji Açığı"),MAX($F224,$G224,150)*BK224*1.06,IF(AND(BK224&lt;0,$E224="Enerji Fazlası"),MAX($F224,$G224,150)*BK224*1.03,IF(AND(BK224&lt;0,$E224="Dengede"),MAX($F224:$G224,150)*1.03*BK224,MIN($F224:$G224)*0.97*BK224)))))))))</f>
        <v/>
      </c>
      <c r="BM224" s="34">
        <f>BE224-BI224-BN224</f>
        <v/>
      </c>
      <c r="BN224" s="34">
        <f>BB224</f>
        <v/>
      </c>
      <c r="BO224" s="34">
        <f>BE224-BI224</f>
        <v/>
      </c>
      <c r="BP224" s="34">
        <f>IF(AY224=0,0,BO224/AY224)</f>
        <v/>
      </c>
      <c r="BQ224" s="34">
        <f>MAX((AY224+MAX((-J224+L224-N224+Q224),0)),(MAX((J224-L224+N224-Q224),0)))</f>
        <v/>
      </c>
      <c r="BR224" s="82">
        <f>IFERROR(ABS(BK224/BQ224),0)</f>
        <v/>
      </c>
      <c r="BS224" s="34">
        <f>IF(BR224&lt;=0.1,0,BK224/BR224*(BR224-0.1))</f>
        <v/>
      </c>
      <c r="BT224" s="34">
        <f>IF((BS224)&lt;0,MAX(F224:G224)*(BS224)*1.03,MIN(F224:G224)*(BS224)*0.97)</f>
        <v/>
      </c>
      <c r="BU224" s="34">
        <f>IF(BR224&gt;0.1,1,0)</f>
        <v/>
      </c>
      <c r="BV224" s="34">
        <f>BF224+BG224+BH224+BY224-CA224</f>
        <v/>
      </c>
      <c r="BW224" s="34">
        <f>ABS(BX224)</f>
        <v/>
      </c>
      <c r="BX224" s="34">
        <f>AY224-(J224-L224+N224-Q224+T224-X224)</f>
        <v/>
      </c>
      <c r="BY224" s="34">
        <f>IF(AND(BX224&gt;0,MIN($F224:$G224)&lt;150,$E224="Enerji Açığı"),-100*BX224*1.03,IF(AND(BX224&gt;0,MIN($F224:$G224)&lt;150,$E224="Enerji Fazlası"),-100*BX224*1.06,IF(AND(BX224&gt;0,MIN($F224:$G224)&gt;=150,$E224="Enerji Açığı"),BX224*MIN($F224:$G224)*0.97,IF(AND(BX224&gt;0,MIN($F224:$G224)&gt;=150,$E224="Enerji Fazlası"),BX224*MIN($F224:$G224)*0.94,IF(AND(BX224&lt;0,MAX($F224:$G224)=4500,$E224="Enerji Açığı"),4500*1.05*1.06*BX224,IF(AND(BX224&lt;0,MAX($F224:$G224)=4500,$E224="Enerji Fazlası"),4500*1.05*1.03*BX224,IF(AND(BX224&lt;0,$E224="Enerji Açığı"),MAX($F224,$G224,150)*BX224*1.06,IF(AND(BX224&lt;0,$E224="Enerji Fazlası"),MAX($F224,$G224,150)*BX224*1.03,IF(AND(BX224&lt;0,$E224="Dengede"),MAX($F224:$G224,150)*1.03*BX224,MIN($F224:$G224)*0.97*BX224)))))))))</f>
        <v/>
      </c>
      <c r="BZ224" s="34">
        <f>BE224-BV224-CA224</f>
        <v/>
      </c>
      <c r="CA224" s="34">
        <f>BD224</f>
        <v/>
      </c>
      <c r="CB224" s="33">
        <f>BE224-BV224</f>
        <v/>
      </c>
      <c r="CC224" s="34">
        <f>IF(AY224=0,0,CB224/AY224)</f>
        <v/>
      </c>
      <c r="CD224" s="34">
        <f>MAX((AY224+MAX((-J224+L224-N224+Q224-T224+X224),0)),(MAX((J224-L224+N224-Q224+T224-X224),0)))</f>
        <v/>
      </c>
      <c r="CE224" s="82">
        <f>IFERROR(ABS(BX224/CD224),0)</f>
        <v/>
      </c>
      <c r="CF224" s="34">
        <f>IF(CE224&lt;=0.1,0,BX224/CE224*(CE224-0.1))</f>
        <v/>
      </c>
      <c r="CG224" s="34">
        <f>IF((CF224)&lt;0,MAX(F224:G224)*(CF224)*1.03,MIN(F224:G224)*(CF224)*0.97)</f>
        <v/>
      </c>
      <c r="CH224" s="34">
        <f>IF(CE224&gt;0.1,1,0)</f>
        <v/>
      </c>
      <c r="CI224" s="34">
        <f>(F224*BX224)-BY224</f>
        <v/>
      </c>
      <c r="CJ224" s="34">
        <f>IF(AY224=0,0,CI224/AY224)</f>
        <v/>
      </c>
    </row>
    <row r="225">
      <c r="A225" s="29" t="n">
        <v>46213.25</v>
      </c>
      <c r="B225" s="29" t="inlineStr">
        <is>
          <t>06:00</t>
        </is>
      </c>
      <c r="C225" s="35">
        <f>INT(A225)</f>
        <v/>
      </c>
      <c r="D225" s="36">
        <f>MONTH(A225)</f>
        <v/>
      </c>
      <c r="E225" s="147" t="inlineStr">
        <is>
          <t>Enerji Açığı</t>
        </is>
      </c>
      <c r="F225" s="30" t="n">
        <v>2895.45</v>
      </c>
      <c r="G225" s="30" t="n">
        <v>3200</v>
      </c>
      <c r="H225" s="30" t="n">
        <v>61.91</v>
      </c>
      <c r="I225" s="30" t="n">
        <v>2572.26</v>
      </c>
      <c r="J225" s="119" t="n">
        <v>0</v>
      </c>
      <c r="K225" s="34">
        <f>F225*J225</f>
        <v/>
      </c>
      <c r="L225" s="119" t="n">
        <v>0</v>
      </c>
      <c r="M225" s="34">
        <f>L225*F225</f>
        <v/>
      </c>
      <c r="N225" s="119" t="n">
        <v>16</v>
      </c>
      <c r="O225" s="34">
        <f>F225</f>
        <v/>
      </c>
      <c r="P225" s="34">
        <f>N225*O225</f>
        <v/>
      </c>
      <c r="Q225" s="117" t="n">
        <v>0</v>
      </c>
      <c r="R225" s="34">
        <f>F225</f>
        <v/>
      </c>
      <c r="S225" s="34">
        <f>R225*Q225</f>
        <v/>
      </c>
      <c r="T225" s="34" t="n"/>
      <c r="U225" s="34">
        <f>IFERROR(W225/T225,0)</f>
        <v/>
      </c>
      <c r="V225" s="34">
        <f>IF(U225=0,0,U225-F225)</f>
        <v/>
      </c>
      <c r="W225" s="34" t="n"/>
      <c r="X225" s="34" t="n"/>
      <c r="Y225" s="34">
        <f>IFERROR(AA225/X225,0)</f>
        <v/>
      </c>
      <c r="Z225" s="34">
        <f>IF(Y225=0,0,F225-Y225)</f>
        <v/>
      </c>
      <c r="AA225" s="34" t="n"/>
      <c r="AB225" s="34" t="n"/>
      <c r="AC225" s="34" t="n">
        <v>0</v>
      </c>
      <c r="AD225" s="34">
        <f>IF(AB225&gt;AC225*1.05,AB225-AC225*1.05,IF(AB225&lt;AC225*0.95,AC225*0.95-AB225,0))</f>
        <v/>
      </c>
      <c r="AE225" s="34">
        <f>MAX(F225,G225,750)*0.05*AD225</f>
        <v/>
      </c>
      <c r="AF225" s="34" t="n">
        <v>0</v>
      </c>
      <c r="AG225" s="34">
        <f>IF(AB225&gt;AF225*1.05,AB225-AF225*1.05,IF(AB225&lt;AF225*0.95,AF225*0.95-AB225,0))</f>
        <v/>
      </c>
      <c r="AH225" s="34">
        <f>MAX(I225,J225,750)*0.05*AG225</f>
        <v/>
      </c>
      <c r="AJ225" t="n">
        <v>8</v>
      </c>
      <c r="AK225" s="34">
        <f>IF(AI225&gt;AJ225*1.05,AI225-AJ225*1.05,IF(AI225&lt;AJ225*0.95,AJ225*0.95-AI225,0))</f>
        <v/>
      </c>
      <c r="AL225" s="34">
        <f>MAX(F225,G225,750)*0.05*AK225</f>
        <v/>
      </c>
      <c r="AM225" s="39" t="n">
        <v>9</v>
      </c>
      <c r="AN225" s="34">
        <f>IF(AI225&gt;AM225*1.05,AI225-AM225*1.05,IF(AI225&lt;AM225*0.95,AM225*0.95-AI225,0))</f>
        <v/>
      </c>
      <c r="AO225" s="34">
        <f>MAX(F225,G225,750)*0.05*AN225</f>
        <v/>
      </c>
      <c r="AP225" s="34" t="n"/>
      <c r="AQ225" s="34" t="n">
        <v>11</v>
      </c>
      <c r="AR225" s="34">
        <f>IF(AP225&gt;AQ225*1.05,AP225-AQ225*1.05,IF(AP225&lt;AQ225*0.95,AQ225*0.95-AP225,0))</f>
        <v/>
      </c>
      <c r="AS225" s="34">
        <f>MAX(F225:G225,750)*0.05*AR225</f>
        <v/>
      </c>
      <c r="AT225" t="n">
        <v>12</v>
      </c>
      <c r="AU225" s="34">
        <f>IF(AP225&gt;AT225*1.05,AP225-AT225*1.05,IF(AP225&lt;AT225*0.95,AT225*0.95-AP225,0))</f>
        <v/>
      </c>
      <c r="AV225" s="34">
        <f>MAX(F225:G225,750)*0.05*AU225</f>
        <v/>
      </c>
      <c r="AW225" s="34">
        <f>AC225+AJ225+AQ225</f>
        <v/>
      </c>
      <c r="AX225" s="34">
        <f>AF225+AM225+AT225</f>
        <v/>
      </c>
      <c r="AY225" s="34">
        <f>AB225+AI225+AP225</f>
        <v/>
      </c>
      <c r="AZ225" s="34" t="n">
        <v>0</v>
      </c>
      <c r="BA225" s="34">
        <f>AD225+AK225+AR225</f>
        <v/>
      </c>
      <c r="BB225" s="34">
        <f>MAX(F225:G225,750)*0.05*BA225</f>
        <v/>
      </c>
      <c r="BC225" s="34">
        <f>AG225+AN225+AU225</f>
        <v/>
      </c>
      <c r="BD225" s="34">
        <f>MAX(F225:G225,750)*0.05*BC225</f>
        <v/>
      </c>
      <c r="BE225" s="34">
        <f>F225*AY225</f>
        <v/>
      </c>
      <c r="BF225" s="34">
        <f>K225-M225</f>
        <v/>
      </c>
      <c r="BG225" s="34">
        <f>P225-S225</f>
        <v/>
      </c>
      <c r="BH225" s="34">
        <f>W225-AA225</f>
        <v/>
      </c>
      <c r="BI225" s="34">
        <f>BF225+BG225+BL225-BN225</f>
        <v/>
      </c>
      <c r="BJ225" s="34">
        <f>ABS(BK225)</f>
        <v/>
      </c>
      <c r="BK225" s="34">
        <f>AY225-(J225-L225+N225-Q225)</f>
        <v/>
      </c>
      <c r="BL225" s="34">
        <f>IF(AND(BK225&gt;0,MIN($F225:$G225)&lt;150,$E225="Enerji Açığı"),-100*BK225*1.03,IF(AND(BK225&gt;0,MIN($F225:$G225)&lt;150,$E225="Enerji Fazlası"),-100*BK225*1.06,IF(AND(BK225&gt;0,MIN($F225:$G225)&gt;=150,$E225="Enerji Açığı"),BK225*MIN($F225:$G225)*0.97,IF(AND(BK225&gt;0,MIN($F225:$G225)&gt;=150,$E225="Enerji Fazlası"),BK225*MIN($F225:$G225)*0.94,IF(AND(BK225&lt;0,MAX($F225:$G225)=4500,$E225="Enerji Açığı"),4500*1.05*1.06*BK225,IF(AND(BK225&lt;0,MAX($F225:$G225)=4500,$E225="Enerji Fazlası"),4500*1.05*1.03*BK225,IF(AND(BK225&lt;0,$E225="Enerji Açığı"),MAX($F225,$G225,150)*BK225*1.06,IF(AND(BK225&lt;0,$E225="Enerji Fazlası"),MAX($F225,$G225,150)*BK225*1.03,IF(AND(BK225&lt;0,$E225="Dengede"),MAX($F225:$G225,150)*1.03*BK225,MIN($F225:$G225)*0.97*BK225)))))))))</f>
        <v/>
      </c>
      <c r="BM225" s="34">
        <f>BE225-BI225-BN225</f>
        <v/>
      </c>
      <c r="BN225" s="34">
        <f>BB225</f>
        <v/>
      </c>
      <c r="BO225" s="34">
        <f>BE225-BI225</f>
        <v/>
      </c>
      <c r="BP225" s="34">
        <f>IF(AY225=0,0,BO225/AY225)</f>
        <v/>
      </c>
      <c r="BQ225" s="34">
        <f>MAX((AY225+MAX((-J225+L225-N225+Q225),0)),(MAX((J225-L225+N225-Q225),0)))</f>
        <v/>
      </c>
      <c r="BR225" s="82">
        <f>IFERROR(ABS(BK225/BQ225),0)</f>
        <v/>
      </c>
      <c r="BS225" s="34">
        <f>IF(BR225&lt;=0.1,0,BK225/BR225*(BR225-0.1))</f>
        <v/>
      </c>
      <c r="BT225" s="34">
        <f>IF((BS225)&lt;0,MAX(F225:G225)*(BS225)*1.03,MIN(F225:G225)*(BS225)*0.97)</f>
        <v/>
      </c>
      <c r="BU225" s="34">
        <f>IF(BR225&gt;0.1,1,0)</f>
        <v/>
      </c>
      <c r="BV225" s="34">
        <f>BF225+BG225+BH225+BY225-CA225</f>
        <v/>
      </c>
      <c r="BW225" s="34">
        <f>ABS(BX225)</f>
        <v/>
      </c>
      <c r="BX225" s="34">
        <f>AY225-(J225-L225+N225-Q225+T225-X225)</f>
        <v/>
      </c>
      <c r="BY225" s="34">
        <f>IF(AND(BX225&gt;0,MIN($F225:$G225)&lt;150,$E225="Enerji Açığı"),-100*BX225*1.03,IF(AND(BX225&gt;0,MIN($F225:$G225)&lt;150,$E225="Enerji Fazlası"),-100*BX225*1.06,IF(AND(BX225&gt;0,MIN($F225:$G225)&gt;=150,$E225="Enerji Açığı"),BX225*MIN($F225:$G225)*0.97,IF(AND(BX225&gt;0,MIN($F225:$G225)&gt;=150,$E225="Enerji Fazlası"),BX225*MIN($F225:$G225)*0.94,IF(AND(BX225&lt;0,MAX($F225:$G225)=4500,$E225="Enerji Açığı"),4500*1.05*1.06*BX225,IF(AND(BX225&lt;0,MAX($F225:$G225)=4500,$E225="Enerji Fazlası"),4500*1.05*1.03*BX225,IF(AND(BX225&lt;0,$E225="Enerji Açığı"),MAX($F225,$G225,150)*BX225*1.06,IF(AND(BX225&lt;0,$E225="Enerji Fazlası"),MAX($F225,$G225,150)*BX225*1.03,IF(AND(BX225&lt;0,$E225="Dengede"),MAX($F225:$G225,150)*1.03*BX225,MIN($F225:$G225)*0.97*BX225)))))))))</f>
        <v/>
      </c>
      <c r="BZ225" s="34">
        <f>BE225-BV225-CA225</f>
        <v/>
      </c>
      <c r="CA225" s="34">
        <f>BD225</f>
        <v/>
      </c>
      <c r="CB225" s="33">
        <f>BE225-BV225</f>
        <v/>
      </c>
      <c r="CC225" s="34">
        <f>IF(AY225=0,0,CB225/AY225)</f>
        <v/>
      </c>
      <c r="CD225" s="34">
        <f>MAX((AY225+MAX((-J225+L225-N225+Q225-T225+X225),0)),(MAX((J225-L225+N225-Q225+T225-X225),0)))</f>
        <v/>
      </c>
      <c r="CE225" s="82">
        <f>IFERROR(ABS(BX225/CD225),0)</f>
        <v/>
      </c>
      <c r="CF225" s="34">
        <f>IF(CE225&lt;=0.1,0,BX225/CE225*(CE225-0.1))</f>
        <v/>
      </c>
      <c r="CG225" s="34">
        <f>IF((CF225)&lt;0,MAX(F225:G225)*(CF225)*1.03,MIN(F225:G225)*(CF225)*0.97)</f>
        <v/>
      </c>
      <c r="CH225" s="34">
        <f>IF(CE225&gt;0.1,1,0)</f>
        <v/>
      </c>
      <c r="CI225" s="34">
        <f>(F225*BX225)-BY225</f>
        <v/>
      </c>
      <c r="CJ225" s="34">
        <f>IF(AY225=0,0,CI225/AY225)</f>
        <v/>
      </c>
    </row>
    <row r="226">
      <c r="A226" s="29" t="n">
        <v>46213.29166666666</v>
      </c>
      <c r="B226" s="29" t="inlineStr">
        <is>
          <t>07:00</t>
        </is>
      </c>
      <c r="C226" s="35">
        <f>INT(A226)</f>
        <v/>
      </c>
      <c r="D226" s="36">
        <f>MONTH(A226)</f>
        <v/>
      </c>
      <c r="E226" s="147" t="inlineStr"/>
      <c r="F226" s="30" t="n">
        <v>2050.01</v>
      </c>
      <c r="G226" s="30" t="n"/>
      <c r="H226" s="30" t="n">
        <v>43.83</v>
      </c>
      <c r="I226" s="30" t="n">
        <v>1512.72</v>
      </c>
      <c r="J226" s="119" t="n">
        <v>0</v>
      </c>
      <c r="K226" s="34">
        <f>F226*J226</f>
        <v/>
      </c>
      <c r="L226" s="119" t="n">
        <v>0</v>
      </c>
      <c r="M226" s="34">
        <f>L226*F226</f>
        <v/>
      </c>
      <c r="N226" s="119" t="n">
        <v>16</v>
      </c>
      <c r="O226" s="34">
        <f>F226</f>
        <v/>
      </c>
      <c r="P226" s="34">
        <f>N226*O226</f>
        <v/>
      </c>
      <c r="Q226" s="117" t="n">
        <v>0</v>
      </c>
      <c r="R226" s="34">
        <f>F226</f>
        <v/>
      </c>
      <c r="S226" s="34">
        <f>R226*Q226</f>
        <v/>
      </c>
      <c r="T226" s="34" t="n"/>
      <c r="U226" s="34">
        <f>IFERROR(W226/T226,0)</f>
        <v/>
      </c>
      <c r="V226" s="34">
        <f>IF(U226=0,0,U226-F226)</f>
        <v/>
      </c>
      <c r="W226" s="34" t="n"/>
      <c r="X226" s="34" t="n"/>
      <c r="Y226" s="34">
        <f>IFERROR(AA226/X226,0)</f>
        <v/>
      </c>
      <c r="Z226" s="34">
        <f>IF(Y226=0,0,F226-Y226)</f>
        <v/>
      </c>
      <c r="AA226" s="34" t="n"/>
      <c r="AB226" s="34" t="n"/>
      <c r="AC226" s="34" t="n">
        <v>0</v>
      </c>
      <c r="AD226" s="34">
        <f>IF(AB226&gt;AC226*1.05,AB226-AC226*1.05,IF(AB226&lt;AC226*0.95,AC226*0.95-AB226,0))</f>
        <v/>
      </c>
      <c r="AE226" s="34">
        <f>MAX(F226,G226,750)*0.05*AD226</f>
        <v/>
      </c>
      <c r="AF226" s="34" t="n">
        <v>0</v>
      </c>
      <c r="AG226" s="34">
        <f>IF(AB226&gt;AF226*1.05,AB226-AF226*1.05,IF(AB226&lt;AF226*0.95,AF226*0.95-AB226,0))</f>
        <v/>
      </c>
      <c r="AH226" s="34">
        <f>MAX(I226,J226,750)*0.05*AG226</f>
        <v/>
      </c>
      <c r="AJ226" t="n">
        <v>8</v>
      </c>
      <c r="AK226" s="34">
        <f>IF(AI226&gt;AJ226*1.05,AI226-AJ226*1.05,IF(AI226&lt;AJ226*0.95,AJ226*0.95-AI226,0))</f>
        <v/>
      </c>
      <c r="AL226" s="34">
        <f>MAX(F226,G226,750)*0.05*AK226</f>
        <v/>
      </c>
      <c r="AM226" s="39" t="n">
        <v>8</v>
      </c>
      <c r="AN226" s="34">
        <f>IF(AI226&gt;AM226*1.05,AI226-AM226*1.05,IF(AI226&lt;AM226*0.95,AM226*0.95-AI226,0))</f>
        <v/>
      </c>
      <c r="AO226" s="34">
        <f>MAX(F226,G226,750)*0.05*AN226</f>
        <v/>
      </c>
      <c r="AP226" s="34" t="n"/>
      <c r="AQ226" s="34" t="n">
        <v>11</v>
      </c>
      <c r="AR226" s="34">
        <f>IF(AP226&gt;AQ226*1.05,AP226-AQ226*1.05,IF(AP226&lt;AQ226*0.95,AQ226*0.95-AP226,0))</f>
        <v/>
      </c>
      <c r="AS226" s="34">
        <f>MAX(F226:G226,750)*0.05*AR226</f>
        <v/>
      </c>
      <c r="AT226" t="n">
        <v>12</v>
      </c>
      <c r="AU226" s="34">
        <f>IF(AP226&gt;AT226*1.05,AP226-AT226*1.05,IF(AP226&lt;AT226*0.95,AT226*0.95-AP226,0))</f>
        <v/>
      </c>
      <c r="AV226" s="34">
        <f>MAX(F226:G226,750)*0.05*AU226</f>
        <v/>
      </c>
      <c r="AW226" s="34">
        <f>AC226+AJ226+AQ226</f>
        <v/>
      </c>
      <c r="AX226" s="34">
        <f>AF226+AM226+AT226</f>
        <v/>
      </c>
      <c r="AY226" s="34">
        <f>AB226+AI226+AP226</f>
        <v/>
      </c>
      <c r="AZ226" s="34" t="n">
        <v>0</v>
      </c>
      <c r="BA226" s="34">
        <f>AD226+AK226+AR226</f>
        <v/>
      </c>
      <c r="BB226" s="34">
        <f>MAX(F226:G226,750)*0.05*BA226</f>
        <v/>
      </c>
      <c r="BC226" s="34">
        <f>AG226+AN226+AU226</f>
        <v/>
      </c>
      <c r="BD226" s="34">
        <f>MAX(F226:G226,750)*0.05*BC226</f>
        <v/>
      </c>
      <c r="BE226" s="34">
        <f>F226*AY226</f>
        <v/>
      </c>
      <c r="BF226" s="34">
        <f>K226-M226</f>
        <v/>
      </c>
      <c r="BG226" s="34">
        <f>P226-S226</f>
        <v/>
      </c>
      <c r="BH226" s="34">
        <f>W226-AA226</f>
        <v/>
      </c>
      <c r="BI226" s="34">
        <f>BF226+BG226+BL226-BN226</f>
        <v/>
      </c>
      <c r="BJ226" s="34">
        <f>ABS(BK226)</f>
        <v/>
      </c>
      <c r="BK226" s="34">
        <f>AY226-(J226-L226+N226-Q226)</f>
        <v/>
      </c>
      <c r="BL226" s="34">
        <f>IF(AND(BK226&gt;0,MIN($F226:$G226)&lt;150,$E226="Enerji Açığı"),-100*BK226*1.03,IF(AND(BK226&gt;0,MIN($F226:$G226)&lt;150,$E226="Enerji Fazlası"),-100*BK226*1.06,IF(AND(BK226&gt;0,MIN($F226:$G226)&gt;=150,$E226="Enerji Açığı"),BK226*MIN($F226:$G226)*0.97,IF(AND(BK226&gt;0,MIN($F226:$G226)&gt;=150,$E226="Enerji Fazlası"),BK226*MIN($F226:$G226)*0.94,IF(AND(BK226&lt;0,MAX($F226:$G226)=4500,$E226="Enerji Açığı"),4500*1.05*1.06*BK226,IF(AND(BK226&lt;0,MAX($F226:$G226)=4500,$E226="Enerji Fazlası"),4500*1.05*1.03*BK226,IF(AND(BK226&lt;0,$E226="Enerji Açığı"),MAX($F226,$G226,150)*BK226*1.06,IF(AND(BK226&lt;0,$E226="Enerji Fazlası"),MAX($F226,$G226,150)*BK226*1.03,IF(AND(BK226&lt;0,$E226="Dengede"),MAX($F226:$G226,150)*1.03*BK226,MIN($F226:$G226)*0.97*BK226)))))))))</f>
        <v/>
      </c>
      <c r="BM226" s="34">
        <f>BE226-BI226-BN226</f>
        <v/>
      </c>
      <c r="BN226" s="34">
        <f>BB226</f>
        <v/>
      </c>
      <c r="BO226" s="34">
        <f>BE226-BI226</f>
        <v/>
      </c>
      <c r="BP226" s="34">
        <f>IF(AY226=0,0,BO226/AY226)</f>
        <v/>
      </c>
      <c r="BQ226" s="34">
        <f>MAX((AY226+MAX((-J226+L226-N226+Q226),0)),(MAX((J226-L226+N226-Q226),0)))</f>
        <v/>
      </c>
      <c r="BR226" s="82">
        <f>IFERROR(ABS(BK226/BQ226),0)</f>
        <v/>
      </c>
      <c r="BS226" s="34">
        <f>IF(BR226&lt;=0.1,0,BK226/BR226*(BR226-0.1))</f>
        <v/>
      </c>
      <c r="BT226" s="34">
        <f>IF((BS226)&lt;0,MAX(F226:G226)*(BS226)*1.03,MIN(F226:G226)*(BS226)*0.97)</f>
        <v/>
      </c>
      <c r="BU226" s="34">
        <f>IF(BR226&gt;0.1,1,0)</f>
        <v/>
      </c>
      <c r="BV226" s="34">
        <f>BF226+BG226+BH226+BY226-CA226</f>
        <v/>
      </c>
      <c r="BW226" s="34">
        <f>ABS(BX226)</f>
        <v/>
      </c>
      <c r="BX226" s="34">
        <f>AY226-(J226-L226+N226-Q226+T226-X226)</f>
        <v/>
      </c>
      <c r="BY226" s="34">
        <f>IF(AND(BX226&gt;0,MIN($F226:$G226)&lt;150,$E226="Enerji Açığı"),-100*BX226*1.03,IF(AND(BX226&gt;0,MIN($F226:$G226)&lt;150,$E226="Enerji Fazlası"),-100*BX226*1.06,IF(AND(BX226&gt;0,MIN($F226:$G226)&gt;=150,$E226="Enerji Açığı"),BX226*MIN($F226:$G226)*0.97,IF(AND(BX226&gt;0,MIN($F226:$G226)&gt;=150,$E226="Enerji Fazlası"),BX226*MIN($F226:$G226)*0.94,IF(AND(BX226&lt;0,MAX($F226:$G226)=4500,$E226="Enerji Açığı"),4500*1.05*1.06*BX226,IF(AND(BX226&lt;0,MAX($F226:$G226)=4500,$E226="Enerji Fazlası"),4500*1.05*1.03*BX226,IF(AND(BX226&lt;0,$E226="Enerji Açığı"),MAX($F226,$G226,150)*BX226*1.06,IF(AND(BX226&lt;0,$E226="Enerji Fazlası"),MAX($F226,$G226,150)*BX226*1.03,IF(AND(BX226&lt;0,$E226="Dengede"),MAX($F226:$G226,150)*1.03*BX226,MIN($F226:$G226)*0.97*BX226)))))))))</f>
        <v/>
      </c>
      <c r="BZ226" s="34">
        <f>BE226-BV226-CA226</f>
        <v/>
      </c>
      <c r="CA226" s="34">
        <f>BD226</f>
        <v/>
      </c>
      <c r="CB226" s="33">
        <f>BE226-BV226</f>
        <v/>
      </c>
      <c r="CC226" s="34">
        <f>IF(AY226=0,0,CB226/AY226)</f>
        <v/>
      </c>
      <c r="CD226" s="34">
        <f>MAX((AY226+MAX((-J226+L226-N226+Q226-T226+X226),0)),(MAX((J226-L226+N226-Q226+T226-X226),0)))</f>
        <v/>
      </c>
      <c r="CE226" s="82">
        <f>IFERROR(ABS(BX226/CD226),0)</f>
        <v/>
      </c>
      <c r="CF226" s="34">
        <f>IF(CE226&lt;=0.1,0,BX226/CE226*(CE226-0.1))</f>
        <v/>
      </c>
      <c r="CG226" s="34">
        <f>IF((CF226)&lt;0,MAX(F226:G226)*(CF226)*1.03,MIN(F226:G226)*(CF226)*0.97)</f>
        <v/>
      </c>
      <c r="CH226" s="34">
        <f>IF(CE226&gt;0.1,1,0)</f>
        <v/>
      </c>
      <c r="CI226" s="34">
        <f>(F226*BX226)-BY226</f>
        <v/>
      </c>
      <c r="CJ226" s="34">
        <f>IF(AY226=0,0,CI226/AY226)</f>
        <v/>
      </c>
    </row>
    <row r="227">
      <c r="A227" s="29" t="n">
        <v>46213.33333333334</v>
      </c>
      <c r="B227" s="29" t="inlineStr">
        <is>
          <t>08:00</t>
        </is>
      </c>
      <c r="C227" s="35">
        <f>INT(A227)</f>
        <v/>
      </c>
      <c r="D227" s="36">
        <f>MONTH(A227)</f>
        <v/>
      </c>
      <c r="E227" s="147" t="inlineStr"/>
      <c r="F227" s="30" t="n">
        <v>3932.88</v>
      </c>
      <c r="G227" s="30" t="n"/>
      <c r="H227" s="30" t="n">
        <v>84.09</v>
      </c>
      <c r="I227" s="30" t="n">
        <v>3795.66</v>
      </c>
      <c r="J227" s="119" t="n">
        <v>0</v>
      </c>
      <c r="K227" s="34">
        <f>F227*J227</f>
        <v/>
      </c>
      <c r="L227" s="119" t="n">
        <v>0</v>
      </c>
      <c r="M227" s="34">
        <f>L227*F227</f>
        <v/>
      </c>
      <c r="N227" s="119" t="n">
        <v>16</v>
      </c>
      <c r="O227" s="34">
        <f>F227</f>
        <v/>
      </c>
      <c r="P227" s="34">
        <f>N227*O227</f>
        <v/>
      </c>
      <c r="Q227" s="117" t="n">
        <v>0</v>
      </c>
      <c r="R227" s="34">
        <f>F227</f>
        <v/>
      </c>
      <c r="S227" s="34">
        <f>R227*Q227</f>
        <v/>
      </c>
      <c r="T227" s="34" t="n"/>
      <c r="U227" s="34">
        <f>IFERROR(W227/T227,0)</f>
        <v/>
      </c>
      <c r="V227" s="34">
        <f>IF(U227=0,0,U227-F227)</f>
        <v/>
      </c>
      <c r="W227" s="34" t="n"/>
      <c r="X227" s="34" t="n"/>
      <c r="Y227" s="34">
        <f>IFERROR(AA227/X227,0)</f>
        <v/>
      </c>
      <c r="Z227" s="34">
        <f>IF(Y227=0,0,F227-Y227)</f>
        <v/>
      </c>
      <c r="AA227" s="34" t="n"/>
      <c r="AB227" s="34" t="n"/>
      <c r="AC227" s="34" t="n">
        <v>0</v>
      </c>
      <c r="AD227" s="34">
        <f>IF(AB227&gt;AC227*1.05,AB227-AC227*1.05,IF(AB227&lt;AC227*0.95,AC227*0.95-AB227,0))</f>
        <v/>
      </c>
      <c r="AE227" s="34">
        <f>MAX(F227,G227,750)*0.05*AD227</f>
        <v/>
      </c>
      <c r="AF227" s="34" t="n">
        <v>0</v>
      </c>
      <c r="AG227" s="34">
        <f>IF(AB227&gt;AF227*1.05,AB227-AF227*1.05,IF(AB227&lt;AF227*0.95,AF227*0.95-AB227,0))</f>
        <v/>
      </c>
      <c r="AH227" s="34">
        <f>MAX(I227,J227,750)*0.05*AG227</f>
        <v/>
      </c>
      <c r="AJ227" t="n">
        <v>8</v>
      </c>
      <c r="AK227" s="34">
        <f>IF(AI227&gt;AJ227*1.05,AI227-AJ227*1.05,IF(AI227&lt;AJ227*0.95,AJ227*0.95-AI227,0))</f>
        <v/>
      </c>
      <c r="AL227" s="34">
        <f>MAX(F227,G227,750)*0.05*AK227</f>
        <v/>
      </c>
      <c r="AM227" s="39" t="n">
        <v>9</v>
      </c>
      <c r="AN227" s="34">
        <f>IF(AI227&gt;AM227*1.05,AI227-AM227*1.05,IF(AI227&lt;AM227*0.95,AM227*0.95-AI227,0))</f>
        <v/>
      </c>
      <c r="AO227" s="34">
        <f>MAX(F227,G227,750)*0.05*AN227</f>
        <v/>
      </c>
      <c r="AP227" s="34" t="n"/>
      <c r="AQ227" s="34" t="n">
        <v>11</v>
      </c>
      <c r="AR227" s="34">
        <f>IF(AP227&gt;AQ227*1.05,AP227-AQ227*1.05,IF(AP227&lt;AQ227*0.95,AQ227*0.95-AP227,0))</f>
        <v/>
      </c>
      <c r="AS227" s="34">
        <f>MAX(F227:G227,750)*0.05*AR227</f>
        <v/>
      </c>
      <c r="AT227" t="n">
        <v>12</v>
      </c>
      <c r="AU227" s="34">
        <f>IF(AP227&gt;AT227*1.05,AP227-AT227*1.05,IF(AP227&lt;AT227*0.95,AT227*0.95-AP227,0))</f>
        <v/>
      </c>
      <c r="AV227" s="34">
        <f>MAX(F227:G227,750)*0.05*AU227</f>
        <v/>
      </c>
      <c r="AW227" s="34">
        <f>AC227+AJ227+AQ227</f>
        <v/>
      </c>
      <c r="AX227" s="34">
        <f>AF227+AM227+AT227</f>
        <v/>
      </c>
      <c r="AY227" s="34">
        <f>AB227+AI227+AP227</f>
        <v/>
      </c>
      <c r="AZ227" s="34" t="n">
        <v>0</v>
      </c>
      <c r="BA227" s="34">
        <f>AD227+AK227+AR227</f>
        <v/>
      </c>
      <c r="BB227" s="34">
        <f>MAX(F227:G227,750)*0.05*BA227</f>
        <v/>
      </c>
      <c r="BC227" s="34">
        <f>AG227+AN227+AU227</f>
        <v/>
      </c>
      <c r="BD227" s="34">
        <f>MAX(F227:G227,750)*0.05*BC227</f>
        <v/>
      </c>
      <c r="BE227" s="34">
        <f>F227*AY227</f>
        <v/>
      </c>
      <c r="BF227" s="34">
        <f>K227-M227</f>
        <v/>
      </c>
      <c r="BG227" s="34">
        <f>P227-S227</f>
        <v/>
      </c>
      <c r="BH227" s="34">
        <f>W227-AA227</f>
        <v/>
      </c>
      <c r="BI227" s="34">
        <f>BF227+BG227+BL227-BN227</f>
        <v/>
      </c>
      <c r="BJ227" s="34">
        <f>ABS(BK227)</f>
        <v/>
      </c>
      <c r="BK227" s="34">
        <f>AY227-(J227-L227+N227-Q227)</f>
        <v/>
      </c>
      <c r="BL227" s="34">
        <f>IF(AND(BK227&gt;0,MIN($F227:$G227)&lt;150,$E227="Enerji Açığı"),-100*BK227*1.03,IF(AND(BK227&gt;0,MIN($F227:$G227)&lt;150,$E227="Enerji Fazlası"),-100*BK227*1.06,IF(AND(BK227&gt;0,MIN($F227:$G227)&gt;=150,$E227="Enerji Açığı"),BK227*MIN($F227:$G227)*0.97,IF(AND(BK227&gt;0,MIN($F227:$G227)&gt;=150,$E227="Enerji Fazlası"),BK227*MIN($F227:$G227)*0.94,IF(AND(BK227&lt;0,MAX($F227:$G227)=4500,$E227="Enerji Açığı"),4500*1.05*1.06*BK227,IF(AND(BK227&lt;0,MAX($F227:$G227)=4500,$E227="Enerji Fazlası"),4500*1.05*1.03*BK227,IF(AND(BK227&lt;0,$E227="Enerji Açığı"),MAX($F227,$G227,150)*BK227*1.06,IF(AND(BK227&lt;0,$E227="Enerji Fazlası"),MAX($F227,$G227,150)*BK227*1.03,IF(AND(BK227&lt;0,$E227="Dengede"),MAX($F227:$G227,150)*1.03*BK227,MIN($F227:$G227)*0.97*BK227)))))))))</f>
        <v/>
      </c>
      <c r="BM227" s="34">
        <f>BE227-BI227-BN227</f>
        <v/>
      </c>
      <c r="BN227" s="34">
        <f>BB227</f>
        <v/>
      </c>
      <c r="BO227" s="34">
        <f>BE227-BI227</f>
        <v/>
      </c>
      <c r="BP227" s="34">
        <f>IF(AY227=0,0,BO227/AY227)</f>
        <v/>
      </c>
      <c r="BQ227" s="34">
        <f>MAX((AY227+MAX((-J227+L227-N227+Q227),0)),(MAX((J227-L227+N227-Q227),0)))</f>
        <v/>
      </c>
      <c r="BR227" s="82">
        <f>IFERROR(ABS(BK227/BQ227),0)</f>
        <v/>
      </c>
      <c r="BS227" s="34">
        <f>IF(BR227&lt;=0.1,0,BK227/BR227*(BR227-0.1))</f>
        <v/>
      </c>
      <c r="BT227" s="34">
        <f>IF((BS227)&lt;0,MAX(F227:G227)*(BS227)*1.03,MIN(F227:G227)*(BS227)*0.97)</f>
        <v/>
      </c>
      <c r="BU227" s="34">
        <f>IF(BR227&gt;0.1,1,0)</f>
        <v/>
      </c>
      <c r="BV227" s="34">
        <f>BF227+BG227+BH227+BY227-CA227</f>
        <v/>
      </c>
      <c r="BW227" s="34">
        <f>ABS(BX227)</f>
        <v/>
      </c>
      <c r="BX227" s="34">
        <f>AY227-(J227-L227+N227-Q227+T227-X227)</f>
        <v/>
      </c>
      <c r="BY227" s="34">
        <f>IF(AND(BX227&gt;0,MIN($F227:$G227)&lt;150,$E227="Enerji Açığı"),-100*BX227*1.03,IF(AND(BX227&gt;0,MIN($F227:$G227)&lt;150,$E227="Enerji Fazlası"),-100*BX227*1.06,IF(AND(BX227&gt;0,MIN($F227:$G227)&gt;=150,$E227="Enerji Açığı"),BX227*MIN($F227:$G227)*0.97,IF(AND(BX227&gt;0,MIN($F227:$G227)&gt;=150,$E227="Enerji Fazlası"),BX227*MIN($F227:$G227)*0.94,IF(AND(BX227&lt;0,MAX($F227:$G227)=4500,$E227="Enerji Açığı"),4500*1.05*1.06*BX227,IF(AND(BX227&lt;0,MAX($F227:$G227)=4500,$E227="Enerji Fazlası"),4500*1.05*1.03*BX227,IF(AND(BX227&lt;0,$E227="Enerji Açığı"),MAX($F227,$G227,150)*BX227*1.06,IF(AND(BX227&lt;0,$E227="Enerji Fazlası"),MAX($F227,$G227,150)*BX227*1.03,IF(AND(BX227&lt;0,$E227="Dengede"),MAX($F227:$G227,150)*1.03*BX227,MIN($F227:$G227)*0.97*BX227)))))))))</f>
        <v/>
      </c>
      <c r="BZ227" s="34">
        <f>BE227-BV227-CA227</f>
        <v/>
      </c>
      <c r="CA227" s="34">
        <f>BD227</f>
        <v/>
      </c>
      <c r="CB227" s="33">
        <f>BE227-BV227</f>
        <v/>
      </c>
      <c r="CC227" s="34">
        <f>IF(AY227=0,0,CB227/AY227)</f>
        <v/>
      </c>
      <c r="CD227" s="34">
        <f>MAX((AY227+MAX((-J227+L227-N227+Q227-T227+X227),0)),(MAX((J227-L227+N227-Q227+T227-X227),0)))</f>
        <v/>
      </c>
      <c r="CE227" s="82">
        <f>IFERROR(ABS(BX227/CD227),0)</f>
        <v/>
      </c>
      <c r="CF227" s="34">
        <f>IF(CE227&lt;=0.1,0,BX227/CE227*(CE227-0.1))</f>
        <v/>
      </c>
      <c r="CG227" s="34">
        <f>IF((CF227)&lt;0,MAX(F227:G227)*(CF227)*1.03,MIN(F227:G227)*(CF227)*0.97)</f>
        <v/>
      </c>
      <c r="CH227" s="34">
        <f>IF(CE227&gt;0.1,1,0)</f>
        <v/>
      </c>
      <c r="CI227" s="34">
        <f>(F227*BX227)-BY227</f>
        <v/>
      </c>
      <c r="CJ227" s="34">
        <f>IF(AY227=0,0,CI227/AY227)</f>
        <v/>
      </c>
    </row>
    <row r="228">
      <c r="A228" s="29" t="n">
        <v>46213.375</v>
      </c>
      <c r="B228" s="29" t="inlineStr">
        <is>
          <t>09:00</t>
        </is>
      </c>
      <c r="C228" s="35">
        <f>INT(A228)</f>
        <v/>
      </c>
      <c r="D228" s="36">
        <f>MONTH(A228)</f>
        <v/>
      </c>
      <c r="E228" s="147" t="inlineStr"/>
      <c r="F228" s="30" t="n">
        <v>3719.09</v>
      </c>
      <c r="G228" s="30" t="n"/>
      <c r="H228" s="30" t="n">
        <v>79.52</v>
      </c>
      <c r="I228" s="30" t="n">
        <v>3695.53</v>
      </c>
      <c r="J228" s="119" t="n">
        <v>0</v>
      </c>
      <c r="K228" s="34">
        <f>F228*J228</f>
        <v/>
      </c>
      <c r="L228" s="119" t="n">
        <v>0</v>
      </c>
      <c r="M228" s="34">
        <f>L228*F228</f>
        <v/>
      </c>
      <c r="N228" s="119" t="n">
        <v>16</v>
      </c>
      <c r="O228" s="34">
        <f>F228</f>
        <v/>
      </c>
      <c r="P228" s="34">
        <f>N228*O228</f>
        <v/>
      </c>
      <c r="Q228" s="117" t="n">
        <v>0</v>
      </c>
      <c r="R228" s="34">
        <f>F228</f>
        <v/>
      </c>
      <c r="S228" s="34">
        <f>R228*Q228</f>
        <v/>
      </c>
      <c r="T228" s="34" t="n"/>
      <c r="U228" s="34">
        <f>IFERROR(W228/T228,0)</f>
        <v/>
      </c>
      <c r="V228" s="34">
        <f>IF(U228=0,0,U228-F228)</f>
        <v/>
      </c>
      <c r="W228" s="34" t="n"/>
      <c r="X228" s="34" t="n"/>
      <c r="Y228" s="34">
        <f>IFERROR(AA228/X228,0)</f>
        <v/>
      </c>
      <c r="Z228" s="34">
        <f>IF(Y228=0,0,F228-Y228)</f>
        <v/>
      </c>
      <c r="AA228" s="34" t="n"/>
      <c r="AB228" s="34" t="n"/>
      <c r="AC228" s="34" t="n">
        <v>0</v>
      </c>
      <c r="AD228" s="34">
        <f>IF(AB228&gt;AC228*1.05,AB228-AC228*1.05,IF(AB228&lt;AC228*0.95,AC228*0.95-AB228,0))</f>
        <v/>
      </c>
      <c r="AE228" s="34">
        <f>MAX(F228,G228,750)*0.05*AD228</f>
        <v/>
      </c>
      <c r="AF228" s="34" t="n">
        <v>0</v>
      </c>
      <c r="AG228" s="34">
        <f>IF(AB228&gt;AF228*1.05,AB228-AF228*1.05,IF(AB228&lt;AF228*0.95,AF228*0.95-AB228,0))</f>
        <v/>
      </c>
      <c r="AH228" s="34">
        <f>MAX(I228,J228,750)*0.05*AG228</f>
        <v/>
      </c>
      <c r="AJ228" t="n">
        <v>8</v>
      </c>
      <c r="AK228" s="34">
        <f>IF(AI228&gt;AJ228*1.05,AI228-AJ228*1.05,IF(AI228&lt;AJ228*0.95,AJ228*0.95-AI228,0))</f>
        <v/>
      </c>
      <c r="AL228" s="34">
        <f>MAX(F228,G228,750)*0.05*AK228</f>
        <v/>
      </c>
      <c r="AM228" s="39" t="n">
        <v>9</v>
      </c>
      <c r="AN228" s="34">
        <f>IF(AI228&gt;AM228*1.05,AI228-AM228*1.05,IF(AI228&lt;AM228*0.95,AM228*0.95-AI228,0))</f>
        <v/>
      </c>
      <c r="AO228" s="34">
        <f>MAX(F228,G228,750)*0.05*AN228</f>
        <v/>
      </c>
      <c r="AP228" s="34" t="n"/>
      <c r="AQ228" s="34" t="n">
        <v>11</v>
      </c>
      <c r="AR228" s="34">
        <f>IF(AP228&gt;AQ228*1.05,AP228-AQ228*1.05,IF(AP228&lt;AQ228*0.95,AQ228*0.95-AP228,0))</f>
        <v/>
      </c>
      <c r="AS228" s="34">
        <f>MAX(F228:G228,750)*0.05*AR228</f>
        <v/>
      </c>
      <c r="AT228" t="n">
        <v>12</v>
      </c>
      <c r="AU228" s="34">
        <f>IF(AP228&gt;AT228*1.05,AP228-AT228*1.05,IF(AP228&lt;AT228*0.95,AT228*0.95-AP228,0))</f>
        <v/>
      </c>
      <c r="AV228" s="34">
        <f>MAX(F228:G228,750)*0.05*AU228</f>
        <v/>
      </c>
      <c r="AW228" s="34">
        <f>AC228+AJ228+AQ228</f>
        <v/>
      </c>
      <c r="AX228" s="34">
        <f>AF228+AM228+AT228</f>
        <v/>
      </c>
      <c r="AY228" s="34">
        <f>AB228+AI228+AP228</f>
        <v/>
      </c>
      <c r="AZ228" s="34" t="n">
        <v>0</v>
      </c>
      <c r="BA228" s="34">
        <f>AD228+AK228+AR228</f>
        <v/>
      </c>
      <c r="BB228" s="34">
        <f>MAX(F228:G228,750)*0.05*BA228</f>
        <v/>
      </c>
      <c r="BC228" s="34">
        <f>AG228+AN228+AU228</f>
        <v/>
      </c>
      <c r="BD228" s="34">
        <f>MAX(F228:G228,750)*0.05*BC228</f>
        <v/>
      </c>
      <c r="BE228" s="34">
        <f>F228*AY228</f>
        <v/>
      </c>
      <c r="BF228" s="34">
        <f>K228-M228</f>
        <v/>
      </c>
      <c r="BG228" s="34">
        <f>P228-S228</f>
        <v/>
      </c>
      <c r="BH228" s="34">
        <f>W228-AA228</f>
        <v/>
      </c>
      <c r="BI228" s="34">
        <f>BF228+BG228+BL228-BN228</f>
        <v/>
      </c>
      <c r="BJ228" s="34">
        <f>ABS(BK228)</f>
        <v/>
      </c>
      <c r="BK228" s="34">
        <f>AY228-(J228-L228+N228-Q228)</f>
        <v/>
      </c>
      <c r="BL228" s="34">
        <f>IF(AND(BK228&gt;0,MIN($F228:$G228)&lt;150,$E228="Enerji Açığı"),-100*BK228*1.03,IF(AND(BK228&gt;0,MIN($F228:$G228)&lt;150,$E228="Enerji Fazlası"),-100*BK228*1.06,IF(AND(BK228&gt;0,MIN($F228:$G228)&gt;=150,$E228="Enerji Açığı"),BK228*MIN($F228:$G228)*0.97,IF(AND(BK228&gt;0,MIN($F228:$G228)&gt;=150,$E228="Enerji Fazlası"),BK228*MIN($F228:$G228)*0.94,IF(AND(BK228&lt;0,MAX($F228:$G228)=4500,$E228="Enerji Açığı"),4500*1.05*1.06*BK228,IF(AND(BK228&lt;0,MAX($F228:$G228)=4500,$E228="Enerji Fazlası"),4500*1.05*1.03*BK228,IF(AND(BK228&lt;0,$E228="Enerji Açığı"),MAX($F228,$G228,150)*BK228*1.06,IF(AND(BK228&lt;0,$E228="Enerji Fazlası"),MAX($F228,$G228,150)*BK228*1.03,IF(AND(BK228&lt;0,$E228="Dengede"),MAX($F228:$G228,150)*1.03*BK228,MIN($F228:$G228)*0.97*BK228)))))))))</f>
        <v/>
      </c>
      <c r="BM228" s="34">
        <f>BE228-BI228-BN228</f>
        <v/>
      </c>
      <c r="BN228" s="34">
        <f>BB228</f>
        <v/>
      </c>
      <c r="BO228" s="34">
        <f>BE228-BI228</f>
        <v/>
      </c>
      <c r="BP228" s="34">
        <f>IF(AY228=0,0,BO228/AY228)</f>
        <v/>
      </c>
      <c r="BQ228" s="34">
        <f>MAX((AY228+MAX((-J228+L228-N228+Q228),0)),(MAX((J228-L228+N228-Q228),0)))</f>
        <v/>
      </c>
      <c r="BR228" s="82">
        <f>IFERROR(ABS(BK228/BQ228),0)</f>
        <v/>
      </c>
      <c r="BS228" s="34">
        <f>IF(BR228&lt;=0.1,0,BK228/BR228*(BR228-0.1))</f>
        <v/>
      </c>
      <c r="BT228" s="34">
        <f>IF((BS228)&lt;0,MAX(F228:G228)*(BS228)*1.03,MIN(F228:G228)*(BS228)*0.97)</f>
        <v/>
      </c>
      <c r="BU228" s="34">
        <f>IF(BR228&gt;0.1,1,0)</f>
        <v/>
      </c>
      <c r="BV228" s="34">
        <f>BF228+BG228+BH228+BY228-CA228</f>
        <v/>
      </c>
      <c r="BW228" s="34">
        <f>ABS(BX228)</f>
        <v/>
      </c>
      <c r="BX228" s="34">
        <f>AY228-(J228-L228+N228-Q228+T228-X228)</f>
        <v/>
      </c>
      <c r="BY228" s="34">
        <f>IF(AND(BX228&gt;0,MIN($F228:$G228)&lt;150,$E228="Enerji Açığı"),-100*BX228*1.03,IF(AND(BX228&gt;0,MIN($F228:$G228)&lt;150,$E228="Enerji Fazlası"),-100*BX228*1.06,IF(AND(BX228&gt;0,MIN($F228:$G228)&gt;=150,$E228="Enerji Açığı"),BX228*MIN($F228:$G228)*0.97,IF(AND(BX228&gt;0,MIN($F228:$G228)&gt;=150,$E228="Enerji Fazlası"),BX228*MIN($F228:$G228)*0.94,IF(AND(BX228&lt;0,MAX($F228:$G228)=4500,$E228="Enerji Açığı"),4500*1.05*1.06*BX228,IF(AND(BX228&lt;0,MAX($F228:$G228)=4500,$E228="Enerji Fazlası"),4500*1.05*1.03*BX228,IF(AND(BX228&lt;0,$E228="Enerji Açığı"),MAX($F228,$G228,150)*BX228*1.06,IF(AND(BX228&lt;0,$E228="Enerji Fazlası"),MAX($F228,$G228,150)*BX228*1.03,IF(AND(BX228&lt;0,$E228="Dengede"),MAX($F228:$G228,150)*1.03*BX228,MIN($F228:$G228)*0.97*BX228)))))))))</f>
        <v/>
      </c>
      <c r="BZ228" s="34">
        <f>BE228-BV228-CA228</f>
        <v/>
      </c>
      <c r="CA228" s="34">
        <f>BD228</f>
        <v/>
      </c>
      <c r="CB228" s="33">
        <f>BE228-BV228</f>
        <v/>
      </c>
      <c r="CC228" s="34">
        <f>IF(AY228=0,0,CB228/AY228)</f>
        <v/>
      </c>
      <c r="CD228" s="34">
        <f>MAX((AY228+MAX((-J228+L228-N228+Q228-T228+X228),0)),(MAX((J228-L228+N228-Q228+T228-X228),0)))</f>
        <v/>
      </c>
      <c r="CE228" s="82">
        <f>IFERROR(ABS(BX228/CD228),0)</f>
        <v/>
      </c>
      <c r="CF228" s="34">
        <f>IF(CE228&lt;=0.1,0,BX228/CE228*(CE228-0.1))</f>
        <v/>
      </c>
      <c r="CG228" s="34">
        <f>IF((CF228)&lt;0,MAX(F228:G228)*(CF228)*1.03,MIN(F228:G228)*(CF228)*0.97)</f>
        <v/>
      </c>
      <c r="CH228" s="34">
        <f>IF(CE228&gt;0.1,1,0)</f>
        <v/>
      </c>
      <c r="CI228" s="34">
        <f>(F228*BX228)-BY228</f>
        <v/>
      </c>
      <c r="CJ228" s="34">
        <f>IF(AY228=0,0,CI228/AY228)</f>
        <v/>
      </c>
    </row>
    <row r="229">
      <c r="A229" s="29" t="n">
        <v>46213.41666666666</v>
      </c>
      <c r="B229" s="29" t="inlineStr">
        <is>
          <t>10:00</t>
        </is>
      </c>
      <c r="C229" s="35">
        <f>INT(A229)</f>
        <v/>
      </c>
      <c r="D229" s="36">
        <f>MONTH(A229)</f>
        <v/>
      </c>
      <c r="E229" s="147" t="inlineStr"/>
      <c r="F229" s="30" t="n">
        <v>2399.99</v>
      </c>
      <c r="G229" s="30" t="n"/>
      <c r="H229" s="30" t="n">
        <v>51.32</v>
      </c>
      <c r="I229" s="30" t="n">
        <v>2301.01</v>
      </c>
      <c r="J229" s="119" t="n">
        <v>0</v>
      </c>
      <c r="K229" s="34">
        <f>F229*J229</f>
        <v/>
      </c>
      <c r="L229" s="119" t="n">
        <v>0</v>
      </c>
      <c r="M229" s="34">
        <f>L229*F229</f>
        <v/>
      </c>
      <c r="N229" s="119" t="n">
        <v>16</v>
      </c>
      <c r="O229" s="34">
        <f>F229</f>
        <v/>
      </c>
      <c r="P229" s="34">
        <f>N229*O229</f>
        <v/>
      </c>
      <c r="Q229" s="117" t="n">
        <v>0</v>
      </c>
      <c r="R229" s="34">
        <f>F229</f>
        <v/>
      </c>
      <c r="S229" s="34">
        <f>R229*Q229</f>
        <v/>
      </c>
      <c r="T229" s="34" t="n"/>
      <c r="U229" s="34">
        <f>IFERROR(W229/T229,0)</f>
        <v/>
      </c>
      <c r="V229" s="34">
        <f>IF(U229=0,0,U229-F229)</f>
        <v/>
      </c>
      <c r="W229" s="34" t="n"/>
      <c r="X229" s="34" t="n"/>
      <c r="Y229" s="34">
        <f>IFERROR(AA229/X229,0)</f>
        <v/>
      </c>
      <c r="Z229" s="34">
        <f>IF(Y229=0,0,F229-Y229)</f>
        <v/>
      </c>
      <c r="AA229" s="34" t="n"/>
      <c r="AB229" s="34" t="n"/>
      <c r="AC229" s="34" t="n">
        <v>0</v>
      </c>
      <c r="AD229" s="34">
        <f>IF(AB229&gt;AC229*1.05,AB229-AC229*1.05,IF(AB229&lt;AC229*0.95,AC229*0.95-AB229,0))</f>
        <v/>
      </c>
      <c r="AE229" s="34">
        <f>MAX(F229,G229,750)*0.05*AD229</f>
        <v/>
      </c>
      <c r="AF229" s="34" t="n">
        <v>0</v>
      </c>
      <c r="AG229" s="34">
        <f>IF(AB229&gt;AF229*1.05,AB229-AF229*1.05,IF(AB229&lt;AF229*0.95,AF229*0.95-AB229,0))</f>
        <v/>
      </c>
      <c r="AH229" s="34">
        <f>MAX(I229,J229,750)*0.05*AG229</f>
        <v/>
      </c>
      <c r="AJ229" t="n">
        <v>8</v>
      </c>
      <c r="AK229" s="34">
        <f>IF(AI229&gt;AJ229*1.05,AI229-AJ229*1.05,IF(AI229&lt;AJ229*0.95,AJ229*0.95-AI229,0))</f>
        <v/>
      </c>
      <c r="AL229" s="34">
        <f>MAX(F229,G229,750)*0.05*AK229</f>
        <v/>
      </c>
      <c r="AM229" s="39" t="n">
        <v>8</v>
      </c>
      <c r="AN229" s="34">
        <f>IF(AI229&gt;AM229*1.05,AI229-AM229*1.05,IF(AI229&lt;AM229*0.95,AM229*0.95-AI229,0))</f>
        <v/>
      </c>
      <c r="AO229" s="34">
        <f>MAX(F229,G229,750)*0.05*AN229</f>
        <v/>
      </c>
      <c r="AP229" s="34" t="n"/>
      <c r="AQ229" s="34" t="n">
        <v>11</v>
      </c>
      <c r="AR229" s="34">
        <f>IF(AP229&gt;AQ229*1.05,AP229-AQ229*1.05,IF(AP229&lt;AQ229*0.95,AQ229*0.95-AP229,0))</f>
        <v/>
      </c>
      <c r="AS229" s="34">
        <f>MAX(F229:G229,750)*0.05*AR229</f>
        <v/>
      </c>
      <c r="AT229" t="n">
        <v>11</v>
      </c>
      <c r="AU229" s="34">
        <f>IF(AP229&gt;AT229*1.05,AP229-AT229*1.05,IF(AP229&lt;AT229*0.95,AT229*0.95-AP229,0))</f>
        <v/>
      </c>
      <c r="AV229" s="34">
        <f>MAX(F229:G229,750)*0.05*AU229</f>
        <v/>
      </c>
      <c r="AW229" s="34">
        <f>AC229+AJ229+AQ229</f>
        <v/>
      </c>
      <c r="AX229" s="34">
        <f>AF229+AM229+AT229</f>
        <v/>
      </c>
      <c r="AY229" s="34">
        <f>AB229+AI229+AP229</f>
        <v/>
      </c>
      <c r="AZ229" s="34" t="n">
        <v>0</v>
      </c>
      <c r="BA229" s="34">
        <f>AD229+AK229+AR229</f>
        <v/>
      </c>
      <c r="BB229" s="34">
        <f>MAX(F229:G229,750)*0.05*BA229</f>
        <v/>
      </c>
      <c r="BC229" s="34">
        <f>AG229+AN229+AU229</f>
        <v/>
      </c>
      <c r="BD229" s="34">
        <f>MAX(F229:G229,750)*0.05*BC229</f>
        <v/>
      </c>
      <c r="BE229" s="34">
        <f>F229*AY229</f>
        <v/>
      </c>
      <c r="BF229" s="34">
        <f>K229-M229</f>
        <v/>
      </c>
      <c r="BG229" s="34">
        <f>P229-S229</f>
        <v/>
      </c>
      <c r="BH229" s="34">
        <f>W229-AA229</f>
        <v/>
      </c>
      <c r="BI229" s="34">
        <f>BF229+BG229+BL229-BN229</f>
        <v/>
      </c>
      <c r="BJ229" s="34">
        <f>ABS(BK229)</f>
        <v/>
      </c>
      <c r="BK229" s="34">
        <f>AY229-(J229-L229+N229-Q229)</f>
        <v/>
      </c>
      <c r="BL229" s="34">
        <f>IF(AND(BK229&gt;0,MIN($F229:$G229)&lt;150,$E229="Enerji Açığı"),-100*BK229*1.03,IF(AND(BK229&gt;0,MIN($F229:$G229)&lt;150,$E229="Enerji Fazlası"),-100*BK229*1.06,IF(AND(BK229&gt;0,MIN($F229:$G229)&gt;=150,$E229="Enerji Açığı"),BK229*MIN($F229:$G229)*0.97,IF(AND(BK229&gt;0,MIN($F229:$G229)&gt;=150,$E229="Enerji Fazlası"),BK229*MIN($F229:$G229)*0.94,IF(AND(BK229&lt;0,MAX($F229:$G229)=4500,$E229="Enerji Açığı"),4500*1.05*1.06*BK229,IF(AND(BK229&lt;0,MAX($F229:$G229)=4500,$E229="Enerji Fazlası"),4500*1.05*1.03*BK229,IF(AND(BK229&lt;0,$E229="Enerji Açığı"),MAX($F229,$G229,150)*BK229*1.06,IF(AND(BK229&lt;0,$E229="Enerji Fazlası"),MAX($F229,$G229,150)*BK229*1.03,IF(AND(BK229&lt;0,$E229="Dengede"),MAX($F229:$G229,150)*1.03*BK229,MIN($F229:$G229)*0.97*BK229)))))))))</f>
        <v/>
      </c>
      <c r="BM229" s="34">
        <f>BE229-BI229-BN229</f>
        <v/>
      </c>
      <c r="BN229" s="34">
        <f>BB229</f>
        <v/>
      </c>
      <c r="BO229" s="34">
        <f>BE229-BI229</f>
        <v/>
      </c>
      <c r="BP229" s="34">
        <f>IF(AY229=0,0,BO229/AY229)</f>
        <v/>
      </c>
      <c r="BQ229" s="34">
        <f>MAX((AY229+MAX((-J229+L229-N229+Q229),0)),(MAX((J229-L229+N229-Q229),0)))</f>
        <v/>
      </c>
      <c r="BR229" s="82">
        <f>IFERROR(ABS(BK229/BQ229),0)</f>
        <v/>
      </c>
      <c r="BS229" s="34">
        <f>IF(BR229&lt;=0.1,0,BK229/BR229*(BR229-0.1))</f>
        <v/>
      </c>
      <c r="BT229" s="34">
        <f>IF((BS229)&lt;0,MAX(F229:G229)*(BS229)*1.03,MIN(F229:G229)*(BS229)*0.97)</f>
        <v/>
      </c>
      <c r="BU229" s="34">
        <f>IF(BR229&gt;0.1,1,0)</f>
        <v/>
      </c>
      <c r="BV229" s="34">
        <f>BF229+BG229+BH229+BY229-CA229</f>
        <v/>
      </c>
      <c r="BW229" s="34">
        <f>ABS(BX229)</f>
        <v/>
      </c>
      <c r="BX229" s="34">
        <f>AY229-(J229-L229+N229-Q229+T229-X229)</f>
        <v/>
      </c>
      <c r="BY229" s="34">
        <f>IF(AND(BX229&gt;0,MIN($F229:$G229)&lt;150,$E229="Enerji Açığı"),-100*BX229*1.03,IF(AND(BX229&gt;0,MIN($F229:$G229)&lt;150,$E229="Enerji Fazlası"),-100*BX229*1.06,IF(AND(BX229&gt;0,MIN($F229:$G229)&gt;=150,$E229="Enerji Açığı"),BX229*MIN($F229:$G229)*0.97,IF(AND(BX229&gt;0,MIN($F229:$G229)&gt;=150,$E229="Enerji Fazlası"),BX229*MIN($F229:$G229)*0.94,IF(AND(BX229&lt;0,MAX($F229:$G229)=4500,$E229="Enerji Açığı"),4500*1.05*1.06*BX229,IF(AND(BX229&lt;0,MAX($F229:$G229)=4500,$E229="Enerji Fazlası"),4500*1.05*1.03*BX229,IF(AND(BX229&lt;0,$E229="Enerji Açığı"),MAX($F229,$G229,150)*BX229*1.06,IF(AND(BX229&lt;0,$E229="Enerji Fazlası"),MAX($F229,$G229,150)*BX229*1.03,IF(AND(BX229&lt;0,$E229="Dengede"),MAX($F229:$G229,150)*1.03*BX229,MIN($F229:$G229)*0.97*BX229)))))))))</f>
        <v/>
      </c>
      <c r="BZ229" s="34">
        <f>BE229-BV229-CA229</f>
        <v/>
      </c>
      <c r="CA229" s="34">
        <f>BD229</f>
        <v/>
      </c>
      <c r="CB229" s="33">
        <f>BE229-BV229</f>
        <v/>
      </c>
      <c r="CC229" s="34">
        <f>IF(AY229=0,0,CB229/AY229)</f>
        <v/>
      </c>
      <c r="CD229" s="34">
        <f>MAX((AY229+MAX((-J229+L229-N229+Q229-T229+X229),0)),(MAX((J229-L229+N229-Q229+T229-X229),0)))</f>
        <v/>
      </c>
      <c r="CE229" s="82">
        <f>IFERROR(ABS(BX229/CD229),0)</f>
        <v/>
      </c>
      <c r="CF229" s="34">
        <f>IF(CE229&lt;=0.1,0,BX229/CE229*(CE229-0.1))</f>
        <v/>
      </c>
      <c r="CG229" s="34">
        <f>IF((CF229)&lt;0,MAX(F229:G229)*(CF229)*1.03,MIN(F229:G229)*(CF229)*0.97)</f>
        <v/>
      </c>
      <c r="CH229" s="34">
        <f>IF(CE229&gt;0.1,1,0)</f>
        <v/>
      </c>
      <c r="CI229" s="34">
        <f>(F229*BX229)-BY229</f>
        <v/>
      </c>
      <c r="CJ229" s="34">
        <f>IF(AY229=0,0,CI229/AY229)</f>
        <v/>
      </c>
    </row>
    <row r="230">
      <c r="A230" s="29" t="n">
        <v>46213.45833333334</v>
      </c>
      <c r="B230" s="29" t="inlineStr">
        <is>
          <t>11:00</t>
        </is>
      </c>
      <c r="C230" s="35">
        <f>INT(A230)</f>
        <v/>
      </c>
      <c r="D230" s="36">
        <f>MONTH(A230)</f>
        <v/>
      </c>
      <c r="E230" s="147" t="inlineStr"/>
      <c r="F230" s="30" t="n">
        <v>2600</v>
      </c>
      <c r="G230" s="30" t="n"/>
      <c r="H230" s="30" t="n">
        <v>55.59</v>
      </c>
      <c r="I230" s="30" t="n">
        <v>2281.77</v>
      </c>
      <c r="J230" s="119" t="n">
        <v>0</v>
      </c>
      <c r="K230" s="34">
        <f>F230*J230</f>
        <v/>
      </c>
      <c r="L230" s="119" t="n">
        <v>0</v>
      </c>
      <c r="M230" s="34">
        <f>L230*F230</f>
        <v/>
      </c>
      <c r="N230" s="119" t="n">
        <v>16</v>
      </c>
      <c r="O230" s="34">
        <f>F230</f>
        <v/>
      </c>
      <c r="P230" s="34">
        <f>N230*O230</f>
        <v/>
      </c>
      <c r="Q230" s="117" t="n">
        <v>0</v>
      </c>
      <c r="R230" s="34">
        <f>F230</f>
        <v/>
      </c>
      <c r="S230" s="34">
        <f>R230*Q230</f>
        <v/>
      </c>
      <c r="T230" s="34" t="n"/>
      <c r="U230" s="34">
        <f>IFERROR(W230/T230,0)</f>
        <v/>
      </c>
      <c r="V230" s="34">
        <f>IF(U230=0,0,U230-F230)</f>
        <v/>
      </c>
      <c r="W230" s="34" t="n"/>
      <c r="X230" s="34" t="n"/>
      <c r="Y230" s="34">
        <f>IFERROR(AA230/X230,0)</f>
        <v/>
      </c>
      <c r="Z230" s="34">
        <f>IF(Y230=0,0,F230-Y230)</f>
        <v/>
      </c>
      <c r="AA230" s="34" t="n"/>
      <c r="AB230" s="34" t="n"/>
      <c r="AC230" s="34" t="n">
        <v>0</v>
      </c>
      <c r="AD230" s="34">
        <f>IF(AB230&gt;AC230*1.05,AB230-AC230*1.05,IF(AB230&lt;AC230*0.95,AC230*0.95-AB230,0))</f>
        <v/>
      </c>
      <c r="AE230" s="34">
        <f>MAX(F230,G230,750)*0.05*AD230</f>
        <v/>
      </c>
      <c r="AF230" s="34" t="n">
        <v>0</v>
      </c>
      <c r="AG230" s="34">
        <f>IF(AB230&gt;AF230*1.05,AB230-AF230*1.05,IF(AB230&lt;AF230*0.95,AF230*0.95-AB230,0))</f>
        <v/>
      </c>
      <c r="AH230" s="34">
        <f>MAX(I230,J230,750)*0.05*AG230</f>
        <v/>
      </c>
      <c r="AJ230" t="n">
        <v>8</v>
      </c>
      <c r="AK230" s="34">
        <f>IF(AI230&gt;AJ230*1.05,AI230-AJ230*1.05,IF(AI230&lt;AJ230*0.95,AJ230*0.95-AI230,0))</f>
        <v/>
      </c>
      <c r="AL230" s="34">
        <f>MAX(F230,G230,750)*0.05*AK230</f>
        <v/>
      </c>
      <c r="AM230" s="39" t="n">
        <v>8</v>
      </c>
      <c r="AN230" s="34">
        <f>IF(AI230&gt;AM230*1.05,AI230-AM230*1.05,IF(AI230&lt;AM230*0.95,AM230*0.95-AI230,0))</f>
        <v/>
      </c>
      <c r="AO230" s="34">
        <f>MAX(F230,G230,750)*0.05*AN230</f>
        <v/>
      </c>
      <c r="AP230" s="34" t="n"/>
      <c r="AQ230" s="34" t="n">
        <v>11</v>
      </c>
      <c r="AR230" s="34">
        <f>IF(AP230&gt;AQ230*1.05,AP230-AQ230*1.05,IF(AP230&lt;AQ230*0.95,AQ230*0.95-AP230,0))</f>
        <v/>
      </c>
      <c r="AS230" s="34">
        <f>MAX(F230:G230,750)*0.05*AR230</f>
        <v/>
      </c>
      <c r="AT230" t="n">
        <v>11</v>
      </c>
      <c r="AU230" s="34">
        <f>IF(AP230&gt;AT230*1.05,AP230-AT230*1.05,IF(AP230&lt;AT230*0.95,AT230*0.95-AP230,0))</f>
        <v/>
      </c>
      <c r="AV230" s="34">
        <f>MAX(F230:G230,750)*0.05*AU230</f>
        <v/>
      </c>
      <c r="AW230" s="34">
        <f>AC230+AJ230+AQ230</f>
        <v/>
      </c>
      <c r="AX230" s="34">
        <f>AF230+AM230+AT230</f>
        <v/>
      </c>
      <c r="AY230" s="34">
        <f>AB230+AI230+AP230</f>
        <v/>
      </c>
      <c r="AZ230" s="34" t="n">
        <v>0</v>
      </c>
      <c r="BA230" s="34">
        <f>AD230+AK230+AR230</f>
        <v/>
      </c>
      <c r="BB230" s="34">
        <f>MAX(F230:G230,750)*0.05*BA230</f>
        <v/>
      </c>
      <c r="BC230" s="34">
        <f>AG230+AN230+AU230</f>
        <v/>
      </c>
      <c r="BD230" s="34">
        <f>MAX(F230:G230,750)*0.05*BC230</f>
        <v/>
      </c>
      <c r="BE230" s="34">
        <f>F230*AY230</f>
        <v/>
      </c>
      <c r="BF230" s="34">
        <f>K230-M230</f>
        <v/>
      </c>
      <c r="BG230" s="34">
        <f>P230-S230</f>
        <v/>
      </c>
      <c r="BH230" s="34">
        <f>W230-AA230</f>
        <v/>
      </c>
      <c r="BI230" s="34">
        <f>BF230+BG230+BL230-BN230</f>
        <v/>
      </c>
      <c r="BJ230" s="34">
        <f>ABS(BK230)</f>
        <v/>
      </c>
      <c r="BK230" s="34">
        <f>AY230-(J230-L230+N230-Q230)</f>
        <v/>
      </c>
      <c r="BL230" s="34">
        <f>IF(AND(BK230&gt;0,MIN($F230:$G230)&lt;150,$E230="Enerji Açığı"),-100*BK230*1.03,IF(AND(BK230&gt;0,MIN($F230:$G230)&lt;150,$E230="Enerji Fazlası"),-100*BK230*1.06,IF(AND(BK230&gt;0,MIN($F230:$G230)&gt;=150,$E230="Enerji Açığı"),BK230*MIN($F230:$G230)*0.97,IF(AND(BK230&gt;0,MIN($F230:$G230)&gt;=150,$E230="Enerji Fazlası"),BK230*MIN($F230:$G230)*0.94,IF(AND(BK230&lt;0,MAX($F230:$G230)=4500,$E230="Enerji Açığı"),4500*1.05*1.06*BK230,IF(AND(BK230&lt;0,MAX($F230:$G230)=4500,$E230="Enerji Fazlası"),4500*1.05*1.03*BK230,IF(AND(BK230&lt;0,$E230="Enerji Açığı"),MAX($F230,$G230,150)*BK230*1.06,IF(AND(BK230&lt;0,$E230="Enerji Fazlası"),MAX($F230,$G230,150)*BK230*1.03,IF(AND(BK230&lt;0,$E230="Dengede"),MAX($F230:$G230,150)*1.03*BK230,MIN($F230:$G230)*0.97*BK230)))))))))</f>
        <v/>
      </c>
      <c r="BM230" s="34">
        <f>BE230-BI230-BN230</f>
        <v/>
      </c>
      <c r="BN230" s="34">
        <f>BB230</f>
        <v/>
      </c>
      <c r="BO230" s="34">
        <f>BE230-BI230</f>
        <v/>
      </c>
      <c r="BP230" s="34">
        <f>IF(AY230=0,0,BO230/AY230)</f>
        <v/>
      </c>
      <c r="BQ230" s="34">
        <f>MAX((AY230+MAX((-J230+L230-N230+Q230),0)),(MAX((J230-L230+N230-Q230),0)))</f>
        <v/>
      </c>
      <c r="BR230" s="82">
        <f>IFERROR(ABS(BK230/BQ230),0)</f>
        <v/>
      </c>
      <c r="BS230" s="34">
        <f>IF(BR230&lt;=0.1,0,BK230/BR230*(BR230-0.1))</f>
        <v/>
      </c>
      <c r="BT230" s="34">
        <f>IF((BS230)&lt;0,MAX(F230:G230)*(BS230)*1.03,MIN(F230:G230)*(BS230)*0.97)</f>
        <v/>
      </c>
      <c r="BU230" s="34">
        <f>IF(BR230&gt;0.1,1,0)</f>
        <v/>
      </c>
      <c r="BV230" s="34">
        <f>BF230+BG230+BH230+BY230-CA230</f>
        <v/>
      </c>
      <c r="BW230" s="34">
        <f>ABS(BX230)</f>
        <v/>
      </c>
      <c r="BX230" s="34">
        <f>AY230-(J230-L230+N230-Q230+T230-X230)</f>
        <v/>
      </c>
      <c r="BY230" s="34">
        <f>IF(AND(BX230&gt;0,MIN($F230:$G230)&lt;150,$E230="Enerji Açığı"),-100*BX230*1.03,IF(AND(BX230&gt;0,MIN($F230:$G230)&lt;150,$E230="Enerji Fazlası"),-100*BX230*1.06,IF(AND(BX230&gt;0,MIN($F230:$G230)&gt;=150,$E230="Enerji Açığı"),BX230*MIN($F230:$G230)*0.97,IF(AND(BX230&gt;0,MIN($F230:$G230)&gt;=150,$E230="Enerji Fazlası"),BX230*MIN($F230:$G230)*0.94,IF(AND(BX230&lt;0,MAX($F230:$G230)=4500,$E230="Enerji Açığı"),4500*1.05*1.06*BX230,IF(AND(BX230&lt;0,MAX($F230:$G230)=4500,$E230="Enerji Fazlası"),4500*1.05*1.03*BX230,IF(AND(BX230&lt;0,$E230="Enerji Açığı"),MAX($F230,$G230,150)*BX230*1.06,IF(AND(BX230&lt;0,$E230="Enerji Fazlası"),MAX($F230,$G230,150)*BX230*1.03,IF(AND(BX230&lt;0,$E230="Dengede"),MAX($F230:$G230,150)*1.03*BX230,MIN($F230:$G230)*0.97*BX230)))))))))</f>
        <v/>
      </c>
      <c r="BZ230" s="34">
        <f>BE230-BV230-CA230</f>
        <v/>
      </c>
      <c r="CA230" s="34">
        <f>BD230</f>
        <v/>
      </c>
      <c r="CB230" s="33">
        <f>BE230-BV230</f>
        <v/>
      </c>
      <c r="CC230" s="34">
        <f>IF(AY230=0,0,CB230/AY230)</f>
        <v/>
      </c>
      <c r="CD230" s="34">
        <f>MAX((AY230+MAX((-J230+L230-N230+Q230-T230+X230),0)),(MAX((J230-L230+N230-Q230+T230-X230),0)))</f>
        <v/>
      </c>
      <c r="CE230" s="82">
        <f>IFERROR(ABS(BX230/CD230),0)</f>
        <v/>
      </c>
      <c r="CF230" s="34">
        <f>IF(CE230&lt;=0.1,0,BX230/CE230*(CE230-0.1))</f>
        <v/>
      </c>
      <c r="CG230" s="34">
        <f>IF((CF230)&lt;0,MAX(F230:G230)*(CF230)*1.03,MIN(F230:G230)*(CF230)*0.97)</f>
        <v/>
      </c>
      <c r="CH230" s="34">
        <f>IF(CE230&gt;0.1,1,0)</f>
        <v/>
      </c>
      <c r="CI230" s="34">
        <f>(F230*BX230)-BY230</f>
        <v/>
      </c>
      <c r="CJ230" s="34">
        <f>IF(AY230=0,0,CI230/AY230)</f>
        <v/>
      </c>
    </row>
    <row r="231">
      <c r="A231" s="29" t="n">
        <v>46213.5</v>
      </c>
      <c r="B231" s="29" t="inlineStr">
        <is>
          <t>12:00</t>
        </is>
      </c>
      <c r="C231" s="35">
        <f>INT(A231)</f>
        <v/>
      </c>
      <c r="D231" s="36">
        <f>MONTH(A231)</f>
        <v/>
      </c>
      <c r="E231" s="147" t="inlineStr"/>
      <c r="F231" s="30" t="n">
        <v>1400</v>
      </c>
      <c r="G231" s="30" t="n"/>
      <c r="H231" s="30" t="n">
        <v>29.93</v>
      </c>
      <c r="I231" s="30" t="n">
        <v>1359.18</v>
      </c>
      <c r="J231" s="119" t="n">
        <v>0</v>
      </c>
      <c r="K231" s="34">
        <f>F231*J231</f>
        <v/>
      </c>
      <c r="L231" s="119" t="n">
        <v>0</v>
      </c>
      <c r="M231" s="34">
        <f>L231*F231</f>
        <v/>
      </c>
      <c r="N231" s="119" t="n">
        <v>16</v>
      </c>
      <c r="O231" s="34">
        <f>F231</f>
        <v/>
      </c>
      <c r="P231" s="34">
        <f>N231*O231</f>
        <v/>
      </c>
      <c r="Q231" s="117" t="n">
        <v>0</v>
      </c>
      <c r="R231" s="34">
        <f>F231</f>
        <v/>
      </c>
      <c r="S231" s="34">
        <f>R231*Q231</f>
        <v/>
      </c>
      <c r="T231" s="34" t="n"/>
      <c r="U231" s="34">
        <f>IFERROR(W231/T231,0)</f>
        <v/>
      </c>
      <c r="V231" s="34">
        <f>IF(U231=0,0,U231-F231)</f>
        <v/>
      </c>
      <c r="W231" s="34" t="n"/>
      <c r="X231" s="34" t="n"/>
      <c r="Y231" s="34">
        <f>IFERROR(AA231/X231,0)</f>
        <v/>
      </c>
      <c r="Z231" s="34">
        <f>IF(Y231=0,0,F231-Y231)</f>
        <v/>
      </c>
      <c r="AA231" s="34" t="n"/>
      <c r="AB231" s="34" t="n"/>
      <c r="AC231" s="34" t="n">
        <v>0</v>
      </c>
      <c r="AD231" s="34">
        <f>IF(AB231&gt;AC231*1.05,AB231-AC231*1.05,IF(AB231&lt;AC231*0.95,AC231*0.95-AB231,0))</f>
        <v/>
      </c>
      <c r="AE231" s="34">
        <f>MAX(F231,G231,750)*0.05*AD231</f>
        <v/>
      </c>
      <c r="AF231" s="34" t="n">
        <v>0</v>
      </c>
      <c r="AG231" s="34">
        <f>IF(AB231&gt;AF231*1.05,AB231-AF231*1.05,IF(AB231&lt;AF231*0.95,AF231*0.95-AB231,0))</f>
        <v/>
      </c>
      <c r="AH231" s="34">
        <f>MAX(I231,J231,750)*0.05*AG231</f>
        <v/>
      </c>
      <c r="AJ231" t="n">
        <v>8</v>
      </c>
      <c r="AK231" s="34">
        <f>IF(AI231&gt;AJ231*1.05,AI231-AJ231*1.05,IF(AI231&lt;AJ231*0.95,AJ231*0.95-AI231,0))</f>
        <v/>
      </c>
      <c r="AL231" s="34">
        <f>MAX(F231,G231,750)*0.05*AK231</f>
        <v/>
      </c>
      <c r="AM231" s="39" t="n">
        <v>8</v>
      </c>
      <c r="AN231" s="34">
        <f>IF(AI231&gt;AM231*1.05,AI231-AM231*1.05,IF(AI231&lt;AM231*0.95,AM231*0.95-AI231,0))</f>
        <v/>
      </c>
      <c r="AO231" s="34">
        <f>MAX(F231,G231,750)*0.05*AN231</f>
        <v/>
      </c>
      <c r="AP231" s="34" t="n"/>
      <c r="AQ231" s="34" t="n">
        <v>11</v>
      </c>
      <c r="AR231" s="34">
        <f>IF(AP231&gt;AQ231*1.05,AP231-AQ231*1.05,IF(AP231&lt;AQ231*0.95,AQ231*0.95-AP231,0))</f>
        <v/>
      </c>
      <c r="AS231" s="34">
        <f>MAX(F231:G231,750)*0.05*AR231</f>
        <v/>
      </c>
      <c r="AT231" t="n">
        <v>11</v>
      </c>
      <c r="AU231" s="34">
        <f>IF(AP231&gt;AT231*1.05,AP231-AT231*1.05,IF(AP231&lt;AT231*0.95,AT231*0.95-AP231,0))</f>
        <v/>
      </c>
      <c r="AV231" s="34">
        <f>MAX(F231:G231,750)*0.05*AU231</f>
        <v/>
      </c>
      <c r="AW231" s="34">
        <f>AC231+AJ231+AQ231</f>
        <v/>
      </c>
      <c r="AX231" s="34">
        <f>AF231+AM231+AT231</f>
        <v/>
      </c>
      <c r="AY231" s="34">
        <f>AB231+AI231+AP231</f>
        <v/>
      </c>
      <c r="AZ231" s="34" t="n">
        <v>0</v>
      </c>
      <c r="BA231" s="34">
        <f>AD231+AK231+AR231</f>
        <v/>
      </c>
      <c r="BB231" s="34">
        <f>MAX(F231:G231,750)*0.05*BA231</f>
        <v/>
      </c>
      <c r="BC231" s="34">
        <f>AG231+AN231+AU231</f>
        <v/>
      </c>
      <c r="BD231" s="34">
        <f>MAX(F231:G231,750)*0.05*BC231</f>
        <v/>
      </c>
      <c r="BE231" s="34">
        <f>F231*AY231</f>
        <v/>
      </c>
      <c r="BF231" s="34">
        <f>K231-M231</f>
        <v/>
      </c>
      <c r="BG231" s="34">
        <f>P231-S231</f>
        <v/>
      </c>
      <c r="BH231" s="34">
        <f>W231-AA231</f>
        <v/>
      </c>
      <c r="BI231" s="34">
        <f>BF231+BG231+BL231-BN231</f>
        <v/>
      </c>
      <c r="BJ231" s="34">
        <f>ABS(BK231)</f>
        <v/>
      </c>
      <c r="BK231" s="34">
        <f>AY231-(J231-L231+N231-Q231)</f>
        <v/>
      </c>
      <c r="BL231" s="34">
        <f>IF(AND(BK231&gt;0,MIN($F231:$G231)&lt;150,$E231="Enerji Açığı"),-100*BK231*1.03,IF(AND(BK231&gt;0,MIN($F231:$G231)&lt;150,$E231="Enerji Fazlası"),-100*BK231*1.06,IF(AND(BK231&gt;0,MIN($F231:$G231)&gt;=150,$E231="Enerji Açığı"),BK231*MIN($F231:$G231)*0.97,IF(AND(BK231&gt;0,MIN($F231:$G231)&gt;=150,$E231="Enerji Fazlası"),BK231*MIN($F231:$G231)*0.94,IF(AND(BK231&lt;0,MAX($F231:$G231)=4500,$E231="Enerji Açığı"),4500*1.05*1.06*BK231,IF(AND(BK231&lt;0,MAX($F231:$G231)=4500,$E231="Enerji Fazlası"),4500*1.05*1.03*BK231,IF(AND(BK231&lt;0,$E231="Enerji Açığı"),MAX($F231,$G231,150)*BK231*1.06,IF(AND(BK231&lt;0,$E231="Enerji Fazlası"),MAX($F231,$G231,150)*BK231*1.03,IF(AND(BK231&lt;0,$E231="Dengede"),MAX($F231:$G231,150)*1.03*BK231,MIN($F231:$G231)*0.97*BK231)))))))))</f>
        <v/>
      </c>
      <c r="BM231" s="34">
        <f>BE231-BI231-BN231</f>
        <v/>
      </c>
      <c r="BN231" s="34">
        <f>BB231</f>
        <v/>
      </c>
      <c r="BO231" s="34">
        <f>BE231-BI231</f>
        <v/>
      </c>
      <c r="BP231" s="34">
        <f>IF(AY231=0,0,BO231/AY231)</f>
        <v/>
      </c>
      <c r="BQ231" s="34">
        <f>MAX((AY231+MAX((-J231+L231-N231+Q231),0)),(MAX((J231-L231+N231-Q231),0)))</f>
        <v/>
      </c>
      <c r="BR231" s="82">
        <f>IFERROR(ABS(BK231/BQ231),0)</f>
        <v/>
      </c>
      <c r="BS231" s="34">
        <f>IF(BR231&lt;=0.1,0,BK231/BR231*(BR231-0.1))</f>
        <v/>
      </c>
      <c r="BT231" s="34">
        <f>IF((BS231)&lt;0,MAX(F231:G231)*(BS231)*1.03,MIN(F231:G231)*(BS231)*0.97)</f>
        <v/>
      </c>
      <c r="BU231" s="34">
        <f>IF(BR231&gt;0.1,1,0)</f>
        <v/>
      </c>
      <c r="BV231" s="34">
        <f>BF231+BG231+BH231+BY231-CA231</f>
        <v/>
      </c>
      <c r="BW231" s="34">
        <f>ABS(BX231)</f>
        <v/>
      </c>
      <c r="BX231" s="34">
        <f>AY231-(J231-L231+N231-Q231+T231-X231)</f>
        <v/>
      </c>
      <c r="BY231" s="34">
        <f>IF(AND(BX231&gt;0,MIN($F231:$G231)&lt;150,$E231="Enerji Açığı"),-100*BX231*1.03,IF(AND(BX231&gt;0,MIN($F231:$G231)&lt;150,$E231="Enerji Fazlası"),-100*BX231*1.06,IF(AND(BX231&gt;0,MIN($F231:$G231)&gt;=150,$E231="Enerji Açığı"),BX231*MIN($F231:$G231)*0.97,IF(AND(BX231&gt;0,MIN($F231:$G231)&gt;=150,$E231="Enerji Fazlası"),BX231*MIN($F231:$G231)*0.94,IF(AND(BX231&lt;0,MAX($F231:$G231)=4500,$E231="Enerji Açığı"),4500*1.05*1.06*BX231,IF(AND(BX231&lt;0,MAX($F231:$G231)=4500,$E231="Enerji Fazlası"),4500*1.05*1.03*BX231,IF(AND(BX231&lt;0,$E231="Enerji Açığı"),MAX($F231,$G231,150)*BX231*1.06,IF(AND(BX231&lt;0,$E231="Enerji Fazlası"),MAX($F231,$G231,150)*BX231*1.03,IF(AND(BX231&lt;0,$E231="Dengede"),MAX($F231:$G231,150)*1.03*BX231,MIN($F231:$G231)*0.97*BX231)))))))))</f>
        <v/>
      </c>
      <c r="BZ231" s="34">
        <f>BE231-BV231-CA231</f>
        <v/>
      </c>
      <c r="CA231" s="34">
        <f>BD231</f>
        <v/>
      </c>
      <c r="CB231" s="33">
        <f>BE231-BV231</f>
        <v/>
      </c>
      <c r="CC231" s="34">
        <f>IF(AY231=0,0,CB231/AY231)</f>
        <v/>
      </c>
      <c r="CD231" s="34">
        <f>MAX((AY231+MAX((-J231+L231-N231+Q231-T231+X231),0)),(MAX((J231-L231+N231-Q231+T231-X231),0)))</f>
        <v/>
      </c>
      <c r="CE231" s="82">
        <f>IFERROR(ABS(BX231/CD231),0)</f>
        <v/>
      </c>
      <c r="CF231" s="34">
        <f>IF(CE231&lt;=0.1,0,BX231/CE231*(CE231-0.1))</f>
        <v/>
      </c>
      <c r="CG231" s="34">
        <f>IF((CF231)&lt;0,MAX(F231:G231)*(CF231)*1.03,MIN(F231:G231)*(CF231)*0.97)</f>
        <v/>
      </c>
      <c r="CH231" s="34">
        <f>IF(CE231&gt;0.1,1,0)</f>
        <v/>
      </c>
      <c r="CI231" s="34">
        <f>(F231*BX231)-BY231</f>
        <v/>
      </c>
      <c r="CJ231" s="34">
        <f>IF(AY231=0,0,CI231/AY231)</f>
        <v/>
      </c>
    </row>
    <row r="232">
      <c r="A232" s="29" t="n">
        <v>46213.54166666666</v>
      </c>
      <c r="B232" s="29" t="inlineStr">
        <is>
          <t>13:00</t>
        </is>
      </c>
      <c r="C232" s="35">
        <f>INT(A232)</f>
        <v/>
      </c>
      <c r="D232" s="36">
        <f>MONTH(A232)</f>
        <v/>
      </c>
      <c r="E232" s="147" t="inlineStr"/>
      <c r="F232" s="30" t="n">
        <v>1499.98</v>
      </c>
      <c r="G232" s="30" t="n"/>
      <c r="H232" s="30" t="n">
        <v>32.07</v>
      </c>
      <c r="I232" s="30" t="n">
        <v>1430.67</v>
      </c>
      <c r="J232" s="119" t="n">
        <v>0</v>
      </c>
      <c r="K232" s="34">
        <f>F232*J232</f>
        <v/>
      </c>
      <c r="L232" s="119" t="n">
        <v>0</v>
      </c>
      <c r="M232" s="34">
        <f>L232*F232</f>
        <v/>
      </c>
      <c r="N232" s="119" t="n">
        <v>16</v>
      </c>
      <c r="O232" s="34">
        <f>F232</f>
        <v/>
      </c>
      <c r="P232" s="34">
        <f>N232*O232</f>
        <v/>
      </c>
      <c r="Q232" s="117" t="n">
        <v>0</v>
      </c>
      <c r="R232" s="34">
        <f>F232</f>
        <v/>
      </c>
      <c r="S232" s="34">
        <f>R232*Q232</f>
        <v/>
      </c>
      <c r="T232" s="34" t="n"/>
      <c r="U232" s="34">
        <f>IFERROR(W232/T232,0)</f>
        <v/>
      </c>
      <c r="V232" s="34">
        <f>IF(U232=0,0,U232-F232)</f>
        <v/>
      </c>
      <c r="W232" s="34" t="n"/>
      <c r="X232" s="34" t="n"/>
      <c r="Y232" s="34">
        <f>IFERROR(AA232/X232,0)</f>
        <v/>
      </c>
      <c r="Z232" s="34">
        <f>IF(Y232=0,0,F232-Y232)</f>
        <v/>
      </c>
      <c r="AA232" s="34" t="n"/>
      <c r="AB232" s="34" t="n"/>
      <c r="AC232" s="34" t="n">
        <v>0</v>
      </c>
      <c r="AD232" s="34">
        <f>IF(AB232&gt;AC232*1.05,AB232-AC232*1.05,IF(AB232&lt;AC232*0.95,AC232*0.95-AB232,0))</f>
        <v/>
      </c>
      <c r="AE232" s="34">
        <f>MAX(F232,G232,750)*0.05*AD232</f>
        <v/>
      </c>
      <c r="AF232" s="34" t="n">
        <v>0</v>
      </c>
      <c r="AG232" s="34">
        <f>IF(AB232&gt;AF232*1.05,AB232-AF232*1.05,IF(AB232&lt;AF232*0.95,AF232*0.95-AB232,0))</f>
        <v/>
      </c>
      <c r="AH232" s="34">
        <f>MAX(I232,J232,750)*0.05*AG232</f>
        <v/>
      </c>
      <c r="AJ232" t="n">
        <v>8</v>
      </c>
      <c r="AK232" s="34">
        <f>IF(AI232&gt;AJ232*1.05,AI232-AJ232*1.05,IF(AI232&lt;AJ232*0.95,AJ232*0.95-AI232,0))</f>
        <v/>
      </c>
      <c r="AL232" s="34">
        <f>MAX(F232,G232,750)*0.05*AK232</f>
        <v/>
      </c>
      <c r="AM232" s="39" t="n">
        <v>8</v>
      </c>
      <c r="AN232" s="34">
        <f>IF(AI232&gt;AM232*1.05,AI232-AM232*1.05,IF(AI232&lt;AM232*0.95,AM232*0.95-AI232,0))</f>
        <v/>
      </c>
      <c r="AO232" s="34">
        <f>MAX(F232,G232,750)*0.05*AN232</f>
        <v/>
      </c>
      <c r="AP232" s="34" t="n"/>
      <c r="AQ232" s="34" t="n">
        <v>11</v>
      </c>
      <c r="AR232" s="34">
        <f>IF(AP232&gt;AQ232*1.05,AP232-AQ232*1.05,IF(AP232&lt;AQ232*0.95,AQ232*0.95-AP232,0))</f>
        <v/>
      </c>
      <c r="AS232" s="34">
        <f>MAX(F232:G232,750)*0.05*AR232</f>
        <v/>
      </c>
      <c r="AT232" t="n">
        <v>11</v>
      </c>
      <c r="AU232" s="34">
        <f>IF(AP232&gt;AT232*1.05,AP232-AT232*1.05,IF(AP232&lt;AT232*0.95,AT232*0.95-AP232,0))</f>
        <v/>
      </c>
      <c r="AV232" s="34">
        <f>MAX(F232:G232,750)*0.05*AU232</f>
        <v/>
      </c>
      <c r="AW232" s="34">
        <f>AC232+AJ232+AQ232</f>
        <v/>
      </c>
      <c r="AX232" s="34">
        <f>AF232+AM232+AT232</f>
        <v/>
      </c>
      <c r="AY232" s="34">
        <f>AB232+AI232+AP232</f>
        <v/>
      </c>
      <c r="AZ232" s="34" t="n">
        <v>0</v>
      </c>
      <c r="BA232" s="34">
        <f>AD232+AK232+AR232</f>
        <v/>
      </c>
      <c r="BB232" s="34">
        <f>MAX(F232:G232,750)*0.05*BA232</f>
        <v/>
      </c>
      <c r="BC232" s="34">
        <f>AG232+AN232+AU232</f>
        <v/>
      </c>
      <c r="BD232" s="34">
        <f>MAX(F232:G232,750)*0.05*BC232</f>
        <v/>
      </c>
      <c r="BE232" s="34">
        <f>F232*AY232</f>
        <v/>
      </c>
      <c r="BF232" s="34">
        <f>K232-M232</f>
        <v/>
      </c>
      <c r="BG232" s="34">
        <f>P232-S232</f>
        <v/>
      </c>
      <c r="BH232" s="34">
        <f>W232-AA232</f>
        <v/>
      </c>
      <c r="BI232" s="34">
        <f>BF232+BG232+BL232-BN232</f>
        <v/>
      </c>
      <c r="BJ232" s="34">
        <f>ABS(BK232)</f>
        <v/>
      </c>
      <c r="BK232" s="34">
        <f>AY232-(J232-L232+N232-Q232)</f>
        <v/>
      </c>
      <c r="BL232" s="34">
        <f>IF(AND(BK232&gt;0,MIN($F232:$G232)&lt;150,$E232="Enerji Açığı"),-100*BK232*1.03,IF(AND(BK232&gt;0,MIN($F232:$G232)&lt;150,$E232="Enerji Fazlası"),-100*BK232*1.06,IF(AND(BK232&gt;0,MIN($F232:$G232)&gt;=150,$E232="Enerji Açığı"),BK232*MIN($F232:$G232)*0.97,IF(AND(BK232&gt;0,MIN($F232:$G232)&gt;=150,$E232="Enerji Fazlası"),BK232*MIN($F232:$G232)*0.94,IF(AND(BK232&lt;0,MAX($F232:$G232)=4500,$E232="Enerji Açığı"),4500*1.05*1.06*BK232,IF(AND(BK232&lt;0,MAX($F232:$G232)=4500,$E232="Enerji Fazlası"),4500*1.05*1.03*BK232,IF(AND(BK232&lt;0,$E232="Enerji Açığı"),MAX($F232,$G232,150)*BK232*1.06,IF(AND(BK232&lt;0,$E232="Enerji Fazlası"),MAX($F232,$G232,150)*BK232*1.03,IF(AND(BK232&lt;0,$E232="Dengede"),MAX($F232:$G232,150)*1.03*BK232,MIN($F232:$G232)*0.97*BK232)))))))))</f>
        <v/>
      </c>
      <c r="BM232" s="34">
        <f>BE232-BI232-BN232</f>
        <v/>
      </c>
      <c r="BN232" s="34">
        <f>BB232</f>
        <v/>
      </c>
      <c r="BO232" s="34">
        <f>BE232-BI232</f>
        <v/>
      </c>
      <c r="BP232" s="34">
        <f>IF(AY232=0,0,BO232/AY232)</f>
        <v/>
      </c>
      <c r="BQ232" s="34">
        <f>MAX((AY232+MAX((-J232+L232-N232+Q232),0)),(MAX((J232-L232+N232-Q232),0)))</f>
        <v/>
      </c>
      <c r="BR232" s="82">
        <f>IFERROR(ABS(BK232/BQ232),0)</f>
        <v/>
      </c>
      <c r="BS232" s="34">
        <f>IF(BR232&lt;=0.1,0,BK232/BR232*(BR232-0.1))</f>
        <v/>
      </c>
      <c r="BT232" s="34">
        <f>IF((BS232)&lt;0,MAX(F232:G232)*(BS232)*1.03,MIN(F232:G232)*(BS232)*0.97)</f>
        <v/>
      </c>
      <c r="BU232" s="34">
        <f>IF(BR232&gt;0.1,1,0)</f>
        <v/>
      </c>
      <c r="BV232" s="34">
        <f>BF232+BG232+BH232+BY232-CA232</f>
        <v/>
      </c>
      <c r="BW232" s="34">
        <f>ABS(BX232)</f>
        <v/>
      </c>
      <c r="BX232" s="34">
        <f>AY232-(J232-L232+N232-Q232+T232-X232)</f>
        <v/>
      </c>
      <c r="BY232" s="34">
        <f>IF(AND(BX232&gt;0,MIN($F232:$G232)&lt;150,$E232="Enerji Açığı"),-100*BX232*1.03,IF(AND(BX232&gt;0,MIN($F232:$G232)&lt;150,$E232="Enerji Fazlası"),-100*BX232*1.06,IF(AND(BX232&gt;0,MIN($F232:$G232)&gt;=150,$E232="Enerji Açığı"),BX232*MIN($F232:$G232)*0.97,IF(AND(BX232&gt;0,MIN($F232:$G232)&gt;=150,$E232="Enerji Fazlası"),BX232*MIN($F232:$G232)*0.94,IF(AND(BX232&lt;0,MAX($F232:$G232)=4500,$E232="Enerji Açığı"),4500*1.05*1.06*BX232,IF(AND(BX232&lt;0,MAX($F232:$G232)=4500,$E232="Enerji Fazlası"),4500*1.05*1.03*BX232,IF(AND(BX232&lt;0,$E232="Enerji Açığı"),MAX($F232,$G232,150)*BX232*1.06,IF(AND(BX232&lt;0,$E232="Enerji Fazlası"),MAX($F232,$G232,150)*BX232*1.03,IF(AND(BX232&lt;0,$E232="Dengede"),MAX($F232:$G232,150)*1.03*BX232,MIN($F232:$G232)*0.97*BX232)))))))))</f>
        <v/>
      </c>
      <c r="BZ232" s="34">
        <f>BE232-BV232-CA232</f>
        <v/>
      </c>
      <c r="CA232" s="34">
        <f>BD232</f>
        <v/>
      </c>
      <c r="CB232" s="33">
        <f>BE232-BV232</f>
        <v/>
      </c>
      <c r="CC232" s="34">
        <f>IF(AY232=0,0,CB232/AY232)</f>
        <v/>
      </c>
      <c r="CD232" s="34">
        <f>MAX((AY232+MAX((-J232+L232-N232+Q232-T232+X232),0)),(MAX((J232-L232+N232-Q232+T232-X232),0)))</f>
        <v/>
      </c>
      <c r="CE232" s="82">
        <f>IFERROR(ABS(BX232/CD232),0)</f>
        <v/>
      </c>
      <c r="CF232" s="34">
        <f>IF(CE232&lt;=0.1,0,BX232/CE232*(CE232-0.1))</f>
        <v/>
      </c>
      <c r="CG232" s="34">
        <f>IF((CF232)&lt;0,MAX(F232:G232)*(CF232)*1.03,MIN(F232:G232)*(CF232)*0.97)</f>
        <v/>
      </c>
      <c r="CH232" s="34">
        <f>IF(CE232&gt;0.1,1,0)</f>
        <v/>
      </c>
      <c r="CI232" s="34">
        <f>(F232*BX232)-BY232</f>
        <v/>
      </c>
      <c r="CJ232" s="34">
        <f>IF(AY232=0,0,CI232/AY232)</f>
        <v/>
      </c>
    </row>
    <row r="233">
      <c r="A233" s="29" t="n">
        <v>46213.58333333334</v>
      </c>
      <c r="B233" s="29" t="inlineStr">
        <is>
          <t>14:00</t>
        </is>
      </c>
      <c r="C233" s="35">
        <f>INT(A233)</f>
        <v/>
      </c>
      <c r="D233" s="36">
        <f>MONTH(A233)</f>
        <v/>
      </c>
      <c r="E233" s="147" t="inlineStr"/>
      <c r="F233" s="30" t="n">
        <v>3325</v>
      </c>
      <c r="G233" s="30" t="n"/>
      <c r="H233" s="30" t="n">
        <v>71.09</v>
      </c>
      <c r="I233" s="30" t="n">
        <v>3078.54</v>
      </c>
      <c r="J233" s="119" t="n">
        <v>0</v>
      </c>
      <c r="K233" s="34">
        <f>F233*J233</f>
        <v/>
      </c>
      <c r="L233" s="119" t="n">
        <v>0</v>
      </c>
      <c r="M233" s="34">
        <f>L233*F233</f>
        <v/>
      </c>
      <c r="N233" s="119" t="n">
        <v>16</v>
      </c>
      <c r="O233" s="34">
        <f>F233</f>
        <v/>
      </c>
      <c r="P233" s="34">
        <f>N233*O233</f>
        <v/>
      </c>
      <c r="Q233" s="117" t="n">
        <v>0</v>
      </c>
      <c r="R233" s="34">
        <f>F233</f>
        <v/>
      </c>
      <c r="S233" s="34">
        <f>R233*Q233</f>
        <v/>
      </c>
      <c r="T233" s="34" t="n"/>
      <c r="U233" s="34">
        <f>IFERROR(W233/T233,0)</f>
        <v/>
      </c>
      <c r="V233" s="34">
        <f>IF(U233=0,0,U233-F233)</f>
        <v/>
      </c>
      <c r="W233" s="34" t="n"/>
      <c r="X233" s="34" t="n"/>
      <c r="Y233" s="34">
        <f>IFERROR(AA233/X233,0)</f>
        <v/>
      </c>
      <c r="Z233" s="34">
        <f>IF(Y233=0,0,F233-Y233)</f>
        <v/>
      </c>
      <c r="AA233" s="34" t="n"/>
      <c r="AB233" s="34" t="n"/>
      <c r="AC233" s="34" t="n">
        <v>0</v>
      </c>
      <c r="AD233" s="34">
        <f>IF(AB233&gt;AC233*1.05,AB233-AC233*1.05,IF(AB233&lt;AC233*0.95,AC233*0.95-AB233,0))</f>
        <v/>
      </c>
      <c r="AE233" s="34">
        <f>MAX(F233,G233,750)*0.05*AD233</f>
        <v/>
      </c>
      <c r="AF233" s="34" t="n">
        <v>0</v>
      </c>
      <c r="AG233" s="34">
        <f>IF(AB233&gt;AF233*1.05,AB233-AF233*1.05,IF(AB233&lt;AF233*0.95,AF233*0.95-AB233,0))</f>
        <v/>
      </c>
      <c r="AH233" s="34">
        <f>MAX(I233,J233,750)*0.05*AG233</f>
        <v/>
      </c>
      <c r="AJ233" t="n">
        <v>8</v>
      </c>
      <c r="AK233" s="34">
        <f>IF(AI233&gt;AJ233*1.05,AI233-AJ233*1.05,IF(AI233&lt;AJ233*0.95,AJ233*0.95-AI233,0))</f>
        <v/>
      </c>
      <c r="AL233" s="34">
        <f>MAX(F233,G233,750)*0.05*AK233</f>
        <v/>
      </c>
      <c r="AM233" s="39" t="n">
        <v>8</v>
      </c>
      <c r="AN233" s="34">
        <f>IF(AI233&gt;AM233*1.05,AI233-AM233*1.05,IF(AI233&lt;AM233*0.95,AM233*0.95-AI233,0))</f>
        <v/>
      </c>
      <c r="AO233" s="34">
        <f>MAX(F233,G233,750)*0.05*AN233</f>
        <v/>
      </c>
      <c r="AP233" s="34" t="n"/>
      <c r="AQ233" s="34" t="n">
        <v>11</v>
      </c>
      <c r="AR233" s="34">
        <f>IF(AP233&gt;AQ233*1.05,AP233-AQ233*1.05,IF(AP233&lt;AQ233*0.95,AQ233*0.95-AP233,0))</f>
        <v/>
      </c>
      <c r="AS233" s="34">
        <f>MAX(F233:G233,750)*0.05*AR233</f>
        <v/>
      </c>
      <c r="AT233" t="n">
        <v>11</v>
      </c>
      <c r="AU233" s="34">
        <f>IF(AP233&gt;AT233*1.05,AP233-AT233*1.05,IF(AP233&lt;AT233*0.95,AT233*0.95-AP233,0))</f>
        <v/>
      </c>
      <c r="AV233" s="34">
        <f>MAX(F233:G233,750)*0.05*AU233</f>
        <v/>
      </c>
      <c r="AW233" s="34">
        <f>AC233+AJ233+AQ233</f>
        <v/>
      </c>
      <c r="AX233" s="34">
        <f>AF233+AM233+AT233</f>
        <v/>
      </c>
      <c r="AY233" s="34">
        <f>AB233+AI233+AP233</f>
        <v/>
      </c>
      <c r="AZ233" s="34" t="n">
        <v>0</v>
      </c>
      <c r="BA233" s="34">
        <f>AD233+AK233+AR233</f>
        <v/>
      </c>
      <c r="BB233" s="34">
        <f>MAX(F233:G233,750)*0.05*BA233</f>
        <v/>
      </c>
      <c r="BC233" s="34">
        <f>AG233+AN233+AU233</f>
        <v/>
      </c>
      <c r="BD233" s="34">
        <f>MAX(F233:G233,750)*0.05*BC233</f>
        <v/>
      </c>
      <c r="BE233" s="34">
        <f>F233*AY233</f>
        <v/>
      </c>
      <c r="BF233" s="34">
        <f>K233-M233</f>
        <v/>
      </c>
      <c r="BG233" s="34">
        <f>P233-S233</f>
        <v/>
      </c>
      <c r="BH233" s="34">
        <f>W233-AA233</f>
        <v/>
      </c>
      <c r="BI233" s="34">
        <f>BF233+BG233+BL233-BN233</f>
        <v/>
      </c>
      <c r="BJ233" s="34">
        <f>ABS(BK233)</f>
        <v/>
      </c>
      <c r="BK233" s="34">
        <f>AY233-(J233-L233+N233-Q233)</f>
        <v/>
      </c>
      <c r="BL233" s="34">
        <f>IF(AND(BK233&gt;0,MIN($F233:$G233)&lt;150,$E233="Enerji Açığı"),-100*BK233*1.03,IF(AND(BK233&gt;0,MIN($F233:$G233)&lt;150,$E233="Enerji Fazlası"),-100*BK233*1.06,IF(AND(BK233&gt;0,MIN($F233:$G233)&gt;=150,$E233="Enerji Açığı"),BK233*MIN($F233:$G233)*0.97,IF(AND(BK233&gt;0,MIN($F233:$G233)&gt;=150,$E233="Enerji Fazlası"),BK233*MIN($F233:$G233)*0.94,IF(AND(BK233&lt;0,MAX($F233:$G233)=4500,$E233="Enerji Açığı"),4500*1.05*1.06*BK233,IF(AND(BK233&lt;0,MAX($F233:$G233)=4500,$E233="Enerji Fazlası"),4500*1.05*1.03*BK233,IF(AND(BK233&lt;0,$E233="Enerji Açığı"),MAX($F233,$G233,150)*BK233*1.06,IF(AND(BK233&lt;0,$E233="Enerji Fazlası"),MAX($F233,$G233,150)*BK233*1.03,IF(AND(BK233&lt;0,$E233="Dengede"),MAX($F233:$G233,150)*1.03*BK233,MIN($F233:$G233)*0.97*BK233)))))))))</f>
        <v/>
      </c>
      <c r="BM233" s="34">
        <f>BE233-BI233-BN233</f>
        <v/>
      </c>
      <c r="BN233" s="34">
        <f>BB233</f>
        <v/>
      </c>
      <c r="BO233" s="34">
        <f>BE233-BI233</f>
        <v/>
      </c>
      <c r="BP233" s="34">
        <f>IF(AY233=0,0,BO233/AY233)</f>
        <v/>
      </c>
      <c r="BQ233" s="34">
        <f>MAX((AY233+MAX((-J233+L233-N233+Q233),0)),(MAX((J233-L233+N233-Q233),0)))</f>
        <v/>
      </c>
      <c r="BR233" s="82">
        <f>IFERROR(ABS(BK233/BQ233),0)</f>
        <v/>
      </c>
      <c r="BS233" s="34">
        <f>IF(BR233&lt;=0.1,0,BK233/BR233*(BR233-0.1))</f>
        <v/>
      </c>
      <c r="BT233" s="34">
        <f>IF((BS233)&lt;0,MAX(F233:G233)*(BS233)*1.03,MIN(F233:G233)*(BS233)*0.97)</f>
        <v/>
      </c>
      <c r="BU233" s="34">
        <f>IF(BR233&gt;0.1,1,0)</f>
        <v/>
      </c>
      <c r="BV233" s="34">
        <f>BF233+BG233+BH233+BY233-CA233</f>
        <v/>
      </c>
      <c r="BW233" s="34">
        <f>ABS(BX233)</f>
        <v/>
      </c>
      <c r="BX233" s="34">
        <f>AY233-(J233-L233+N233-Q233+T233-X233)</f>
        <v/>
      </c>
      <c r="BY233" s="34">
        <f>IF(AND(BX233&gt;0,MIN($F233:$G233)&lt;150,$E233="Enerji Açığı"),-100*BX233*1.03,IF(AND(BX233&gt;0,MIN($F233:$G233)&lt;150,$E233="Enerji Fazlası"),-100*BX233*1.06,IF(AND(BX233&gt;0,MIN($F233:$G233)&gt;=150,$E233="Enerji Açığı"),BX233*MIN($F233:$G233)*0.97,IF(AND(BX233&gt;0,MIN($F233:$G233)&gt;=150,$E233="Enerji Fazlası"),BX233*MIN($F233:$G233)*0.94,IF(AND(BX233&lt;0,MAX($F233:$G233)=4500,$E233="Enerji Açığı"),4500*1.05*1.06*BX233,IF(AND(BX233&lt;0,MAX($F233:$G233)=4500,$E233="Enerji Fazlası"),4500*1.05*1.03*BX233,IF(AND(BX233&lt;0,$E233="Enerji Açığı"),MAX($F233,$G233,150)*BX233*1.06,IF(AND(BX233&lt;0,$E233="Enerji Fazlası"),MAX($F233,$G233,150)*BX233*1.03,IF(AND(BX233&lt;0,$E233="Dengede"),MAX($F233:$G233,150)*1.03*BX233,MIN($F233:$G233)*0.97*BX233)))))))))</f>
        <v/>
      </c>
      <c r="BZ233" s="34">
        <f>BE233-BV233-CA233</f>
        <v/>
      </c>
      <c r="CA233" s="34">
        <f>BD233</f>
        <v/>
      </c>
      <c r="CB233" s="33">
        <f>BE233-BV233</f>
        <v/>
      </c>
      <c r="CC233" s="34">
        <f>IF(AY233=0,0,CB233/AY233)</f>
        <v/>
      </c>
      <c r="CD233" s="34">
        <f>MAX((AY233+MAX((-J233+L233-N233+Q233-T233+X233),0)),(MAX((J233-L233+N233-Q233+T233-X233),0)))</f>
        <v/>
      </c>
      <c r="CE233" s="82">
        <f>IFERROR(ABS(BX233/CD233),0)</f>
        <v/>
      </c>
      <c r="CF233" s="34">
        <f>IF(CE233&lt;=0.1,0,BX233/CE233*(CE233-0.1))</f>
        <v/>
      </c>
      <c r="CG233" s="34">
        <f>IF((CF233)&lt;0,MAX(F233:G233)*(CF233)*1.03,MIN(F233:G233)*(CF233)*0.97)</f>
        <v/>
      </c>
      <c r="CH233" s="34">
        <f>IF(CE233&gt;0.1,1,0)</f>
        <v/>
      </c>
      <c r="CI233" s="34">
        <f>(F233*BX233)-BY233</f>
        <v/>
      </c>
      <c r="CJ233" s="34">
        <f>IF(AY233=0,0,CI233/AY233)</f>
        <v/>
      </c>
    </row>
    <row r="234">
      <c r="A234" s="29" t="n">
        <v>46213.625</v>
      </c>
      <c r="B234" s="29" t="inlineStr">
        <is>
          <t>15:00</t>
        </is>
      </c>
      <c r="C234" s="35">
        <f>INT(A234)</f>
        <v/>
      </c>
      <c r="D234" s="36">
        <f>MONTH(A234)</f>
        <v/>
      </c>
      <c r="E234" s="147" t="inlineStr"/>
      <c r="F234" s="30" t="n">
        <v>3000.01</v>
      </c>
      <c r="G234" s="30" t="n"/>
      <c r="H234" s="30" t="n">
        <v>64.14</v>
      </c>
      <c r="I234" s="30" t="n">
        <v>2851.06</v>
      </c>
      <c r="J234" s="119" t="n">
        <v>0</v>
      </c>
      <c r="K234" s="34">
        <f>F234*J234</f>
        <v/>
      </c>
      <c r="L234" s="119" t="n">
        <v>0</v>
      </c>
      <c r="M234" s="34">
        <f>L234*F234</f>
        <v/>
      </c>
      <c r="N234" s="119" t="n">
        <v>16</v>
      </c>
      <c r="O234" s="34">
        <f>F234</f>
        <v/>
      </c>
      <c r="P234" s="34">
        <f>N234*O234</f>
        <v/>
      </c>
      <c r="Q234" s="117" t="n">
        <v>0</v>
      </c>
      <c r="R234" s="34">
        <f>F234</f>
        <v/>
      </c>
      <c r="S234" s="34">
        <f>R234*Q234</f>
        <v/>
      </c>
      <c r="T234" s="34" t="n"/>
      <c r="U234" s="34">
        <f>IFERROR(W234/T234,0)</f>
        <v/>
      </c>
      <c r="V234" s="34">
        <f>IF(U234=0,0,U234-F234)</f>
        <v/>
      </c>
      <c r="W234" s="34" t="n"/>
      <c r="X234" s="34" t="n"/>
      <c r="Y234" s="34">
        <f>IFERROR(AA234/X234,0)</f>
        <v/>
      </c>
      <c r="Z234" s="34">
        <f>IF(Y234=0,0,F234-Y234)</f>
        <v/>
      </c>
      <c r="AA234" s="34" t="n"/>
      <c r="AB234" s="34" t="n"/>
      <c r="AC234" s="34" t="n">
        <v>0</v>
      </c>
      <c r="AD234" s="34">
        <f>IF(AB234&gt;AC234*1.05,AB234-AC234*1.05,IF(AB234&lt;AC234*0.95,AC234*0.95-AB234,0))</f>
        <v/>
      </c>
      <c r="AE234" s="34">
        <f>MAX(F234,G234,750)*0.05*AD234</f>
        <v/>
      </c>
      <c r="AF234" s="34" t="n">
        <v>0</v>
      </c>
      <c r="AG234" s="34">
        <f>IF(AB234&gt;AF234*1.05,AB234-AF234*1.05,IF(AB234&lt;AF234*0.95,AF234*0.95-AB234,0))</f>
        <v/>
      </c>
      <c r="AH234" s="34">
        <f>MAX(I234,J234,750)*0.05*AG234</f>
        <v/>
      </c>
      <c r="AJ234" t="n">
        <v>8</v>
      </c>
      <c r="AK234" s="34">
        <f>IF(AI234&gt;AJ234*1.05,AI234-AJ234*1.05,IF(AI234&lt;AJ234*0.95,AJ234*0.95-AI234,0))</f>
        <v/>
      </c>
      <c r="AL234" s="34">
        <f>MAX(F234,G234,750)*0.05*AK234</f>
        <v/>
      </c>
      <c r="AM234" s="39" t="n">
        <v>8</v>
      </c>
      <c r="AN234" s="34">
        <f>IF(AI234&gt;AM234*1.05,AI234-AM234*1.05,IF(AI234&lt;AM234*0.95,AM234*0.95-AI234,0))</f>
        <v/>
      </c>
      <c r="AO234" s="34">
        <f>MAX(F234,G234,750)*0.05*AN234</f>
        <v/>
      </c>
      <c r="AP234" s="34" t="n"/>
      <c r="AQ234" s="34" t="n">
        <v>11</v>
      </c>
      <c r="AR234" s="34">
        <f>IF(AP234&gt;AQ234*1.05,AP234-AQ234*1.05,IF(AP234&lt;AQ234*0.95,AQ234*0.95-AP234,0))</f>
        <v/>
      </c>
      <c r="AS234" s="34">
        <f>MAX(F234:G234,750)*0.05*AR234</f>
        <v/>
      </c>
      <c r="AT234" t="n">
        <v>11</v>
      </c>
      <c r="AU234" s="34">
        <f>IF(AP234&gt;AT234*1.05,AP234-AT234*1.05,IF(AP234&lt;AT234*0.95,AT234*0.95-AP234,0))</f>
        <v/>
      </c>
      <c r="AV234" s="34">
        <f>MAX(F234:G234,750)*0.05*AU234</f>
        <v/>
      </c>
      <c r="AW234" s="34">
        <f>AC234+AJ234+AQ234</f>
        <v/>
      </c>
      <c r="AX234" s="34">
        <f>AF234+AM234+AT234</f>
        <v/>
      </c>
      <c r="AY234" s="34">
        <f>AB234+AI234+AP234</f>
        <v/>
      </c>
      <c r="AZ234" s="34" t="n">
        <v>0</v>
      </c>
      <c r="BA234" s="34">
        <f>AD234+AK234+AR234</f>
        <v/>
      </c>
      <c r="BB234" s="34">
        <f>MAX(F234:G234,750)*0.05*BA234</f>
        <v/>
      </c>
      <c r="BC234" s="34">
        <f>AG234+AN234+AU234</f>
        <v/>
      </c>
      <c r="BD234" s="34">
        <f>MAX(F234:G234,750)*0.05*BC234</f>
        <v/>
      </c>
      <c r="BE234" s="34">
        <f>F234*AY234</f>
        <v/>
      </c>
      <c r="BF234" s="34">
        <f>K234-M234</f>
        <v/>
      </c>
      <c r="BG234" s="34">
        <f>P234-S234</f>
        <v/>
      </c>
      <c r="BH234" s="34">
        <f>W234-AA234</f>
        <v/>
      </c>
      <c r="BI234" s="34">
        <f>BF234+BG234+BL234-BN234</f>
        <v/>
      </c>
      <c r="BJ234" s="34">
        <f>ABS(BK234)</f>
        <v/>
      </c>
      <c r="BK234" s="34">
        <f>AY234-(J234-L234+N234-Q234)</f>
        <v/>
      </c>
      <c r="BL234" s="34">
        <f>IF(AND(BK234&gt;0,MIN($F234:$G234)&lt;150,$E234="Enerji Açığı"),-100*BK234*1.03,IF(AND(BK234&gt;0,MIN($F234:$G234)&lt;150,$E234="Enerji Fazlası"),-100*BK234*1.06,IF(AND(BK234&gt;0,MIN($F234:$G234)&gt;=150,$E234="Enerji Açığı"),BK234*MIN($F234:$G234)*0.97,IF(AND(BK234&gt;0,MIN($F234:$G234)&gt;=150,$E234="Enerji Fazlası"),BK234*MIN($F234:$G234)*0.94,IF(AND(BK234&lt;0,MAX($F234:$G234)=4500,$E234="Enerji Açığı"),4500*1.05*1.06*BK234,IF(AND(BK234&lt;0,MAX($F234:$G234)=4500,$E234="Enerji Fazlası"),4500*1.05*1.03*BK234,IF(AND(BK234&lt;0,$E234="Enerji Açığı"),MAX($F234,$G234,150)*BK234*1.06,IF(AND(BK234&lt;0,$E234="Enerji Fazlası"),MAX($F234,$G234,150)*BK234*1.03,IF(AND(BK234&lt;0,$E234="Dengede"),MAX($F234:$G234,150)*1.03*BK234,MIN($F234:$G234)*0.97*BK234)))))))))</f>
        <v/>
      </c>
      <c r="BM234" s="34">
        <f>BE234-BI234-BN234</f>
        <v/>
      </c>
      <c r="BN234" s="34">
        <f>BB234</f>
        <v/>
      </c>
      <c r="BO234" s="34">
        <f>BE234-BI234</f>
        <v/>
      </c>
      <c r="BP234" s="34">
        <f>IF(AY234=0,0,BO234/AY234)</f>
        <v/>
      </c>
      <c r="BQ234" s="34">
        <f>MAX((AY234+MAX((-J234+L234-N234+Q234),0)),(MAX((J234-L234+N234-Q234),0)))</f>
        <v/>
      </c>
      <c r="BR234" s="82">
        <f>IFERROR(ABS(BK234/BQ234),0)</f>
        <v/>
      </c>
      <c r="BS234" s="34">
        <f>IF(BR234&lt;=0.1,0,BK234/BR234*(BR234-0.1))</f>
        <v/>
      </c>
      <c r="BT234" s="34">
        <f>IF((BS234)&lt;0,MAX(F234:G234)*(BS234)*1.03,MIN(F234:G234)*(BS234)*0.97)</f>
        <v/>
      </c>
      <c r="BU234" s="34">
        <f>IF(BR234&gt;0.1,1,0)</f>
        <v/>
      </c>
      <c r="BV234" s="34">
        <f>BF234+BG234+BH234+BY234-CA234</f>
        <v/>
      </c>
      <c r="BW234" s="34">
        <f>ABS(BX234)</f>
        <v/>
      </c>
      <c r="BX234" s="34">
        <f>AY234-(J234-L234+N234-Q234+T234-X234)</f>
        <v/>
      </c>
      <c r="BY234" s="34">
        <f>IF(AND(BX234&gt;0,MIN($F234:$G234)&lt;150,$E234="Enerji Açığı"),-100*BX234*1.03,IF(AND(BX234&gt;0,MIN($F234:$G234)&lt;150,$E234="Enerji Fazlası"),-100*BX234*1.06,IF(AND(BX234&gt;0,MIN($F234:$G234)&gt;=150,$E234="Enerji Açığı"),BX234*MIN($F234:$G234)*0.97,IF(AND(BX234&gt;0,MIN($F234:$G234)&gt;=150,$E234="Enerji Fazlası"),BX234*MIN($F234:$G234)*0.94,IF(AND(BX234&lt;0,MAX($F234:$G234)=4500,$E234="Enerji Açığı"),4500*1.05*1.06*BX234,IF(AND(BX234&lt;0,MAX($F234:$G234)=4500,$E234="Enerji Fazlası"),4500*1.05*1.03*BX234,IF(AND(BX234&lt;0,$E234="Enerji Açığı"),MAX($F234,$G234,150)*BX234*1.06,IF(AND(BX234&lt;0,$E234="Enerji Fazlası"),MAX($F234,$G234,150)*BX234*1.03,IF(AND(BX234&lt;0,$E234="Dengede"),MAX($F234:$G234,150)*1.03*BX234,MIN($F234:$G234)*0.97*BX234)))))))))</f>
        <v/>
      </c>
      <c r="BZ234" s="34">
        <f>BE234-BV234-CA234</f>
        <v/>
      </c>
      <c r="CA234" s="34">
        <f>BD234</f>
        <v/>
      </c>
      <c r="CB234" s="33">
        <f>BE234-BV234</f>
        <v/>
      </c>
      <c r="CC234" s="34">
        <f>IF(AY234=0,0,CB234/AY234)</f>
        <v/>
      </c>
      <c r="CD234" s="34">
        <f>MAX((AY234+MAX((-J234+L234-N234+Q234-T234+X234),0)),(MAX((J234-L234+N234-Q234+T234-X234),0)))</f>
        <v/>
      </c>
      <c r="CE234" s="82">
        <f>IFERROR(ABS(BX234/CD234),0)</f>
        <v/>
      </c>
      <c r="CF234" s="34">
        <f>IF(CE234&lt;=0.1,0,BX234/CE234*(CE234-0.1))</f>
        <v/>
      </c>
      <c r="CG234" s="34">
        <f>IF((CF234)&lt;0,MAX(F234:G234)*(CF234)*1.03,MIN(F234:G234)*(CF234)*0.97)</f>
        <v/>
      </c>
      <c r="CH234" s="34">
        <f>IF(CE234&gt;0.1,1,0)</f>
        <v/>
      </c>
      <c r="CI234" s="34">
        <f>(F234*BX234)-BY234</f>
        <v/>
      </c>
      <c r="CJ234" s="34">
        <f>IF(AY234=0,0,CI234/AY234)</f>
        <v/>
      </c>
    </row>
    <row r="235">
      <c r="A235" s="29" t="n">
        <v>46213.66666666666</v>
      </c>
      <c r="B235" s="29" t="inlineStr">
        <is>
          <t>16:00</t>
        </is>
      </c>
      <c r="C235" s="35">
        <f>INT(A235)</f>
        <v/>
      </c>
      <c r="D235" s="36">
        <f>MONTH(A235)</f>
        <v/>
      </c>
      <c r="E235" s="147" t="inlineStr"/>
      <c r="F235" s="30" t="n">
        <v>3325</v>
      </c>
      <c r="G235" s="30" t="n"/>
      <c r="H235" s="30" t="n">
        <v>71.09</v>
      </c>
      <c r="I235" s="30" t="n">
        <v>3278.28</v>
      </c>
      <c r="J235" s="119" t="n">
        <v>0</v>
      </c>
      <c r="K235" s="34">
        <f>F235*J235</f>
        <v/>
      </c>
      <c r="L235" s="119" t="n">
        <v>0</v>
      </c>
      <c r="M235" s="34">
        <f>L235*F235</f>
        <v/>
      </c>
      <c r="N235" s="119" t="n">
        <v>16</v>
      </c>
      <c r="O235" s="34">
        <f>F235</f>
        <v/>
      </c>
      <c r="P235" s="34">
        <f>N235*O235</f>
        <v/>
      </c>
      <c r="Q235" s="117" t="n">
        <v>0</v>
      </c>
      <c r="R235" s="34">
        <f>F235</f>
        <v/>
      </c>
      <c r="S235" s="34">
        <f>R235*Q235</f>
        <v/>
      </c>
      <c r="T235" s="34" t="n"/>
      <c r="U235" s="34">
        <f>IFERROR(W235/T235,0)</f>
        <v/>
      </c>
      <c r="V235" s="34">
        <f>IF(U235=0,0,U235-F235)</f>
        <v/>
      </c>
      <c r="W235" s="34" t="n"/>
      <c r="X235" s="34" t="n"/>
      <c r="Y235" s="34">
        <f>IFERROR(AA235/X235,0)</f>
        <v/>
      </c>
      <c r="Z235" s="34">
        <f>IF(Y235=0,0,F235-Y235)</f>
        <v/>
      </c>
      <c r="AA235" s="34" t="n"/>
      <c r="AB235" s="34" t="n"/>
      <c r="AC235" s="34" t="n">
        <v>0</v>
      </c>
      <c r="AD235" s="34">
        <f>IF(AB235&gt;AC235*1.05,AB235-AC235*1.05,IF(AB235&lt;AC235*0.95,AC235*0.95-AB235,0))</f>
        <v/>
      </c>
      <c r="AE235" s="34">
        <f>MAX(F235,G235,750)*0.05*AD235</f>
        <v/>
      </c>
      <c r="AF235" s="34" t="n">
        <v>0</v>
      </c>
      <c r="AG235" s="34">
        <f>IF(AB235&gt;AF235*1.05,AB235-AF235*1.05,IF(AB235&lt;AF235*0.95,AF235*0.95-AB235,0))</f>
        <v/>
      </c>
      <c r="AH235" s="34">
        <f>MAX(I235,J235,750)*0.05*AG235</f>
        <v/>
      </c>
      <c r="AJ235" t="n">
        <v>8</v>
      </c>
      <c r="AK235" s="34">
        <f>IF(AI235&gt;AJ235*1.05,AI235-AJ235*1.05,IF(AI235&lt;AJ235*0.95,AJ235*0.95-AI235,0))</f>
        <v/>
      </c>
      <c r="AL235" s="34">
        <f>MAX(F235,G235,750)*0.05*AK235</f>
        <v/>
      </c>
      <c r="AM235" s="39" t="n">
        <v>8</v>
      </c>
      <c r="AN235" s="34">
        <f>IF(AI235&gt;AM235*1.05,AI235-AM235*1.05,IF(AI235&lt;AM235*0.95,AM235*0.95-AI235,0))</f>
        <v/>
      </c>
      <c r="AO235" s="34">
        <f>MAX(F235,G235,750)*0.05*AN235</f>
        <v/>
      </c>
      <c r="AP235" s="34" t="n"/>
      <c r="AQ235" s="34" t="n">
        <v>11</v>
      </c>
      <c r="AR235" s="34">
        <f>IF(AP235&gt;AQ235*1.05,AP235-AQ235*1.05,IF(AP235&lt;AQ235*0.95,AQ235*0.95-AP235,0))</f>
        <v/>
      </c>
      <c r="AS235" s="34">
        <f>MAX(F235:G235,750)*0.05*AR235</f>
        <v/>
      </c>
      <c r="AT235" t="n">
        <v>11</v>
      </c>
      <c r="AU235" s="34">
        <f>IF(AP235&gt;AT235*1.05,AP235-AT235*1.05,IF(AP235&lt;AT235*0.95,AT235*0.95-AP235,0))</f>
        <v/>
      </c>
      <c r="AV235" s="34">
        <f>MAX(F235:G235,750)*0.05*AU235</f>
        <v/>
      </c>
      <c r="AW235" s="34">
        <f>AC235+AJ235+AQ235</f>
        <v/>
      </c>
      <c r="AX235" s="34">
        <f>AF235+AM235+AT235</f>
        <v/>
      </c>
      <c r="AY235" s="34">
        <f>AB235+AI235+AP235</f>
        <v/>
      </c>
      <c r="AZ235" s="34" t="n">
        <v>0</v>
      </c>
      <c r="BA235" s="34">
        <f>AD235+AK235+AR235</f>
        <v/>
      </c>
      <c r="BB235" s="34">
        <f>MAX(F235:G235,750)*0.05*BA235</f>
        <v/>
      </c>
      <c r="BC235" s="34">
        <f>AG235+AN235+AU235</f>
        <v/>
      </c>
      <c r="BD235" s="34">
        <f>MAX(F235:G235,750)*0.05*BC235</f>
        <v/>
      </c>
      <c r="BE235" s="34">
        <f>F235*AY235</f>
        <v/>
      </c>
      <c r="BF235" s="34">
        <f>K235-M235</f>
        <v/>
      </c>
      <c r="BG235" s="34">
        <f>P235-S235</f>
        <v/>
      </c>
      <c r="BH235" s="34">
        <f>W235-AA235</f>
        <v/>
      </c>
      <c r="BI235" s="34">
        <f>BF235+BG235+BL235-BN235</f>
        <v/>
      </c>
      <c r="BJ235" s="34">
        <f>ABS(BK235)</f>
        <v/>
      </c>
      <c r="BK235" s="34">
        <f>AY235-(J235-L235+N235-Q235)</f>
        <v/>
      </c>
      <c r="BL235" s="34">
        <f>IF(AND(BK235&gt;0,MIN($F235:$G235)&lt;150,$E235="Enerji Açığı"),-100*BK235*1.03,IF(AND(BK235&gt;0,MIN($F235:$G235)&lt;150,$E235="Enerji Fazlası"),-100*BK235*1.06,IF(AND(BK235&gt;0,MIN($F235:$G235)&gt;=150,$E235="Enerji Açığı"),BK235*MIN($F235:$G235)*0.97,IF(AND(BK235&gt;0,MIN($F235:$G235)&gt;=150,$E235="Enerji Fazlası"),BK235*MIN($F235:$G235)*0.94,IF(AND(BK235&lt;0,MAX($F235:$G235)=4500,$E235="Enerji Açığı"),4500*1.05*1.06*BK235,IF(AND(BK235&lt;0,MAX($F235:$G235)=4500,$E235="Enerji Fazlası"),4500*1.05*1.03*BK235,IF(AND(BK235&lt;0,$E235="Enerji Açığı"),MAX($F235,$G235,150)*BK235*1.06,IF(AND(BK235&lt;0,$E235="Enerji Fazlası"),MAX($F235,$G235,150)*BK235*1.03,IF(AND(BK235&lt;0,$E235="Dengede"),MAX($F235:$G235,150)*1.03*BK235,MIN($F235:$G235)*0.97*BK235)))))))))</f>
        <v/>
      </c>
      <c r="BM235" s="34">
        <f>BE235-BI235-BN235</f>
        <v/>
      </c>
      <c r="BN235" s="34">
        <f>BB235</f>
        <v/>
      </c>
      <c r="BO235" s="34">
        <f>BE235-BI235</f>
        <v/>
      </c>
      <c r="BP235" s="34">
        <f>IF(AY235=0,0,BO235/AY235)</f>
        <v/>
      </c>
      <c r="BQ235" s="34">
        <f>MAX((AY235+MAX((-J235+L235-N235+Q235),0)),(MAX((J235-L235+N235-Q235),0)))</f>
        <v/>
      </c>
      <c r="BR235" s="82">
        <f>IFERROR(ABS(BK235/BQ235),0)</f>
        <v/>
      </c>
      <c r="BS235" s="34">
        <f>IF(BR235&lt;=0.1,0,BK235/BR235*(BR235-0.1))</f>
        <v/>
      </c>
      <c r="BT235" s="34">
        <f>IF((BS235)&lt;0,MAX(F235:G235)*(BS235)*1.03,MIN(F235:G235)*(BS235)*0.97)</f>
        <v/>
      </c>
      <c r="BU235" s="34">
        <f>IF(BR235&gt;0.1,1,0)</f>
        <v/>
      </c>
      <c r="BV235" s="34">
        <f>BF235+BG235+BH235+BY235-CA235</f>
        <v/>
      </c>
      <c r="BW235" s="34">
        <f>ABS(BX235)</f>
        <v/>
      </c>
      <c r="BX235" s="34">
        <f>AY235-(J235-L235+N235-Q235+T235-X235)</f>
        <v/>
      </c>
      <c r="BY235" s="34">
        <f>IF(AND(BX235&gt;0,MIN($F235:$G235)&lt;150,$E235="Enerji Açığı"),-100*BX235*1.03,IF(AND(BX235&gt;0,MIN($F235:$G235)&lt;150,$E235="Enerji Fazlası"),-100*BX235*1.06,IF(AND(BX235&gt;0,MIN($F235:$G235)&gt;=150,$E235="Enerji Açığı"),BX235*MIN($F235:$G235)*0.97,IF(AND(BX235&gt;0,MIN($F235:$G235)&gt;=150,$E235="Enerji Fazlası"),BX235*MIN($F235:$G235)*0.94,IF(AND(BX235&lt;0,MAX($F235:$G235)=4500,$E235="Enerji Açığı"),4500*1.05*1.06*BX235,IF(AND(BX235&lt;0,MAX($F235:$G235)=4500,$E235="Enerji Fazlası"),4500*1.05*1.03*BX235,IF(AND(BX235&lt;0,$E235="Enerji Açığı"),MAX($F235,$G235,150)*BX235*1.06,IF(AND(BX235&lt;0,$E235="Enerji Fazlası"),MAX($F235,$G235,150)*BX235*1.03,IF(AND(BX235&lt;0,$E235="Dengede"),MAX($F235:$G235,150)*1.03*BX235,MIN($F235:$G235)*0.97*BX235)))))))))</f>
        <v/>
      </c>
      <c r="BZ235" s="34">
        <f>BE235-BV235-CA235</f>
        <v/>
      </c>
      <c r="CA235" s="34">
        <f>BD235</f>
        <v/>
      </c>
      <c r="CB235" s="33">
        <f>BE235-BV235</f>
        <v/>
      </c>
      <c r="CC235" s="34">
        <f>IF(AY235=0,0,CB235/AY235)</f>
        <v/>
      </c>
      <c r="CD235" s="34">
        <f>MAX((AY235+MAX((-J235+L235-N235+Q235-T235+X235),0)),(MAX((J235-L235+N235-Q235+T235-X235),0)))</f>
        <v/>
      </c>
      <c r="CE235" s="82">
        <f>IFERROR(ABS(BX235/CD235),0)</f>
        <v/>
      </c>
      <c r="CF235" s="34">
        <f>IF(CE235&lt;=0.1,0,BX235/CE235*(CE235-0.1))</f>
        <v/>
      </c>
      <c r="CG235" s="34">
        <f>IF((CF235)&lt;0,MAX(F235:G235)*(CF235)*1.03,MIN(F235:G235)*(CF235)*0.97)</f>
        <v/>
      </c>
      <c r="CH235" s="34">
        <f>IF(CE235&gt;0.1,1,0)</f>
        <v/>
      </c>
      <c r="CI235" s="34">
        <f>(F235*BX235)-BY235</f>
        <v/>
      </c>
      <c r="CJ235" s="34">
        <f>IF(AY235=0,0,CI235/AY235)</f>
        <v/>
      </c>
    </row>
    <row r="236">
      <c r="A236" s="29" t="n">
        <v>46213.70833333334</v>
      </c>
      <c r="B236" s="29" t="inlineStr">
        <is>
          <t>17:00</t>
        </is>
      </c>
      <c r="C236" s="35">
        <f>INT(A236)</f>
        <v/>
      </c>
      <c r="D236" s="36">
        <f>MONTH(A236)</f>
        <v/>
      </c>
      <c r="E236" s="147" t="inlineStr"/>
      <c r="F236" s="30" t="n">
        <v>3000.01</v>
      </c>
      <c r="G236" s="30" t="n"/>
      <c r="H236" s="30" t="n">
        <v>64.14</v>
      </c>
      <c r="I236" s="30" t="n">
        <v>3238.93</v>
      </c>
      <c r="J236" s="119" t="n">
        <v>0</v>
      </c>
      <c r="K236" s="34">
        <f>F236*J236</f>
        <v/>
      </c>
      <c r="L236" s="119" t="n">
        <v>0</v>
      </c>
      <c r="M236" s="34">
        <f>L236*F236</f>
        <v/>
      </c>
      <c r="N236" s="119" t="n">
        <v>16</v>
      </c>
      <c r="O236" s="34">
        <f>F236</f>
        <v/>
      </c>
      <c r="P236" s="34">
        <f>N236*O236</f>
        <v/>
      </c>
      <c r="Q236" s="117" t="n">
        <v>0</v>
      </c>
      <c r="R236" s="34">
        <f>F236</f>
        <v/>
      </c>
      <c r="S236" s="34">
        <f>R236*Q236</f>
        <v/>
      </c>
      <c r="T236" s="34" t="n"/>
      <c r="U236" s="34">
        <f>IFERROR(W236/T236,0)</f>
        <v/>
      </c>
      <c r="V236" s="34">
        <f>IF(U236=0,0,U236-F236)</f>
        <v/>
      </c>
      <c r="W236" s="34" t="n"/>
      <c r="X236" s="34" t="n"/>
      <c r="Y236" s="34">
        <f>IFERROR(AA236/X236,0)</f>
        <v/>
      </c>
      <c r="Z236" s="34">
        <f>IF(Y236=0,0,F236-Y236)</f>
        <v/>
      </c>
      <c r="AA236" s="34" t="n"/>
      <c r="AB236" s="34" t="n"/>
      <c r="AC236" s="34" t="n">
        <v>0</v>
      </c>
      <c r="AD236" s="34">
        <f>IF(AB236&gt;AC236*1.05,AB236-AC236*1.05,IF(AB236&lt;AC236*0.95,AC236*0.95-AB236,0))</f>
        <v/>
      </c>
      <c r="AE236" s="34">
        <f>MAX(F236,G236,750)*0.05*AD236</f>
        <v/>
      </c>
      <c r="AF236" s="34" t="n">
        <v>0</v>
      </c>
      <c r="AG236" s="34">
        <f>IF(AB236&gt;AF236*1.05,AB236-AF236*1.05,IF(AB236&lt;AF236*0.95,AF236*0.95-AB236,0))</f>
        <v/>
      </c>
      <c r="AH236" s="34">
        <f>MAX(I236,J236,750)*0.05*AG236</f>
        <v/>
      </c>
      <c r="AJ236" t="n">
        <v>8</v>
      </c>
      <c r="AK236" s="34">
        <f>IF(AI236&gt;AJ236*1.05,AI236-AJ236*1.05,IF(AI236&lt;AJ236*0.95,AJ236*0.95-AI236,0))</f>
        <v/>
      </c>
      <c r="AL236" s="34">
        <f>MAX(F236,G236,750)*0.05*AK236</f>
        <v/>
      </c>
      <c r="AM236" s="39" t="n">
        <v>8</v>
      </c>
      <c r="AN236" s="34">
        <f>IF(AI236&gt;AM236*1.05,AI236-AM236*1.05,IF(AI236&lt;AM236*0.95,AM236*0.95-AI236,0))</f>
        <v/>
      </c>
      <c r="AO236" s="34">
        <f>MAX(F236,G236,750)*0.05*AN236</f>
        <v/>
      </c>
      <c r="AP236" s="34" t="n"/>
      <c r="AQ236" s="34" t="n">
        <v>11</v>
      </c>
      <c r="AR236" s="34">
        <f>IF(AP236&gt;AQ236*1.05,AP236-AQ236*1.05,IF(AP236&lt;AQ236*0.95,AQ236*0.95-AP236,0))</f>
        <v/>
      </c>
      <c r="AS236" s="34">
        <f>MAX(F236:G236,750)*0.05*AR236</f>
        <v/>
      </c>
      <c r="AT236" t="n">
        <v>11</v>
      </c>
      <c r="AU236" s="34">
        <f>IF(AP236&gt;AT236*1.05,AP236-AT236*1.05,IF(AP236&lt;AT236*0.95,AT236*0.95-AP236,0))</f>
        <v/>
      </c>
      <c r="AV236" s="34">
        <f>MAX(F236:G236,750)*0.05*AU236</f>
        <v/>
      </c>
      <c r="AW236" s="34">
        <f>AC236+AJ236+AQ236</f>
        <v/>
      </c>
      <c r="AX236" s="34">
        <f>AF236+AM236+AT236</f>
        <v/>
      </c>
      <c r="AY236" s="34">
        <f>AB236+AI236+AP236</f>
        <v/>
      </c>
      <c r="AZ236" s="34" t="n">
        <v>0</v>
      </c>
      <c r="BA236" s="34">
        <f>AD236+AK236+AR236</f>
        <v/>
      </c>
      <c r="BB236" s="34">
        <f>MAX(F236:G236,750)*0.05*BA236</f>
        <v/>
      </c>
      <c r="BC236" s="34">
        <f>AG236+AN236+AU236</f>
        <v/>
      </c>
      <c r="BD236" s="34">
        <f>MAX(F236:G236,750)*0.05*BC236</f>
        <v/>
      </c>
      <c r="BE236" s="34">
        <f>F236*AY236</f>
        <v/>
      </c>
      <c r="BF236" s="34">
        <f>K236-M236</f>
        <v/>
      </c>
      <c r="BG236" s="34">
        <f>P236-S236</f>
        <v/>
      </c>
      <c r="BH236" s="34">
        <f>W236-AA236</f>
        <v/>
      </c>
      <c r="BI236" s="34">
        <f>BF236+BG236+BL236-BN236</f>
        <v/>
      </c>
      <c r="BJ236" s="34">
        <f>ABS(BK236)</f>
        <v/>
      </c>
      <c r="BK236" s="34">
        <f>AY236-(J236-L236+N236-Q236)</f>
        <v/>
      </c>
      <c r="BL236" s="34">
        <f>IF(AND(BK236&gt;0,MIN($F236:$G236)&lt;150,$E236="Enerji Açığı"),-100*BK236*1.03,IF(AND(BK236&gt;0,MIN($F236:$G236)&lt;150,$E236="Enerji Fazlası"),-100*BK236*1.06,IF(AND(BK236&gt;0,MIN($F236:$G236)&gt;=150,$E236="Enerji Açığı"),BK236*MIN($F236:$G236)*0.97,IF(AND(BK236&gt;0,MIN($F236:$G236)&gt;=150,$E236="Enerji Fazlası"),BK236*MIN($F236:$G236)*0.94,IF(AND(BK236&lt;0,MAX($F236:$G236)=4500,$E236="Enerji Açığı"),4500*1.05*1.06*BK236,IF(AND(BK236&lt;0,MAX($F236:$G236)=4500,$E236="Enerji Fazlası"),4500*1.05*1.03*BK236,IF(AND(BK236&lt;0,$E236="Enerji Açığı"),MAX($F236,$G236,150)*BK236*1.06,IF(AND(BK236&lt;0,$E236="Enerji Fazlası"),MAX($F236,$G236,150)*BK236*1.03,IF(AND(BK236&lt;0,$E236="Dengede"),MAX($F236:$G236,150)*1.03*BK236,MIN($F236:$G236)*0.97*BK236)))))))))</f>
        <v/>
      </c>
      <c r="BM236" s="34">
        <f>BE236-BI236-BN236</f>
        <v/>
      </c>
      <c r="BN236" s="34">
        <f>BB236</f>
        <v/>
      </c>
      <c r="BO236" s="34">
        <f>BE236-BI236</f>
        <v/>
      </c>
      <c r="BP236" s="34">
        <f>IF(AY236=0,0,BO236/AY236)</f>
        <v/>
      </c>
      <c r="BQ236" s="34">
        <f>MAX((AY236+MAX((-J236+L236-N236+Q236),0)),(MAX((J236-L236+N236-Q236),0)))</f>
        <v/>
      </c>
      <c r="BR236" s="82">
        <f>IFERROR(ABS(BK236/BQ236),0)</f>
        <v/>
      </c>
      <c r="BS236" s="34">
        <f>IF(BR236&lt;=0.1,0,BK236/BR236*(BR236-0.1))</f>
        <v/>
      </c>
      <c r="BT236" s="34">
        <f>IF((BS236)&lt;0,MAX(F236:G236)*(BS236)*1.03,MIN(F236:G236)*(BS236)*0.97)</f>
        <v/>
      </c>
      <c r="BU236" s="34">
        <f>IF(BR236&gt;0.1,1,0)</f>
        <v/>
      </c>
      <c r="BV236" s="34">
        <f>BF236+BG236+BH236+BY236-CA236</f>
        <v/>
      </c>
      <c r="BW236" s="34">
        <f>ABS(BX236)</f>
        <v/>
      </c>
      <c r="BX236" s="34">
        <f>AY236-(J236-L236+N236-Q236+T236-X236)</f>
        <v/>
      </c>
      <c r="BY236" s="34">
        <f>IF(AND(BX236&gt;0,MIN($F236:$G236)&lt;150,$E236="Enerji Açığı"),-100*BX236*1.03,IF(AND(BX236&gt;0,MIN($F236:$G236)&lt;150,$E236="Enerji Fazlası"),-100*BX236*1.06,IF(AND(BX236&gt;0,MIN($F236:$G236)&gt;=150,$E236="Enerji Açığı"),BX236*MIN($F236:$G236)*0.97,IF(AND(BX236&gt;0,MIN($F236:$G236)&gt;=150,$E236="Enerji Fazlası"),BX236*MIN($F236:$G236)*0.94,IF(AND(BX236&lt;0,MAX($F236:$G236)=4500,$E236="Enerji Açığı"),4500*1.05*1.06*BX236,IF(AND(BX236&lt;0,MAX($F236:$G236)=4500,$E236="Enerji Fazlası"),4500*1.05*1.03*BX236,IF(AND(BX236&lt;0,$E236="Enerji Açığı"),MAX($F236,$G236,150)*BX236*1.06,IF(AND(BX236&lt;0,$E236="Enerji Fazlası"),MAX($F236,$G236,150)*BX236*1.03,IF(AND(BX236&lt;0,$E236="Dengede"),MAX($F236:$G236,150)*1.03*BX236,MIN($F236:$G236)*0.97*BX236)))))))))</f>
        <v/>
      </c>
      <c r="BZ236" s="34">
        <f>BE236-BV236-CA236</f>
        <v/>
      </c>
      <c r="CA236" s="34">
        <f>BD236</f>
        <v/>
      </c>
      <c r="CB236" s="33">
        <f>BE236-BV236</f>
        <v/>
      </c>
      <c r="CC236" s="34">
        <f>IF(AY236=0,0,CB236/AY236)</f>
        <v/>
      </c>
      <c r="CD236" s="34">
        <f>MAX((AY236+MAX((-J236+L236-N236+Q236-T236+X236),0)),(MAX((J236-L236+N236-Q236+T236-X236),0)))</f>
        <v/>
      </c>
      <c r="CE236" s="82">
        <f>IFERROR(ABS(BX236/CD236),0)</f>
        <v/>
      </c>
      <c r="CF236" s="34">
        <f>IF(CE236&lt;=0.1,0,BX236/CE236*(CE236-0.1))</f>
        <v/>
      </c>
      <c r="CG236" s="34">
        <f>IF((CF236)&lt;0,MAX(F236:G236)*(CF236)*1.03,MIN(F236:G236)*(CF236)*0.97)</f>
        <v/>
      </c>
      <c r="CH236" s="34">
        <f>IF(CE236&gt;0.1,1,0)</f>
        <v/>
      </c>
      <c r="CI236" s="34">
        <f>(F236*BX236)-BY236</f>
        <v/>
      </c>
      <c r="CJ236" s="34">
        <f>IF(AY236=0,0,CI236/AY236)</f>
        <v/>
      </c>
    </row>
    <row r="237">
      <c r="A237" s="29" t="n">
        <v>46213.75</v>
      </c>
      <c r="B237" s="29" t="inlineStr">
        <is>
          <t>18:00</t>
        </is>
      </c>
      <c r="C237" s="35">
        <f>INT(A237)</f>
        <v/>
      </c>
      <c r="D237" s="36">
        <f>MONTH(A237)</f>
        <v/>
      </c>
      <c r="E237" s="147" t="inlineStr"/>
      <c r="F237" s="30" t="n">
        <v>3000.01</v>
      </c>
      <c r="G237" s="30" t="n"/>
      <c r="H237" s="30" t="n">
        <v>64.14</v>
      </c>
      <c r="I237" s="30" t="n">
        <v>3175.85</v>
      </c>
      <c r="J237" s="119" t="n">
        <v>0</v>
      </c>
      <c r="K237" s="34">
        <f>F237*J237</f>
        <v/>
      </c>
      <c r="L237" s="119" t="n">
        <v>0</v>
      </c>
      <c r="M237" s="34">
        <f>L237*F237</f>
        <v/>
      </c>
      <c r="N237" s="119" t="n">
        <v>16</v>
      </c>
      <c r="O237" s="34">
        <f>F237</f>
        <v/>
      </c>
      <c r="P237" s="34">
        <f>N237*O237</f>
        <v/>
      </c>
      <c r="Q237" s="117" t="n">
        <v>0</v>
      </c>
      <c r="R237" s="34">
        <f>F237</f>
        <v/>
      </c>
      <c r="S237" s="34">
        <f>R237*Q237</f>
        <v/>
      </c>
      <c r="T237" s="34" t="n"/>
      <c r="U237" s="34">
        <f>IFERROR(W237/T237,0)</f>
        <v/>
      </c>
      <c r="V237" s="34">
        <f>IF(U237=0,0,U237-F237)</f>
        <v/>
      </c>
      <c r="W237" s="34" t="n"/>
      <c r="X237" s="34" t="n"/>
      <c r="Y237" s="34">
        <f>IFERROR(AA237/X237,0)</f>
        <v/>
      </c>
      <c r="Z237" s="34">
        <f>IF(Y237=0,0,F237-Y237)</f>
        <v/>
      </c>
      <c r="AA237" s="34" t="n"/>
      <c r="AB237" s="34" t="n"/>
      <c r="AC237" s="34" t="n">
        <v>0</v>
      </c>
      <c r="AD237" s="34">
        <f>IF(AB237&gt;AC237*1.05,AB237-AC237*1.05,IF(AB237&lt;AC237*0.95,AC237*0.95-AB237,0))</f>
        <v/>
      </c>
      <c r="AE237" s="34">
        <f>MAX(F237,G237,750)*0.05*AD237</f>
        <v/>
      </c>
      <c r="AF237" s="34" t="n">
        <v>0</v>
      </c>
      <c r="AG237" s="34">
        <f>IF(AB237&gt;AF237*1.05,AB237-AF237*1.05,IF(AB237&lt;AF237*0.95,AF237*0.95-AB237,0))</f>
        <v/>
      </c>
      <c r="AH237" s="34">
        <f>MAX(I237,J237,750)*0.05*AG237</f>
        <v/>
      </c>
      <c r="AJ237" t="n">
        <v>8</v>
      </c>
      <c r="AK237" s="34">
        <f>IF(AI237&gt;AJ237*1.05,AI237-AJ237*1.05,IF(AI237&lt;AJ237*0.95,AJ237*0.95-AI237,0))</f>
        <v/>
      </c>
      <c r="AL237" s="34">
        <f>MAX(F237,G237,750)*0.05*AK237</f>
        <v/>
      </c>
      <c r="AM237" s="39" t="n">
        <v>8</v>
      </c>
      <c r="AN237" s="34">
        <f>IF(AI237&gt;AM237*1.05,AI237-AM237*1.05,IF(AI237&lt;AM237*0.95,AM237*0.95-AI237,0))</f>
        <v/>
      </c>
      <c r="AO237" s="34">
        <f>MAX(F237,G237,750)*0.05*AN237</f>
        <v/>
      </c>
      <c r="AP237" s="34" t="n"/>
      <c r="AQ237" s="34" t="n">
        <v>11</v>
      </c>
      <c r="AR237" s="34">
        <f>IF(AP237&gt;AQ237*1.05,AP237-AQ237*1.05,IF(AP237&lt;AQ237*0.95,AQ237*0.95-AP237,0))</f>
        <v/>
      </c>
      <c r="AS237" s="34">
        <f>MAX(F237:G237,750)*0.05*AR237</f>
        <v/>
      </c>
      <c r="AT237" t="n">
        <v>11</v>
      </c>
      <c r="AU237" s="34">
        <f>IF(AP237&gt;AT237*1.05,AP237-AT237*1.05,IF(AP237&lt;AT237*0.95,AT237*0.95-AP237,0))</f>
        <v/>
      </c>
      <c r="AV237" s="34">
        <f>MAX(F237:G237,750)*0.05*AU237</f>
        <v/>
      </c>
      <c r="AW237" s="34">
        <f>AC237+AJ237+AQ237</f>
        <v/>
      </c>
      <c r="AX237" s="34">
        <f>AF237+AM237+AT237</f>
        <v/>
      </c>
      <c r="AY237" s="34">
        <f>AB237+AI237+AP237</f>
        <v/>
      </c>
      <c r="AZ237" s="34" t="n">
        <v>0</v>
      </c>
      <c r="BA237" s="34">
        <f>AD237+AK237+AR237</f>
        <v/>
      </c>
      <c r="BB237" s="34">
        <f>MAX(F237:G237,750)*0.05*BA237</f>
        <v/>
      </c>
      <c r="BC237" s="34">
        <f>AG237+AN237+AU237</f>
        <v/>
      </c>
      <c r="BD237" s="34">
        <f>MAX(F237:G237,750)*0.05*BC237</f>
        <v/>
      </c>
      <c r="BE237" s="34">
        <f>F237*AY237</f>
        <v/>
      </c>
      <c r="BF237" s="34">
        <f>K237-M237</f>
        <v/>
      </c>
      <c r="BG237" s="34">
        <f>P237-S237</f>
        <v/>
      </c>
      <c r="BH237" s="34">
        <f>W237-AA237</f>
        <v/>
      </c>
      <c r="BI237" s="34">
        <f>BF237+BG237+BL237-BN237</f>
        <v/>
      </c>
      <c r="BJ237" s="34">
        <f>ABS(BK237)</f>
        <v/>
      </c>
      <c r="BK237" s="34">
        <f>AY237-(J237-L237+N237-Q237)</f>
        <v/>
      </c>
      <c r="BL237" s="34">
        <f>IF(AND(BK237&gt;0,MIN($F237:$G237)&lt;150,$E237="Enerji Açığı"),-100*BK237*1.03,IF(AND(BK237&gt;0,MIN($F237:$G237)&lt;150,$E237="Enerji Fazlası"),-100*BK237*1.06,IF(AND(BK237&gt;0,MIN($F237:$G237)&gt;=150,$E237="Enerji Açığı"),BK237*MIN($F237:$G237)*0.97,IF(AND(BK237&gt;0,MIN($F237:$G237)&gt;=150,$E237="Enerji Fazlası"),BK237*MIN($F237:$G237)*0.94,IF(AND(BK237&lt;0,MAX($F237:$G237)=4500,$E237="Enerji Açığı"),4500*1.05*1.06*BK237,IF(AND(BK237&lt;0,MAX($F237:$G237)=4500,$E237="Enerji Fazlası"),4500*1.05*1.03*BK237,IF(AND(BK237&lt;0,$E237="Enerji Açığı"),MAX($F237,$G237,150)*BK237*1.06,IF(AND(BK237&lt;0,$E237="Enerji Fazlası"),MAX($F237,$G237,150)*BK237*1.03,IF(AND(BK237&lt;0,$E237="Dengede"),MAX($F237:$G237,150)*1.03*BK237,MIN($F237:$G237)*0.97*BK237)))))))))</f>
        <v/>
      </c>
      <c r="BM237" s="34">
        <f>BE237-BI237-BN237</f>
        <v/>
      </c>
      <c r="BN237" s="34">
        <f>BB237</f>
        <v/>
      </c>
      <c r="BO237" s="34">
        <f>BE237-BI237</f>
        <v/>
      </c>
      <c r="BP237" s="34">
        <f>IF(AY237=0,0,BO237/AY237)</f>
        <v/>
      </c>
      <c r="BQ237" s="34">
        <f>MAX((AY237+MAX((-J237+L237-N237+Q237),0)),(MAX((J237-L237+N237-Q237),0)))</f>
        <v/>
      </c>
      <c r="BR237" s="82">
        <f>IFERROR(ABS(BK237/BQ237),0)</f>
        <v/>
      </c>
      <c r="BS237" s="34">
        <f>IF(BR237&lt;=0.1,0,BK237/BR237*(BR237-0.1))</f>
        <v/>
      </c>
      <c r="BT237" s="34">
        <f>IF((BS237)&lt;0,MAX(F237:G237)*(BS237)*1.03,MIN(F237:G237)*(BS237)*0.97)</f>
        <v/>
      </c>
      <c r="BU237" s="34">
        <f>IF(BR237&gt;0.1,1,0)</f>
        <v/>
      </c>
      <c r="BV237" s="34">
        <f>BF237+BG237+BH237+BY237-CA237</f>
        <v/>
      </c>
      <c r="BW237" s="34">
        <f>ABS(BX237)</f>
        <v/>
      </c>
      <c r="BX237" s="34">
        <f>AY237-(J237-L237+N237-Q237+T237-X237)</f>
        <v/>
      </c>
      <c r="BY237" s="34">
        <f>IF(AND(BX237&gt;0,MIN($F237:$G237)&lt;150,$E237="Enerji Açığı"),-100*BX237*1.03,IF(AND(BX237&gt;0,MIN($F237:$G237)&lt;150,$E237="Enerji Fazlası"),-100*BX237*1.06,IF(AND(BX237&gt;0,MIN($F237:$G237)&gt;=150,$E237="Enerji Açığı"),BX237*MIN($F237:$G237)*0.97,IF(AND(BX237&gt;0,MIN($F237:$G237)&gt;=150,$E237="Enerji Fazlası"),BX237*MIN($F237:$G237)*0.94,IF(AND(BX237&lt;0,MAX($F237:$G237)=4500,$E237="Enerji Açığı"),4500*1.05*1.06*BX237,IF(AND(BX237&lt;0,MAX($F237:$G237)=4500,$E237="Enerji Fazlası"),4500*1.05*1.03*BX237,IF(AND(BX237&lt;0,$E237="Enerji Açığı"),MAX($F237,$G237,150)*BX237*1.06,IF(AND(BX237&lt;0,$E237="Enerji Fazlası"),MAX($F237,$G237,150)*BX237*1.03,IF(AND(BX237&lt;0,$E237="Dengede"),MAX($F237:$G237,150)*1.03*BX237,MIN($F237:$G237)*0.97*BX237)))))))))</f>
        <v/>
      </c>
      <c r="BZ237" s="34">
        <f>BE237-BV237-CA237</f>
        <v/>
      </c>
      <c r="CA237" s="34">
        <f>BD237</f>
        <v/>
      </c>
      <c r="CB237" s="33">
        <f>BE237-BV237</f>
        <v/>
      </c>
      <c r="CC237" s="34">
        <f>IF(AY237=0,0,CB237/AY237)</f>
        <v/>
      </c>
      <c r="CD237" s="34">
        <f>MAX((AY237+MAX((-J237+L237-N237+Q237-T237+X237),0)),(MAX((J237-L237+N237-Q237+T237-X237),0)))</f>
        <v/>
      </c>
      <c r="CE237" s="82">
        <f>IFERROR(ABS(BX237/CD237),0)</f>
        <v/>
      </c>
      <c r="CF237" s="34">
        <f>IF(CE237&lt;=0.1,0,BX237/CE237*(CE237-0.1))</f>
        <v/>
      </c>
      <c r="CG237" s="34">
        <f>IF((CF237)&lt;0,MAX(F237:G237)*(CF237)*1.03,MIN(F237:G237)*(CF237)*0.97)</f>
        <v/>
      </c>
      <c r="CH237" s="34">
        <f>IF(CE237&gt;0.1,1,0)</f>
        <v/>
      </c>
      <c r="CI237" s="34">
        <f>(F237*BX237)-BY237</f>
        <v/>
      </c>
      <c r="CJ237" s="34">
        <f>IF(AY237=0,0,CI237/AY237)</f>
        <v/>
      </c>
    </row>
    <row r="238">
      <c r="A238" s="29" t="n">
        <v>46213.79166666666</v>
      </c>
      <c r="B238" s="29" t="inlineStr">
        <is>
          <t>19:00</t>
        </is>
      </c>
      <c r="C238" s="35">
        <f>INT(A238)</f>
        <v/>
      </c>
      <c r="D238" s="36">
        <f>MONTH(A238)</f>
        <v/>
      </c>
      <c r="E238" s="147" t="inlineStr"/>
      <c r="F238" s="30" t="n">
        <v>3797.99</v>
      </c>
      <c r="G238" s="30" t="n"/>
      <c r="H238" s="30" t="n">
        <v>81.20999999999999</v>
      </c>
      <c r="I238" s="30" t="n">
        <v>3895.21</v>
      </c>
      <c r="J238" s="119" t="n">
        <v>0</v>
      </c>
      <c r="K238" s="34">
        <f>F238*J238</f>
        <v/>
      </c>
      <c r="L238" s="119" t="n">
        <v>0</v>
      </c>
      <c r="M238" s="34">
        <f>L238*F238</f>
        <v/>
      </c>
      <c r="N238" s="119" t="n">
        <v>16</v>
      </c>
      <c r="O238" s="34">
        <f>F238</f>
        <v/>
      </c>
      <c r="P238" s="34">
        <f>N238*O238</f>
        <v/>
      </c>
      <c r="Q238" s="117" t="n">
        <v>0</v>
      </c>
      <c r="R238" s="34">
        <f>F238</f>
        <v/>
      </c>
      <c r="S238" s="34">
        <f>R238*Q238</f>
        <v/>
      </c>
      <c r="T238" s="34" t="n"/>
      <c r="U238" s="34">
        <f>IFERROR(W238/T238,0)</f>
        <v/>
      </c>
      <c r="V238" s="34">
        <f>IF(U238=0,0,U238-F238)</f>
        <v/>
      </c>
      <c r="W238" s="34" t="n"/>
      <c r="X238" s="34" t="n"/>
      <c r="Y238" s="34">
        <f>IFERROR(AA238/X238,0)</f>
        <v/>
      </c>
      <c r="Z238" s="34">
        <f>IF(Y238=0,0,F238-Y238)</f>
        <v/>
      </c>
      <c r="AA238" s="34" t="n"/>
      <c r="AB238" s="34" t="n"/>
      <c r="AC238" s="34" t="n">
        <v>0</v>
      </c>
      <c r="AD238" s="34">
        <f>IF(AB238&gt;AC238*1.05,AB238-AC238*1.05,IF(AB238&lt;AC238*0.95,AC238*0.95-AB238,0))</f>
        <v/>
      </c>
      <c r="AE238" s="34">
        <f>MAX(F238,G238,750)*0.05*AD238</f>
        <v/>
      </c>
      <c r="AF238" s="34" t="n">
        <v>0</v>
      </c>
      <c r="AG238" s="34">
        <f>IF(AB238&gt;AF238*1.05,AB238-AF238*1.05,IF(AB238&lt;AF238*0.95,AF238*0.95-AB238,0))</f>
        <v/>
      </c>
      <c r="AH238" s="34">
        <f>MAX(I238,J238,750)*0.05*AG238</f>
        <v/>
      </c>
      <c r="AJ238" t="n">
        <v>8</v>
      </c>
      <c r="AK238" s="34">
        <f>IF(AI238&gt;AJ238*1.05,AI238-AJ238*1.05,IF(AI238&lt;AJ238*0.95,AJ238*0.95-AI238,0))</f>
        <v/>
      </c>
      <c r="AL238" s="34">
        <f>MAX(F238,G238,750)*0.05*AK238</f>
        <v/>
      </c>
      <c r="AM238" s="39" t="n">
        <v>8</v>
      </c>
      <c r="AN238" s="34">
        <f>IF(AI238&gt;AM238*1.05,AI238-AM238*1.05,IF(AI238&lt;AM238*0.95,AM238*0.95-AI238,0))</f>
        <v/>
      </c>
      <c r="AO238" s="34">
        <f>MAX(F238,G238,750)*0.05*AN238</f>
        <v/>
      </c>
      <c r="AP238" s="34" t="n"/>
      <c r="AQ238" s="34" t="n">
        <v>11</v>
      </c>
      <c r="AR238" s="34">
        <f>IF(AP238&gt;AQ238*1.05,AP238-AQ238*1.05,IF(AP238&lt;AQ238*0.95,AQ238*0.95-AP238,0))</f>
        <v/>
      </c>
      <c r="AS238" s="34">
        <f>MAX(F238:G238,750)*0.05*AR238</f>
        <v/>
      </c>
      <c r="AT238" t="n">
        <v>11</v>
      </c>
      <c r="AU238" s="34">
        <f>IF(AP238&gt;AT238*1.05,AP238-AT238*1.05,IF(AP238&lt;AT238*0.95,AT238*0.95-AP238,0))</f>
        <v/>
      </c>
      <c r="AV238" s="34">
        <f>MAX(F238:G238,750)*0.05*AU238</f>
        <v/>
      </c>
      <c r="AW238" s="34">
        <f>AC238+AJ238+AQ238</f>
        <v/>
      </c>
      <c r="AX238" s="34">
        <f>AF238+AM238+AT238</f>
        <v/>
      </c>
      <c r="AY238" s="34">
        <f>AB238+AI238+AP238</f>
        <v/>
      </c>
      <c r="AZ238" s="34" t="n">
        <v>0</v>
      </c>
      <c r="BA238" s="34">
        <f>AD238+AK238+AR238</f>
        <v/>
      </c>
      <c r="BB238" s="34">
        <f>MAX(F238:G238,750)*0.05*BA238</f>
        <v/>
      </c>
      <c r="BC238" s="34">
        <f>AG238+AN238+AU238</f>
        <v/>
      </c>
      <c r="BD238" s="34">
        <f>MAX(F238:G238,750)*0.05*BC238</f>
        <v/>
      </c>
      <c r="BE238" s="34">
        <f>F238*AY238</f>
        <v/>
      </c>
      <c r="BF238" s="34">
        <f>K238-M238</f>
        <v/>
      </c>
      <c r="BG238" s="34">
        <f>P238-S238</f>
        <v/>
      </c>
      <c r="BH238" s="34">
        <f>W238-AA238</f>
        <v/>
      </c>
      <c r="BI238" s="34">
        <f>BF238+BG238+BL238-BN238</f>
        <v/>
      </c>
      <c r="BJ238" s="34">
        <f>ABS(BK238)</f>
        <v/>
      </c>
      <c r="BK238" s="34">
        <f>AY238-(J238-L238+N238-Q238)</f>
        <v/>
      </c>
      <c r="BL238" s="34">
        <f>IF(AND(BK238&gt;0,MIN($F238:$G238)&lt;150,$E238="Enerji Açığı"),-100*BK238*1.03,IF(AND(BK238&gt;0,MIN($F238:$G238)&lt;150,$E238="Enerji Fazlası"),-100*BK238*1.06,IF(AND(BK238&gt;0,MIN($F238:$G238)&gt;=150,$E238="Enerji Açığı"),BK238*MIN($F238:$G238)*0.97,IF(AND(BK238&gt;0,MIN($F238:$G238)&gt;=150,$E238="Enerji Fazlası"),BK238*MIN($F238:$G238)*0.94,IF(AND(BK238&lt;0,MAX($F238:$G238)=4500,$E238="Enerji Açığı"),4500*1.05*1.06*BK238,IF(AND(BK238&lt;0,MAX($F238:$G238)=4500,$E238="Enerji Fazlası"),4500*1.05*1.03*BK238,IF(AND(BK238&lt;0,$E238="Enerji Açığı"),MAX($F238,$G238,150)*BK238*1.06,IF(AND(BK238&lt;0,$E238="Enerji Fazlası"),MAX($F238,$G238,150)*BK238*1.03,IF(AND(BK238&lt;0,$E238="Dengede"),MAX($F238:$G238,150)*1.03*BK238,MIN($F238:$G238)*0.97*BK238)))))))))</f>
        <v/>
      </c>
      <c r="BM238" s="34">
        <f>BE238-BI238-BN238</f>
        <v/>
      </c>
      <c r="BN238" s="34">
        <f>BB238</f>
        <v/>
      </c>
      <c r="BO238" s="34">
        <f>BE238-BI238</f>
        <v/>
      </c>
      <c r="BP238" s="34">
        <f>IF(AY238=0,0,BO238/AY238)</f>
        <v/>
      </c>
      <c r="BQ238" s="34">
        <f>MAX((AY238+MAX((-J238+L238-N238+Q238),0)),(MAX((J238-L238+N238-Q238),0)))</f>
        <v/>
      </c>
      <c r="BR238" s="82">
        <f>IFERROR(ABS(BK238/BQ238),0)</f>
        <v/>
      </c>
      <c r="BS238" s="34">
        <f>IF(BR238&lt;=0.1,0,BK238/BR238*(BR238-0.1))</f>
        <v/>
      </c>
      <c r="BT238" s="34">
        <f>IF((BS238)&lt;0,MAX(F238:G238)*(BS238)*1.03,MIN(F238:G238)*(BS238)*0.97)</f>
        <v/>
      </c>
      <c r="BU238" s="34">
        <f>IF(BR238&gt;0.1,1,0)</f>
        <v/>
      </c>
      <c r="BV238" s="34">
        <f>BF238+BG238+BH238+BY238-CA238</f>
        <v/>
      </c>
      <c r="BW238" s="34">
        <f>ABS(BX238)</f>
        <v/>
      </c>
      <c r="BX238" s="34">
        <f>AY238-(J238-L238+N238-Q238+T238-X238)</f>
        <v/>
      </c>
      <c r="BY238" s="34">
        <f>IF(AND(BX238&gt;0,MIN($F238:$G238)&lt;150,$E238="Enerji Açığı"),-100*BX238*1.03,IF(AND(BX238&gt;0,MIN($F238:$G238)&lt;150,$E238="Enerji Fazlası"),-100*BX238*1.06,IF(AND(BX238&gt;0,MIN($F238:$G238)&gt;=150,$E238="Enerji Açığı"),BX238*MIN($F238:$G238)*0.97,IF(AND(BX238&gt;0,MIN($F238:$G238)&gt;=150,$E238="Enerji Fazlası"),BX238*MIN($F238:$G238)*0.94,IF(AND(BX238&lt;0,MAX($F238:$G238)=4500,$E238="Enerji Açığı"),4500*1.05*1.06*BX238,IF(AND(BX238&lt;0,MAX($F238:$G238)=4500,$E238="Enerji Fazlası"),4500*1.05*1.03*BX238,IF(AND(BX238&lt;0,$E238="Enerji Açığı"),MAX($F238,$G238,150)*BX238*1.06,IF(AND(BX238&lt;0,$E238="Enerji Fazlası"),MAX($F238,$G238,150)*BX238*1.03,IF(AND(BX238&lt;0,$E238="Dengede"),MAX($F238:$G238,150)*1.03*BX238,MIN($F238:$G238)*0.97*BX238)))))))))</f>
        <v/>
      </c>
      <c r="BZ238" s="34">
        <f>BE238-BV238-CA238</f>
        <v/>
      </c>
      <c r="CA238" s="34">
        <f>BD238</f>
        <v/>
      </c>
      <c r="CB238" s="33">
        <f>BE238-BV238</f>
        <v/>
      </c>
      <c r="CC238" s="34">
        <f>IF(AY238=0,0,CB238/AY238)</f>
        <v/>
      </c>
      <c r="CD238" s="34">
        <f>MAX((AY238+MAX((-J238+L238-N238+Q238-T238+X238),0)),(MAX((J238-L238+N238-Q238+T238-X238),0)))</f>
        <v/>
      </c>
      <c r="CE238" s="82">
        <f>IFERROR(ABS(BX238/CD238),0)</f>
        <v/>
      </c>
      <c r="CF238" s="34">
        <f>IF(CE238&lt;=0.1,0,BX238/CE238*(CE238-0.1))</f>
        <v/>
      </c>
      <c r="CG238" s="34">
        <f>IF((CF238)&lt;0,MAX(F238:G238)*(CF238)*1.03,MIN(F238:G238)*(CF238)*0.97)</f>
        <v/>
      </c>
      <c r="CH238" s="34">
        <f>IF(CE238&gt;0.1,1,0)</f>
        <v/>
      </c>
      <c r="CI238" s="34">
        <f>(F238*BX238)-BY238</f>
        <v/>
      </c>
      <c r="CJ238" s="34">
        <f>IF(AY238=0,0,CI238/AY238)</f>
        <v/>
      </c>
    </row>
    <row r="239">
      <c r="A239" s="29" t="n">
        <v>46213.83333333334</v>
      </c>
      <c r="B239" s="29" t="inlineStr">
        <is>
          <t>20:00</t>
        </is>
      </c>
      <c r="C239" s="35">
        <f>INT(A239)</f>
        <v/>
      </c>
      <c r="D239" s="36">
        <f>MONTH(A239)</f>
        <v/>
      </c>
      <c r="E239" s="147" t="inlineStr"/>
      <c r="F239" s="30" t="n">
        <v>4295</v>
      </c>
      <c r="G239" s="30" t="n"/>
      <c r="H239" s="30" t="n">
        <v>91.83</v>
      </c>
      <c r="I239" s="30" t="n">
        <v>4369.98</v>
      </c>
      <c r="J239" s="119" t="n">
        <v>0</v>
      </c>
      <c r="K239" s="34">
        <f>F239*J239</f>
        <v/>
      </c>
      <c r="L239" s="119" t="n">
        <v>0</v>
      </c>
      <c r="M239" s="34">
        <f>L239*F239</f>
        <v/>
      </c>
      <c r="N239" s="119" t="n">
        <v>16</v>
      </c>
      <c r="O239" s="34">
        <f>F239</f>
        <v/>
      </c>
      <c r="P239" s="34">
        <f>N239*O239</f>
        <v/>
      </c>
      <c r="Q239" s="117" t="n">
        <v>0</v>
      </c>
      <c r="R239" s="34">
        <f>F239</f>
        <v/>
      </c>
      <c r="S239" s="34">
        <f>R239*Q239</f>
        <v/>
      </c>
      <c r="T239" s="34" t="n"/>
      <c r="U239" s="34">
        <f>IFERROR(W239/T239,0)</f>
        <v/>
      </c>
      <c r="V239" s="34">
        <f>IF(U239=0,0,U239-F239)</f>
        <v/>
      </c>
      <c r="W239" s="34" t="n"/>
      <c r="X239" s="34" t="n"/>
      <c r="Y239" s="34">
        <f>IFERROR(AA239/X239,0)</f>
        <v/>
      </c>
      <c r="Z239" s="34">
        <f>IF(Y239=0,0,F239-Y239)</f>
        <v/>
      </c>
      <c r="AA239" s="34" t="n"/>
      <c r="AB239" s="34" t="n"/>
      <c r="AC239" s="34" t="n">
        <v>0</v>
      </c>
      <c r="AD239" s="34">
        <f>IF(AB239&gt;AC239*1.05,AB239-AC239*1.05,IF(AB239&lt;AC239*0.95,AC239*0.95-AB239,0))</f>
        <v/>
      </c>
      <c r="AE239" s="34">
        <f>MAX(F239,G239,750)*0.05*AD239</f>
        <v/>
      </c>
      <c r="AF239" s="34" t="n">
        <v>0</v>
      </c>
      <c r="AG239" s="34">
        <f>IF(AB239&gt;AF239*1.05,AB239-AF239*1.05,IF(AB239&lt;AF239*0.95,AF239*0.95-AB239,0))</f>
        <v/>
      </c>
      <c r="AH239" s="34">
        <f>MAX(I239,J239,750)*0.05*AG239</f>
        <v/>
      </c>
      <c r="AJ239" t="n">
        <v>6</v>
      </c>
      <c r="AK239" s="34">
        <f>IF(AI239&gt;AJ239*1.05,AI239-AJ239*1.05,IF(AI239&lt;AJ239*0.95,AJ239*0.95-AI239,0))</f>
        <v/>
      </c>
      <c r="AL239" s="34">
        <f>MAX(F239,G239,750)*0.05*AK239</f>
        <v/>
      </c>
      <c r="AM239" s="39" t="n">
        <v>6</v>
      </c>
      <c r="AN239" s="34">
        <f>IF(AI239&gt;AM239*1.05,AI239-AM239*1.05,IF(AI239&lt;AM239*0.95,AM239*0.95-AI239,0))</f>
        <v/>
      </c>
      <c r="AO239" s="34">
        <f>MAX(F239,G239,750)*0.05*AN239</f>
        <v/>
      </c>
      <c r="AP239" s="34" t="n"/>
      <c r="AQ239" s="34" t="n">
        <v>11</v>
      </c>
      <c r="AR239" s="34">
        <f>IF(AP239&gt;AQ239*1.05,AP239-AQ239*1.05,IF(AP239&lt;AQ239*0.95,AQ239*0.95-AP239,0))</f>
        <v/>
      </c>
      <c r="AS239" s="34">
        <f>MAX(F239:G239,750)*0.05*AR239</f>
        <v/>
      </c>
      <c r="AT239" t="n">
        <v>11</v>
      </c>
      <c r="AU239" s="34">
        <f>IF(AP239&gt;AT239*1.05,AP239-AT239*1.05,IF(AP239&lt;AT239*0.95,AT239*0.95-AP239,0))</f>
        <v/>
      </c>
      <c r="AV239" s="34">
        <f>MAX(F239:G239,750)*0.05*AU239</f>
        <v/>
      </c>
      <c r="AW239" s="34">
        <f>AC239+AJ239+AQ239</f>
        <v/>
      </c>
      <c r="AX239" s="34">
        <f>AF239+AM239+AT239</f>
        <v/>
      </c>
      <c r="AY239" s="34">
        <f>AB239+AI239+AP239</f>
        <v/>
      </c>
      <c r="AZ239" s="34" t="n">
        <v>0</v>
      </c>
      <c r="BA239" s="34">
        <f>AD239+AK239+AR239</f>
        <v/>
      </c>
      <c r="BB239" s="34">
        <f>MAX(F239:G239,750)*0.05*BA239</f>
        <v/>
      </c>
      <c r="BC239" s="34">
        <f>AG239+AN239+AU239</f>
        <v/>
      </c>
      <c r="BD239" s="34">
        <f>MAX(F239:G239,750)*0.05*BC239</f>
        <v/>
      </c>
      <c r="BE239" s="34">
        <f>F239*AY239</f>
        <v/>
      </c>
      <c r="BF239" s="34">
        <f>K239-M239</f>
        <v/>
      </c>
      <c r="BG239" s="34">
        <f>P239-S239</f>
        <v/>
      </c>
      <c r="BH239" s="34">
        <f>W239-AA239</f>
        <v/>
      </c>
      <c r="BI239" s="34">
        <f>BF239+BG239+BL239-BN239</f>
        <v/>
      </c>
      <c r="BJ239" s="34">
        <f>ABS(BK239)</f>
        <v/>
      </c>
      <c r="BK239" s="34">
        <f>AY239-(J239-L239+N239-Q239)</f>
        <v/>
      </c>
      <c r="BL239" s="34">
        <f>IF(AND(BK239&gt;0,MIN($F239:$G239)&lt;150,$E239="Enerji Açığı"),-100*BK239*1.03,IF(AND(BK239&gt;0,MIN($F239:$G239)&lt;150,$E239="Enerji Fazlası"),-100*BK239*1.06,IF(AND(BK239&gt;0,MIN($F239:$G239)&gt;=150,$E239="Enerji Açığı"),BK239*MIN($F239:$G239)*0.97,IF(AND(BK239&gt;0,MIN($F239:$G239)&gt;=150,$E239="Enerji Fazlası"),BK239*MIN($F239:$G239)*0.94,IF(AND(BK239&lt;0,MAX($F239:$G239)=4500,$E239="Enerji Açığı"),4500*1.05*1.06*BK239,IF(AND(BK239&lt;0,MAX($F239:$G239)=4500,$E239="Enerji Fazlası"),4500*1.05*1.03*BK239,IF(AND(BK239&lt;0,$E239="Enerji Açığı"),MAX($F239,$G239,150)*BK239*1.06,IF(AND(BK239&lt;0,$E239="Enerji Fazlası"),MAX($F239,$G239,150)*BK239*1.03,IF(AND(BK239&lt;0,$E239="Dengede"),MAX($F239:$G239,150)*1.03*BK239,MIN($F239:$G239)*0.97*BK239)))))))))</f>
        <v/>
      </c>
      <c r="BM239" s="34">
        <f>BE239-BI239-BN239</f>
        <v/>
      </c>
      <c r="BN239" s="34">
        <f>BB239</f>
        <v/>
      </c>
      <c r="BO239" s="34">
        <f>BE239-BI239</f>
        <v/>
      </c>
      <c r="BP239" s="34">
        <f>IF(AY239=0,0,BO239/AY239)</f>
        <v/>
      </c>
      <c r="BQ239" s="34">
        <f>MAX((AY239+MAX((-J239+L239-N239+Q239),0)),(MAX((J239-L239+N239-Q239),0)))</f>
        <v/>
      </c>
      <c r="BR239" s="82">
        <f>IFERROR(ABS(BK239/BQ239),0)</f>
        <v/>
      </c>
      <c r="BS239" s="34">
        <f>IF(BR239&lt;=0.1,0,BK239/BR239*(BR239-0.1))</f>
        <v/>
      </c>
      <c r="BT239" s="34">
        <f>IF((BS239)&lt;0,MAX(F239:G239)*(BS239)*1.03,MIN(F239:G239)*(BS239)*0.97)</f>
        <v/>
      </c>
      <c r="BU239" s="34">
        <f>IF(BR239&gt;0.1,1,0)</f>
        <v/>
      </c>
      <c r="BV239" s="34">
        <f>BF239+BG239+BH239+BY239-CA239</f>
        <v/>
      </c>
      <c r="BW239" s="34">
        <f>ABS(BX239)</f>
        <v/>
      </c>
      <c r="BX239" s="34">
        <f>AY239-(J239-L239+N239-Q239+T239-X239)</f>
        <v/>
      </c>
      <c r="BY239" s="34">
        <f>IF(AND(BX239&gt;0,MIN($F239:$G239)&lt;150,$E239="Enerji Açığı"),-100*BX239*1.03,IF(AND(BX239&gt;0,MIN($F239:$G239)&lt;150,$E239="Enerji Fazlası"),-100*BX239*1.06,IF(AND(BX239&gt;0,MIN($F239:$G239)&gt;=150,$E239="Enerji Açığı"),BX239*MIN($F239:$G239)*0.97,IF(AND(BX239&gt;0,MIN($F239:$G239)&gt;=150,$E239="Enerji Fazlası"),BX239*MIN($F239:$G239)*0.94,IF(AND(BX239&lt;0,MAX($F239:$G239)=4500,$E239="Enerji Açığı"),4500*1.05*1.06*BX239,IF(AND(BX239&lt;0,MAX($F239:$G239)=4500,$E239="Enerji Fazlası"),4500*1.05*1.03*BX239,IF(AND(BX239&lt;0,$E239="Enerji Açığı"),MAX($F239,$G239,150)*BX239*1.06,IF(AND(BX239&lt;0,$E239="Enerji Fazlası"),MAX($F239,$G239,150)*BX239*1.03,IF(AND(BX239&lt;0,$E239="Dengede"),MAX($F239:$G239,150)*1.03*BX239,MIN($F239:$G239)*0.97*BX239)))))))))</f>
        <v/>
      </c>
      <c r="BZ239" s="34">
        <f>BE239-BV239-CA239</f>
        <v/>
      </c>
      <c r="CA239" s="34">
        <f>BD239</f>
        <v/>
      </c>
      <c r="CB239" s="33">
        <f>BE239-BV239</f>
        <v/>
      </c>
      <c r="CC239" s="34">
        <f>IF(AY239=0,0,CB239/AY239)</f>
        <v/>
      </c>
      <c r="CD239" s="34">
        <f>MAX((AY239+MAX((-J239+L239-N239+Q239-T239+X239),0)),(MAX((J239-L239+N239-Q239+T239-X239),0)))</f>
        <v/>
      </c>
      <c r="CE239" s="82">
        <f>IFERROR(ABS(BX239/CD239),0)</f>
        <v/>
      </c>
      <c r="CF239" s="34">
        <f>IF(CE239&lt;=0.1,0,BX239/CE239*(CE239-0.1))</f>
        <v/>
      </c>
      <c r="CG239" s="34">
        <f>IF((CF239)&lt;0,MAX(F239:G239)*(CF239)*1.03,MIN(F239:G239)*(CF239)*0.97)</f>
        <v/>
      </c>
      <c r="CH239" s="34">
        <f>IF(CE239&gt;0.1,1,0)</f>
        <v/>
      </c>
      <c r="CI239" s="34">
        <f>(F239*BX239)-BY239</f>
        <v/>
      </c>
      <c r="CJ239" s="34">
        <f>IF(AY239=0,0,CI239/AY239)</f>
        <v/>
      </c>
    </row>
    <row r="240">
      <c r="A240" s="29" t="n">
        <v>46213.875</v>
      </c>
      <c r="B240" s="29" t="inlineStr">
        <is>
          <t>21:00</t>
        </is>
      </c>
      <c r="C240" s="35">
        <f>INT(A240)</f>
        <v/>
      </c>
      <c r="D240" s="36">
        <f>MONTH(A240)</f>
        <v/>
      </c>
      <c r="E240" s="147" t="inlineStr"/>
      <c r="F240" s="30" t="n">
        <v>4021.01</v>
      </c>
      <c r="G240" s="30" t="n"/>
      <c r="H240" s="30" t="n">
        <v>85.98</v>
      </c>
      <c r="I240" s="30" t="n">
        <v>4162.81</v>
      </c>
      <c r="J240" s="119" t="n">
        <v>0</v>
      </c>
      <c r="K240" s="34">
        <f>F240*J240</f>
        <v/>
      </c>
      <c r="L240" s="119" t="n">
        <v>0</v>
      </c>
      <c r="M240" s="34">
        <f>L240*F240</f>
        <v/>
      </c>
      <c r="N240" s="119" t="n">
        <v>16</v>
      </c>
      <c r="O240" s="34">
        <f>F240</f>
        <v/>
      </c>
      <c r="P240" s="34">
        <f>N240*O240</f>
        <v/>
      </c>
      <c r="Q240" s="117" t="n">
        <v>0</v>
      </c>
      <c r="R240" s="34">
        <f>F240</f>
        <v/>
      </c>
      <c r="S240" s="34">
        <f>R240*Q240</f>
        <v/>
      </c>
      <c r="T240" s="34" t="n"/>
      <c r="U240" s="34">
        <f>IFERROR(W240/T240,0)</f>
        <v/>
      </c>
      <c r="V240" s="34">
        <f>IF(U240=0,0,U240-F240)</f>
        <v/>
      </c>
      <c r="W240" s="34" t="n"/>
      <c r="X240" s="34" t="n"/>
      <c r="Y240" s="34">
        <f>IFERROR(AA240/X240,0)</f>
        <v/>
      </c>
      <c r="Z240" s="34">
        <f>IF(Y240=0,0,F240-Y240)</f>
        <v/>
      </c>
      <c r="AA240" s="34" t="n"/>
      <c r="AB240" s="34" t="n"/>
      <c r="AC240" s="34" t="n">
        <v>0</v>
      </c>
      <c r="AD240" s="34">
        <f>IF(AB240&gt;AC240*1.05,AB240-AC240*1.05,IF(AB240&lt;AC240*0.95,AC240*0.95-AB240,0))</f>
        <v/>
      </c>
      <c r="AE240" s="34">
        <f>MAX(F240,G240,750)*0.05*AD240</f>
        <v/>
      </c>
      <c r="AF240" s="34" t="n">
        <v>0</v>
      </c>
      <c r="AG240" s="34">
        <f>IF(AB240&gt;AF240*1.05,AB240-AF240*1.05,IF(AB240&lt;AF240*0.95,AF240*0.95-AB240,0))</f>
        <v/>
      </c>
      <c r="AH240" s="34">
        <f>MAX(I240,J240,750)*0.05*AG240</f>
        <v/>
      </c>
      <c r="AJ240" t="n">
        <v>6</v>
      </c>
      <c r="AK240" s="34">
        <f>IF(AI240&gt;AJ240*1.05,AI240-AJ240*1.05,IF(AI240&lt;AJ240*0.95,AJ240*0.95-AI240,0))</f>
        <v/>
      </c>
      <c r="AL240" s="34">
        <f>MAX(F240,G240,750)*0.05*AK240</f>
        <v/>
      </c>
      <c r="AM240" s="39" t="n">
        <v>6</v>
      </c>
      <c r="AN240" s="34">
        <f>IF(AI240&gt;AM240*1.05,AI240-AM240*1.05,IF(AI240&lt;AM240*0.95,AM240*0.95-AI240,0))</f>
        <v/>
      </c>
      <c r="AO240" s="34">
        <f>MAX(F240,G240,750)*0.05*AN240</f>
        <v/>
      </c>
      <c r="AP240" s="34" t="n"/>
      <c r="AQ240" s="34" t="n">
        <v>9</v>
      </c>
      <c r="AR240" s="34">
        <f>IF(AP240&gt;AQ240*1.05,AP240-AQ240*1.05,IF(AP240&lt;AQ240*0.95,AQ240*0.95-AP240,0))</f>
        <v/>
      </c>
      <c r="AS240" s="34">
        <f>MAX(F240:G240,750)*0.05*AR240</f>
        <v/>
      </c>
      <c r="AT240" t="n">
        <v>9</v>
      </c>
      <c r="AU240" s="34">
        <f>IF(AP240&gt;AT240*1.05,AP240-AT240*1.05,IF(AP240&lt;AT240*0.95,AT240*0.95-AP240,0))</f>
        <v/>
      </c>
      <c r="AV240" s="34">
        <f>MAX(F240:G240,750)*0.05*AU240</f>
        <v/>
      </c>
      <c r="AW240" s="34">
        <f>AC240+AJ240+AQ240</f>
        <v/>
      </c>
      <c r="AX240" s="34">
        <f>AF240+AM240+AT240</f>
        <v/>
      </c>
      <c r="AY240" s="34">
        <f>AB240+AI240+AP240</f>
        <v/>
      </c>
      <c r="AZ240" s="34" t="n">
        <v>0</v>
      </c>
      <c r="BA240" s="34">
        <f>AD240+AK240+AR240</f>
        <v/>
      </c>
      <c r="BB240" s="34">
        <f>MAX(F240:G240,750)*0.05*BA240</f>
        <v/>
      </c>
      <c r="BC240" s="34">
        <f>AG240+AN240+AU240</f>
        <v/>
      </c>
      <c r="BD240" s="34">
        <f>MAX(F240:G240,750)*0.05*BC240</f>
        <v/>
      </c>
      <c r="BE240" s="34">
        <f>F240*AY240</f>
        <v/>
      </c>
      <c r="BF240" s="34">
        <f>K240-M240</f>
        <v/>
      </c>
      <c r="BG240" s="34">
        <f>P240-S240</f>
        <v/>
      </c>
      <c r="BH240" s="34">
        <f>W240-AA240</f>
        <v/>
      </c>
      <c r="BI240" s="34">
        <f>BF240+BG240+BL240-BN240</f>
        <v/>
      </c>
      <c r="BJ240" s="34">
        <f>ABS(BK240)</f>
        <v/>
      </c>
      <c r="BK240" s="34">
        <f>AY240-(J240-L240+N240-Q240)</f>
        <v/>
      </c>
      <c r="BL240" s="34">
        <f>IF(AND(BK240&gt;0,MIN($F240:$G240)&lt;150,$E240="Enerji Açığı"),-100*BK240*1.03,IF(AND(BK240&gt;0,MIN($F240:$G240)&lt;150,$E240="Enerji Fazlası"),-100*BK240*1.06,IF(AND(BK240&gt;0,MIN($F240:$G240)&gt;=150,$E240="Enerji Açığı"),BK240*MIN($F240:$G240)*0.97,IF(AND(BK240&gt;0,MIN($F240:$G240)&gt;=150,$E240="Enerji Fazlası"),BK240*MIN($F240:$G240)*0.94,IF(AND(BK240&lt;0,MAX($F240:$G240)=4500,$E240="Enerji Açığı"),4500*1.05*1.06*BK240,IF(AND(BK240&lt;0,MAX($F240:$G240)=4500,$E240="Enerji Fazlası"),4500*1.05*1.03*BK240,IF(AND(BK240&lt;0,$E240="Enerji Açığı"),MAX($F240,$G240,150)*BK240*1.06,IF(AND(BK240&lt;0,$E240="Enerji Fazlası"),MAX($F240,$G240,150)*BK240*1.03,IF(AND(BK240&lt;0,$E240="Dengede"),MAX($F240:$G240,150)*1.03*BK240,MIN($F240:$G240)*0.97*BK240)))))))))</f>
        <v/>
      </c>
      <c r="BM240" s="34">
        <f>BE240-BI240-BN240</f>
        <v/>
      </c>
      <c r="BN240" s="34">
        <f>BB240</f>
        <v/>
      </c>
      <c r="BO240" s="34">
        <f>BE240-BI240</f>
        <v/>
      </c>
      <c r="BP240" s="34">
        <f>IF(AY240=0,0,BO240/AY240)</f>
        <v/>
      </c>
      <c r="BQ240" s="34">
        <f>MAX((AY240+MAX((-J240+L240-N240+Q240),0)),(MAX((J240-L240+N240-Q240),0)))</f>
        <v/>
      </c>
      <c r="BR240" s="82">
        <f>IFERROR(ABS(BK240/BQ240),0)</f>
        <v/>
      </c>
      <c r="BS240" s="34">
        <f>IF(BR240&lt;=0.1,0,BK240/BR240*(BR240-0.1))</f>
        <v/>
      </c>
      <c r="BT240" s="34">
        <f>IF((BS240)&lt;0,MAX(F240:G240)*(BS240)*1.03,MIN(F240:G240)*(BS240)*0.97)</f>
        <v/>
      </c>
      <c r="BU240" s="34">
        <f>IF(BR240&gt;0.1,1,0)</f>
        <v/>
      </c>
      <c r="BV240" s="34">
        <f>BF240+BG240+BH240+BY240-CA240</f>
        <v/>
      </c>
      <c r="BW240" s="34">
        <f>ABS(BX240)</f>
        <v/>
      </c>
      <c r="BX240" s="34">
        <f>AY240-(J240-L240+N240-Q240+T240-X240)</f>
        <v/>
      </c>
      <c r="BY240" s="34">
        <f>IF(AND(BX240&gt;0,MIN($F240:$G240)&lt;150,$E240="Enerji Açığı"),-100*BX240*1.03,IF(AND(BX240&gt;0,MIN($F240:$G240)&lt;150,$E240="Enerji Fazlası"),-100*BX240*1.06,IF(AND(BX240&gt;0,MIN($F240:$G240)&gt;=150,$E240="Enerji Açığı"),BX240*MIN($F240:$G240)*0.97,IF(AND(BX240&gt;0,MIN($F240:$G240)&gt;=150,$E240="Enerji Fazlası"),BX240*MIN($F240:$G240)*0.94,IF(AND(BX240&lt;0,MAX($F240:$G240)=4500,$E240="Enerji Açığı"),4500*1.05*1.06*BX240,IF(AND(BX240&lt;0,MAX($F240:$G240)=4500,$E240="Enerji Fazlası"),4500*1.05*1.03*BX240,IF(AND(BX240&lt;0,$E240="Enerji Açığı"),MAX($F240,$G240,150)*BX240*1.06,IF(AND(BX240&lt;0,$E240="Enerji Fazlası"),MAX($F240,$G240,150)*BX240*1.03,IF(AND(BX240&lt;0,$E240="Dengede"),MAX($F240:$G240,150)*1.03*BX240,MIN($F240:$G240)*0.97*BX240)))))))))</f>
        <v/>
      </c>
      <c r="BZ240" s="34">
        <f>BE240-BV240-CA240</f>
        <v/>
      </c>
      <c r="CA240" s="34">
        <f>BD240</f>
        <v/>
      </c>
      <c r="CB240" s="33">
        <f>BE240-BV240</f>
        <v/>
      </c>
      <c r="CC240" s="34">
        <f>IF(AY240=0,0,CB240/AY240)</f>
        <v/>
      </c>
      <c r="CD240" s="34">
        <f>MAX((AY240+MAX((-J240+L240-N240+Q240-T240+X240),0)),(MAX((J240-L240+N240-Q240+T240-X240),0)))</f>
        <v/>
      </c>
      <c r="CE240" s="82">
        <f>IFERROR(ABS(BX240/CD240),0)</f>
        <v/>
      </c>
      <c r="CF240" s="34">
        <f>IF(CE240&lt;=0.1,0,BX240/CE240*(CE240-0.1))</f>
        <v/>
      </c>
      <c r="CG240" s="34">
        <f>IF((CF240)&lt;0,MAX(F240:G240)*(CF240)*1.03,MIN(F240:G240)*(CF240)*0.97)</f>
        <v/>
      </c>
      <c r="CH240" s="34">
        <f>IF(CE240&gt;0.1,1,0)</f>
        <v/>
      </c>
      <c r="CI240" s="34">
        <f>(F240*BX240)-BY240</f>
        <v/>
      </c>
      <c r="CJ240" s="34">
        <f>IF(AY240=0,0,CI240/AY240)</f>
        <v/>
      </c>
    </row>
    <row r="241">
      <c r="A241" s="29" t="n">
        <v>46213.91666666666</v>
      </c>
      <c r="B241" s="29" t="inlineStr">
        <is>
          <t>22:00</t>
        </is>
      </c>
      <c r="C241" s="35">
        <f>INT(A241)</f>
        <v/>
      </c>
      <c r="D241" s="36">
        <f>MONTH(A241)</f>
        <v/>
      </c>
      <c r="E241" s="147" t="inlineStr"/>
      <c r="F241" s="30" t="n">
        <v>3000</v>
      </c>
      <c r="G241" s="30" t="n"/>
      <c r="H241" s="30" t="n">
        <v>64.14</v>
      </c>
      <c r="I241" s="30" t="n">
        <v>3087.15</v>
      </c>
      <c r="J241" s="119" t="n">
        <v>0</v>
      </c>
      <c r="K241" s="34">
        <f>F241*J241</f>
        <v/>
      </c>
      <c r="L241" s="119" t="n">
        <v>0</v>
      </c>
      <c r="M241" s="34">
        <f>L241*F241</f>
        <v/>
      </c>
      <c r="N241" s="119" t="n">
        <v>16</v>
      </c>
      <c r="O241" s="34">
        <f>F241</f>
        <v/>
      </c>
      <c r="P241" s="34">
        <f>N241*O241</f>
        <v/>
      </c>
      <c r="Q241" s="117" t="n">
        <v>0</v>
      </c>
      <c r="R241" s="34">
        <f>F241</f>
        <v/>
      </c>
      <c r="S241" s="34">
        <f>R241*Q241</f>
        <v/>
      </c>
      <c r="T241" s="34" t="n"/>
      <c r="U241" s="34">
        <f>IFERROR(W241/T241,0)</f>
        <v/>
      </c>
      <c r="V241" s="34">
        <f>IF(U241=0,0,U241-F241)</f>
        <v/>
      </c>
      <c r="W241" s="34" t="n"/>
      <c r="X241" s="34" t="n"/>
      <c r="Y241" s="34">
        <f>IFERROR(AA241/X241,0)</f>
        <v/>
      </c>
      <c r="Z241" s="34">
        <f>IF(Y241=0,0,F241-Y241)</f>
        <v/>
      </c>
      <c r="AA241" s="34" t="n"/>
      <c r="AB241" s="34" t="n"/>
      <c r="AC241" s="34" t="n">
        <v>0</v>
      </c>
      <c r="AD241" s="34">
        <f>IF(AB241&gt;AC241*1.05,AB241-AC241*1.05,IF(AB241&lt;AC241*0.95,AC241*0.95-AB241,0))</f>
        <v/>
      </c>
      <c r="AE241" s="34">
        <f>MAX(F241,G241,750)*0.05*AD241</f>
        <v/>
      </c>
      <c r="AF241" s="34" t="n">
        <v>0</v>
      </c>
      <c r="AG241" s="34">
        <f>IF(AB241&gt;AF241*1.05,AB241-AF241*1.05,IF(AB241&lt;AF241*0.95,AF241*0.95-AB241,0))</f>
        <v/>
      </c>
      <c r="AH241" s="34">
        <f>MAX(I241,J241,750)*0.05*AG241</f>
        <v/>
      </c>
      <c r="AJ241" t="n">
        <v>6</v>
      </c>
      <c r="AK241" s="34">
        <f>IF(AI241&gt;AJ241*1.05,AI241-AJ241*1.05,IF(AI241&lt;AJ241*0.95,AJ241*0.95-AI241,0))</f>
        <v/>
      </c>
      <c r="AL241" s="34">
        <f>MAX(F241,G241,750)*0.05*AK241</f>
        <v/>
      </c>
      <c r="AM241" s="39" t="n">
        <v>6</v>
      </c>
      <c r="AN241" s="34">
        <f>IF(AI241&gt;AM241*1.05,AI241-AM241*1.05,IF(AI241&lt;AM241*0.95,AM241*0.95-AI241,0))</f>
        <v/>
      </c>
      <c r="AO241" s="34">
        <f>MAX(F241,G241,750)*0.05*AN241</f>
        <v/>
      </c>
      <c r="AP241" s="34" t="n"/>
      <c r="AQ241" s="34" t="n">
        <v>9</v>
      </c>
      <c r="AR241" s="34">
        <f>IF(AP241&gt;AQ241*1.05,AP241-AQ241*1.05,IF(AP241&lt;AQ241*0.95,AQ241*0.95-AP241,0))</f>
        <v/>
      </c>
      <c r="AS241" s="34">
        <f>MAX(F241:G241,750)*0.05*AR241</f>
        <v/>
      </c>
      <c r="AT241" t="n">
        <v>9</v>
      </c>
      <c r="AU241" s="34">
        <f>IF(AP241&gt;AT241*1.05,AP241-AT241*1.05,IF(AP241&lt;AT241*0.95,AT241*0.95-AP241,0))</f>
        <v/>
      </c>
      <c r="AV241" s="34">
        <f>MAX(F241:G241,750)*0.05*AU241</f>
        <v/>
      </c>
      <c r="AW241" s="34">
        <f>AC241+AJ241+AQ241</f>
        <v/>
      </c>
      <c r="AX241" s="34">
        <f>AF241+AM241+AT241</f>
        <v/>
      </c>
      <c r="AY241" s="34">
        <f>AB241+AI241+AP241</f>
        <v/>
      </c>
      <c r="AZ241" s="34" t="n">
        <v>0</v>
      </c>
      <c r="BA241" s="34">
        <f>AD241+AK241+AR241</f>
        <v/>
      </c>
      <c r="BB241" s="34">
        <f>MAX(F241:G241,750)*0.05*BA241</f>
        <v/>
      </c>
      <c r="BC241" s="34">
        <f>AG241+AN241+AU241</f>
        <v/>
      </c>
      <c r="BD241" s="34">
        <f>MAX(F241:G241,750)*0.05*BC241</f>
        <v/>
      </c>
      <c r="BE241" s="34">
        <f>F241*AY241</f>
        <v/>
      </c>
      <c r="BF241" s="34">
        <f>K241-M241</f>
        <v/>
      </c>
      <c r="BG241" s="34">
        <f>P241-S241</f>
        <v/>
      </c>
      <c r="BH241" s="34">
        <f>W241-AA241</f>
        <v/>
      </c>
      <c r="BI241" s="34">
        <f>BF241+BG241+BL241-BN241</f>
        <v/>
      </c>
      <c r="BJ241" s="34">
        <f>ABS(BK241)</f>
        <v/>
      </c>
      <c r="BK241" s="34">
        <f>AY241-(J241-L241+N241-Q241)</f>
        <v/>
      </c>
      <c r="BL241" s="34">
        <f>IF(AND(BK241&gt;0,MIN($F241:$G241)&lt;150,$E241="Enerji Açığı"),-100*BK241*1.03,IF(AND(BK241&gt;0,MIN($F241:$G241)&lt;150,$E241="Enerji Fazlası"),-100*BK241*1.06,IF(AND(BK241&gt;0,MIN($F241:$G241)&gt;=150,$E241="Enerji Açığı"),BK241*MIN($F241:$G241)*0.97,IF(AND(BK241&gt;0,MIN($F241:$G241)&gt;=150,$E241="Enerji Fazlası"),BK241*MIN($F241:$G241)*0.94,IF(AND(BK241&lt;0,MAX($F241:$G241)=4500,$E241="Enerji Açığı"),4500*1.05*1.06*BK241,IF(AND(BK241&lt;0,MAX($F241:$G241)=4500,$E241="Enerji Fazlası"),4500*1.05*1.03*BK241,IF(AND(BK241&lt;0,$E241="Enerji Açığı"),MAX($F241,$G241,150)*BK241*1.06,IF(AND(BK241&lt;0,$E241="Enerji Fazlası"),MAX($F241,$G241,150)*BK241*1.03,IF(AND(BK241&lt;0,$E241="Dengede"),MAX($F241:$G241,150)*1.03*BK241,MIN($F241:$G241)*0.97*BK241)))))))))</f>
        <v/>
      </c>
      <c r="BM241" s="34">
        <f>BE241-BI241-BN241</f>
        <v/>
      </c>
      <c r="BN241" s="34">
        <f>BB241</f>
        <v/>
      </c>
      <c r="BO241" s="34">
        <f>BE241-BI241</f>
        <v/>
      </c>
      <c r="BP241" s="34">
        <f>IF(AY241=0,0,BO241/AY241)</f>
        <v/>
      </c>
      <c r="BQ241" s="34">
        <f>MAX((AY241+MAX((-J241+L241-N241+Q241),0)),(MAX((J241-L241+N241-Q241),0)))</f>
        <v/>
      </c>
      <c r="BR241" s="82">
        <f>IFERROR(ABS(BK241/BQ241),0)</f>
        <v/>
      </c>
      <c r="BS241" s="34">
        <f>IF(BR241&lt;=0.1,0,BK241/BR241*(BR241-0.1))</f>
        <v/>
      </c>
      <c r="BT241" s="34">
        <f>IF((BS241)&lt;0,MAX(F241:G241)*(BS241)*1.03,MIN(F241:G241)*(BS241)*0.97)</f>
        <v/>
      </c>
      <c r="BU241" s="34">
        <f>IF(BR241&gt;0.1,1,0)</f>
        <v/>
      </c>
      <c r="BV241" s="34">
        <f>BF241+BG241+BH241+BY241-CA241</f>
        <v/>
      </c>
      <c r="BW241" s="34">
        <f>ABS(BX241)</f>
        <v/>
      </c>
      <c r="BX241" s="34">
        <f>AY241-(J241-L241+N241-Q241+T241-X241)</f>
        <v/>
      </c>
      <c r="BY241" s="34">
        <f>IF(AND(BX241&gt;0,MIN($F241:$G241)&lt;150,$E241="Enerji Açığı"),-100*BX241*1.03,IF(AND(BX241&gt;0,MIN($F241:$G241)&lt;150,$E241="Enerji Fazlası"),-100*BX241*1.06,IF(AND(BX241&gt;0,MIN($F241:$G241)&gt;=150,$E241="Enerji Açığı"),BX241*MIN($F241:$G241)*0.97,IF(AND(BX241&gt;0,MIN($F241:$G241)&gt;=150,$E241="Enerji Fazlası"),BX241*MIN($F241:$G241)*0.94,IF(AND(BX241&lt;0,MAX($F241:$G241)=4500,$E241="Enerji Açığı"),4500*1.05*1.06*BX241,IF(AND(BX241&lt;0,MAX($F241:$G241)=4500,$E241="Enerji Fazlası"),4500*1.05*1.03*BX241,IF(AND(BX241&lt;0,$E241="Enerji Açığı"),MAX($F241,$G241,150)*BX241*1.06,IF(AND(BX241&lt;0,$E241="Enerji Fazlası"),MAX($F241,$G241,150)*BX241*1.03,IF(AND(BX241&lt;0,$E241="Dengede"),MAX($F241:$G241,150)*1.03*BX241,MIN($F241:$G241)*0.97*BX241)))))))))</f>
        <v/>
      </c>
      <c r="BZ241" s="34">
        <f>BE241-BV241-CA241</f>
        <v/>
      </c>
      <c r="CA241" s="34">
        <f>BD241</f>
        <v/>
      </c>
      <c r="CB241" s="33">
        <f>BE241-BV241</f>
        <v/>
      </c>
      <c r="CC241" s="34">
        <f>IF(AY241=0,0,CB241/AY241)</f>
        <v/>
      </c>
      <c r="CD241" s="34">
        <f>MAX((AY241+MAX((-J241+L241-N241+Q241-T241+X241),0)),(MAX((J241-L241+N241-Q241+T241-X241),0)))</f>
        <v/>
      </c>
      <c r="CE241" s="82">
        <f>IFERROR(ABS(BX241/CD241),0)</f>
        <v/>
      </c>
      <c r="CF241" s="34">
        <f>IF(CE241&lt;=0.1,0,BX241/CE241*(CE241-0.1))</f>
        <v/>
      </c>
      <c r="CG241" s="34">
        <f>IF((CF241)&lt;0,MAX(F241:G241)*(CF241)*1.03,MIN(F241:G241)*(CF241)*0.97)</f>
        <v/>
      </c>
      <c r="CH241" s="34">
        <f>IF(CE241&gt;0.1,1,0)</f>
        <v/>
      </c>
      <c r="CI241" s="34">
        <f>(F241*BX241)-BY241</f>
        <v/>
      </c>
      <c r="CJ241" s="34">
        <f>IF(AY241=0,0,CI241/AY241)</f>
        <v/>
      </c>
      <c r="CK241" t="inlineStr">
        <is>
          <t>l</t>
        </is>
      </c>
    </row>
    <row r="242">
      <c r="A242" s="29" t="n">
        <v>46213.95833333334</v>
      </c>
      <c r="B242" s="29" t="inlineStr">
        <is>
          <t>23:00</t>
        </is>
      </c>
      <c r="C242" s="35">
        <f>INT(A242)</f>
        <v/>
      </c>
      <c r="D242" s="36">
        <f>MONTH(A242)</f>
        <v/>
      </c>
      <c r="E242" s="147" t="inlineStr"/>
      <c r="F242" s="30" t="n">
        <v>3400</v>
      </c>
      <c r="G242" s="30" t="n"/>
      <c r="H242" s="30" t="n">
        <v>72.7</v>
      </c>
      <c r="I242" s="30" t="n">
        <v>3350.45</v>
      </c>
      <c r="J242" s="119" t="n">
        <v>0</v>
      </c>
      <c r="K242" s="34">
        <f>F242*J242</f>
        <v/>
      </c>
      <c r="L242" s="119" t="n">
        <v>0</v>
      </c>
      <c r="M242" s="34">
        <f>L242*F242</f>
        <v/>
      </c>
      <c r="N242" s="119" t="n">
        <v>16</v>
      </c>
      <c r="O242" s="34">
        <f>F242</f>
        <v/>
      </c>
      <c r="P242" s="34">
        <f>N242*O242</f>
        <v/>
      </c>
      <c r="Q242" s="117" t="n">
        <v>0</v>
      </c>
      <c r="R242" s="34">
        <f>F242</f>
        <v/>
      </c>
      <c r="S242" s="34">
        <f>R242*Q242</f>
        <v/>
      </c>
      <c r="T242" s="34" t="n"/>
      <c r="U242" s="34">
        <f>IFERROR(W242/T242,0)</f>
        <v/>
      </c>
      <c r="V242" s="34">
        <f>IF(U242=0,0,U242-F242)</f>
        <v/>
      </c>
      <c r="W242" s="34" t="n">
        <v>13887.3</v>
      </c>
      <c r="X242" s="34" t="n"/>
      <c r="Y242" s="34">
        <f>IFERROR(AA242/X242,0)</f>
        <v/>
      </c>
      <c r="Z242" s="34">
        <f>IF(Y242=0,0,F242-Y242)</f>
        <v/>
      </c>
      <c r="AA242" s="34" t="n"/>
      <c r="AB242" s="34" t="n"/>
      <c r="AC242" s="34" t="n">
        <v>0</v>
      </c>
      <c r="AD242" s="34">
        <f>IF(AB242&gt;AC242*1.05,AB242-AC242*1.05,IF(AB242&lt;AC242*0.95,AC242*0.95-AB242,0))</f>
        <v/>
      </c>
      <c r="AE242" s="34">
        <f>MAX(F242,G242,750)*0.05*AD242</f>
        <v/>
      </c>
      <c r="AF242" s="34" t="n">
        <v>0</v>
      </c>
      <c r="AG242" s="34">
        <f>IF(AB242&gt;AF242*1.05,AB242-AF242*1.05,IF(AB242&lt;AF242*0.95,AF242*0.95-AB242,0))</f>
        <v/>
      </c>
      <c r="AH242" s="34">
        <f>MAX(I242,J242,750)*0.05*AG242</f>
        <v/>
      </c>
      <c r="AJ242" t="n">
        <v>6</v>
      </c>
      <c r="AK242" s="34">
        <f>IF(AI242&gt;AJ242*1.05,AI242-AJ242*1.05,IF(AI242&lt;AJ242*0.95,AJ242*0.95-AI242,0))</f>
        <v/>
      </c>
      <c r="AL242" s="34">
        <f>MAX(F242,G242,750)*0.05*AK242</f>
        <v/>
      </c>
      <c r="AM242" s="39" t="n">
        <v>6</v>
      </c>
      <c r="AN242" s="34">
        <f>IF(AI242&gt;AM242*1.05,AI242-AM242*1.05,IF(AI242&lt;AM242*0.95,AM242*0.95-AI242,0))</f>
        <v/>
      </c>
      <c r="AO242" s="34">
        <f>MAX(F242,G242,750)*0.05*AN242</f>
        <v/>
      </c>
      <c r="AP242" s="34" t="n"/>
      <c r="AQ242" s="34" t="n">
        <v>9</v>
      </c>
      <c r="AR242" s="34">
        <f>IF(AP242&gt;AQ242*1.05,AP242-AQ242*1.05,IF(AP242&lt;AQ242*0.95,AQ242*0.95-AP242,0))</f>
        <v/>
      </c>
      <c r="AS242" s="34">
        <f>MAX(F242:G242,750)*0.05*AR242</f>
        <v/>
      </c>
      <c r="AT242" t="n">
        <v>9</v>
      </c>
      <c r="AU242" s="34">
        <f>IF(AP242&gt;AT242*1.05,AP242-AT242*1.05,IF(AP242&lt;AT242*0.95,AT242*0.95-AP242,0))</f>
        <v/>
      </c>
      <c r="AV242" s="34">
        <f>MAX(F242:G242,750)*0.05*AU242</f>
        <v/>
      </c>
      <c r="AW242" s="34">
        <f>AC242+AJ242+AQ242</f>
        <v/>
      </c>
      <c r="AX242" s="34">
        <f>AF242+AM242+AT242</f>
        <v/>
      </c>
      <c r="AY242" s="34">
        <f>AB242+AI242+AP242</f>
        <v/>
      </c>
      <c r="AZ242" s="34" t="n">
        <v>0</v>
      </c>
      <c r="BA242" s="34">
        <f>AD242+AK242+AR242</f>
        <v/>
      </c>
      <c r="BB242" s="34">
        <f>MAX(F242:G242,750)*0.05*BA242</f>
        <v/>
      </c>
      <c r="BC242" s="34">
        <f>AG242+AN242+AU242</f>
        <v/>
      </c>
      <c r="BD242" s="34">
        <f>MAX(F242:G242,750)*0.05*BC242</f>
        <v/>
      </c>
      <c r="BE242" s="34">
        <f>F242*AY242</f>
        <v/>
      </c>
      <c r="BF242" s="34">
        <f>K242-M242</f>
        <v/>
      </c>
      <c r="BG242" s="34">
        <f>P242-S242</f>
        <v/>
      </c>
      <c r="BH242" s="34">
        <f>W242-AA242</f>
        <v/>
      </c>
      <c r="BI242" s="34">
        <f>BF242+BG242+BL242-BN242</f>
        <v/>
      </c>
      <c r="BJ242" s="34">
        <f>ABS(BK242)</f>
        <v/>
      </c>
      <c r="BK242" s="34">
        <f>AY242-(J242-L242+N242-Q242)</f>
        <v/>
      </c>
      <c r="BL242" s="34">
        <f>IF(AND(BK242&gt;0,MIN($F242:$G242)&lt;150,$E242="Enerji Açığı"),-100*BK242*1.03,IF(AND(BK242&gt;0,MIN($F242:$G242)&lt;150,$E242="Enerji Fazlası"),-100*BK242*1.06,IF(AND(BK242&gt;0,MIN($F242:$G242)&gt;=150,$E242="Enerji Açığı"),BK242*MIN($F242:$G242)*0.97,IF(AND(BK242&gt;0,MIN($F242:$G242)&gt;=150,$E242="Enerji Fazlası"),BK242*MIN($F242:$G242)*0.94,IF(AND(BK242&lt;0,MAX($F242:$G242)=4500,$E242="Enerji Açığı"),4500*1.05*1.06*BK242,IF(AND(BK242&lt;0,MAX($F242:$G242)=4500,$E242="Enerji Fazlası"),4500*1.05*1.03*BK242,IF(AND(BK242&lt;0,$E242="Enerji Açığı"),MAX($F242,$G242,150)*BK242*1.06,IF(AND(BK242&lt;0,$E242="Enerji Fazlası"),MAX($F242,$G242,150)*BK242*1.03,IF(AND(BK242&lt;0,$E242="Dengede"),MAX($F242:$G242,150)*1.03*BK242,MIN($F242:$G242)*0.97*BK242)))))))))</f>
        <v/>
      </c>
      <c r="BM242" s="34">
        <f>BE242-BI242-BN242</f>
        <v/>
      </c>
      <c r="BN242" s="34">
        <f>BB242</f>
        <v/>
      </c>
      <c r="BO242" s="34">
        <f>BE242-BI242</f>
        <v/>
      </c>
      <c r="BP242" s="34">
        <f>IF(AY242=0,0,BO242/AY242)</f>
        <v/>
      </c>
      <c r="BQ242" s="34">
        <f>MAX((AY242+MAX((-J242+L242-N242+Q242),0)),(MAX((J242-L242+N242-Q242),0)))</f>
        <v/>
      </c>
      <c r="BR242" s="82">
        <f>IFERROR(ABS(BK242/BQ242),0)</f>
        <v/>
      </c>
      <c r="BS242" s="34">
        <f>IF(BR242&lt;=0.1,0,BK242/BR242*(BR242-0.1))</f>
        <v/>
      </c>
      <c r="BT242" s="34">
        <f>IF((BS242)&lt;0,MAX(F242:G242)*(BS242)*1.03,MIN(F242:G242)*(BS242)*0.97)</f>
        <v/>
      </c>
      <c r="BU242" s="34">
        <f>IF(BR242&gt;0.1,1,0)</f>
        <v/>
      </c>
      <c r="BV242" s="34">
        <f>BF242+BG242+BH242+BY242-CA242</f>
        <v/>
      </c>
      <c r="BW242" s="34">
        <f>ABS(BX242)</f>
        <v/>
      </c>
      <c r="BX242" s="34">
        <f>AY242-(J242-L242+N242-Q242+T242-X242)</f>
        <v/>
      </c>
      <c r="BY242" s="34">
        <f>IF(AND(BX242&gt;0,MIN($F242:$G242)&lt;150,$E242="Enerji Açığı"),-100*BX242*1.03,IF(AND(BX242&gt;0,MIN($F242:$G242)&lt;150,$E242="Enerji Fazlası"),-100*BX242*1.06,IF(AND(BX242&gt;0,MIN($F242:$G242)&gt;=150,$E242="Enerji Açığı"),BX242*MIN($F242:$G242)*0.97,IF(AND(BX242&gt;0,MIN($F242:$G242)&gt;=150,$E242="Enerji Fazlası"),BX242*MIN($F242:$G242)*0.94,IF(AND(BX242&lt;0,MAX($F242:$G242)=4500,$E242="Enerji Açığı"),4500*1.05*1.06*BX242,IF(AND(BX242&lt;0,MAX($F242:$G242)=4500,$E242="Enerji Fazlası"),4500*1.05*1.03*BX242,IF(AND(BX242&lt;0,$E242="Enerji Açığı"),MAX($F242,$G242,150)*BX242*1.06,IF(AND(BX242&lt;0,$E242="Enerji Fazlası"),MAX($F242,$G242,150)*BX242*1.03,IF(AND(BX242&lt;0,$E242="Dengede"),MAX($F242:$G242,150)*1.03*BX242,MIN($F242:$G242)*0.97*BX242)))))))))</f>
        <v/>
      </c>
      <c r="BZ242" s="34">
        <f>BE242-BV242-CA242</f>
        <v/>
      </c>
      <c r="CA242" s="34">
        <f>BD242</f>
        <v/>
      </c>
      <c r="CB242" s="33">
        <f>BE242-BV242</f>
        <v/>
      </c>
      <c r="CC242" s="34">
        <f>IF(AY242=0,0,CB242/AY242)</f>
        <v/>
      </c>
      <c r="CD242" s="34">
        <f>MAX((AY242+MAX((-J242+L242-N242+Q242-T242+X242),0)),(MAX((J242-L242+N242-Q242+T242-X242),0)))</f>
        <v/>
      </c>
      <c r="CE242" s="82">
        <f>IFERROR(ABS(BX242/CD242),0)</f>
        <v/>
      </c>
      <c r="CF242" s="34">
        <f>IF(CE242&lt;=0.1,0,BX242/CE242*(CE242-0.1))</f>
        <v/>
      </c>
      <c r="CG242" s="34">
        <f>IF((CF242)&lt;0,MAX(F242:G242)*(CF242)*1.03,MIN(F242:G242)*(CF242)*0.97)</f>
        <v/>
      </c>
      <c r="CH242" s="34">
        <f>IF(CE242&gt;0.1,1,0)</f>
        <v/>
      </c>
      <c r="CI242" s="34">
        <f>(F242*BX242)-BY242</f>
        <v/>
      </c>
      <c r="CJ242" s="34">
        <f>IF(AY242=0,0,CI242/AY242)</f>
        <v/>
      </c>
    </row>
    <row r="243">
      <c r="A243" s="29" t="n"/>
      <c r="B243" s="29" t="n"/>
      <c r="C243" s="35" t="n"/>
      <c r="D243" s="36" t="n"/>
      <c r="E243" s="147" t="n"/>
      <c r="F243" s="30" t="n"/>
      <c r="G243" s="30" t="n"/>
      <c r="H243" s="30" t="n"/>
      <c r="I243" s="30" t="n"/>
      <c r="J243" s="119" t="n"/>
      <c r="K243" s="34" t="n"/>
      <c r="L243" s="119" t="n"/>
      <c r="M243" s="34" t="n"/>
      <c r="N243" s="119" t="n"/>
      <c r="O243" s="34" t="n"/>
      <c r="P243" s="34" t="n"/>
      <c r="Q243" s="117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  <c r="AA243" s="34" t="n"/>
      <c r="AB243" s="34" t="n"/>
      <c r="AC243" s="34" t="n"/>
      <c r="AD243" s="34" t="n"/>
      <c r="AE243" s="34" t="n"/>
      <c r="AF243" s="34" t="n"/>
      <c r="AG243" s="34" t="n"/>
      <c r="AH243" s="34" t="n"/>
      <c r="AK243" s="34" t="n"/>
      <c r="AL243" s="34" t="n"/>
      <c r="AM243" s="39" t="n"/>
      <c r="AN243" s="34" t="n"/>
      <c r="AO243" s="34" t="n"/>
      <c r="AP243" s="34" t="n"/>
      <c r="AQ243" s="34" t="n"/>
      <c r="AR243" s="34" t="n"/>
      <c r="AS243" s="34" t="n"/>
      <c r="AU243" s="34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34" t="n"/>
      <c r="BL243" s="34" t="n"/>
      <c r="BM243" s="34" t="n"/>
      <c r="BN243" s="34" t="n"/>
      <c r="BO243" s="34" t="n"/>
      <c r="BP243" s="34" t="n"/>
      <c r="BQ243" s="34" t="n"/>
      <c r="BR243" s="82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3" t="n"/>
      <c r="CC243" s="34" t="n"/>
      <c r="CD243" s="34" t="n"/>
      <c r="CE243" s="82" t="n"/>
      <c r="CF243" s="34" t="n"/>
      <c r="CG243" s="34" t="n"/>
      <c r="CH243" s="34" t="n"/>
      <c r="CI243" s="34" t="n"/>
      <c r="CJ243" s="34" t="n"/>
    </row>
    <row r="244">
      <c r="A244" s="29" t="n"/>
      <c r="B244" s="29" t="n"/>
      <c r="C244" s="35" t="n"/>
      <c r="D244" s="36" t="n"/>
      <c r="E244" s="147" t="n"/>
      <c r="F244" s="30" t="n"/>
      <c r="G244" s="30" t="n"/>
      <c r="H244" s="30" t="n"/>
      <c r="I244" s="30" t="n"/>
      <c r="J244" s="119" t="n"/>
      <c r="K244" s="34" t="n"/>
      <c r="L244" s="119" t="n"/>
      <c r="M244" s="34" t="n"/>
      <c r="N244" s="119" t="n"/>
      <c r="O244" s="34" t="n"/>
      <c r="P244" s="34" t="n"/>
      <c r="Q244" s="117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  <c r="AA244" s="34" t="n"/>
      <c r="AB244" s="34" t="n"/>
      <c r="AC244" s="34" t="n"/>
      <c r="AD244" s="34" t="n"/>
      <c r="AE244" s="34" t="n"/>
      <c r="AF244" s="34" t="n"/>
      <c r="AG244" s="34" t="n"/>
      <c r="AH244" s="34" t="n"/>
      <c r="AK244" s="34" t="n"/>
      <c r="AL244" s="34" t="n"/>
      <c r="AM244" s="39" t="n"/>
      <c r="AN244" s="34" t="n"/>
      <c r="AO244" s="34" t="n"/>
      <c r="AP244" s="34" t="n"/>
      <c r="AQ244" s="34" t="n"/>
      <c r="AR244" s="34" t="n"/>
      <c r="AS244" s="34" t="n"/>
      <c r="AU244" s="34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34" t="n"/>
      <c r="BL244" s="34" t="n"/>
      <c r="BM244" s="34" t="n"/>
      <c r="BN244" s="34" t="n"/>
      <c r="BO244" s="34" t="n"/>
      <c r="BP244" s="34" t="n"/>
      <c r="BQ244" s="34" t="n"/>
      <c r="BR244" s="82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3" t="n"/>
      <c r="CC244" s="34" t="n"/>
      <c r="CD244" s="34" t="n"/>
      <c r="CE244" s="82" t="n"/>
      <c r="CF244" s="34" t="n"/>
      <c r="CG244" s="34" t="n"/>
      <c r="CH244" s="34" t="n"/>
      <c r="CI244" s="34" t="n"/>
      <c r="CJ244" s="34" t="n"/>
    </row>
    <row r="245">
      <c r="A245" s="29" t="n"/>
      <c r="B245" s="29" t="n"/>
      <c r="C245" s="35" t="n"/>
      <c r="D245" s="36" t="n"/>
      <c r="E245" s="147" t="n"/>
      <c r="F245" s="30" t="n"/>
      <c r="G245" s="30" t="n"/>
      <c r="H245" s="30" t="n"/>
      <c r="I245" s="30" t="n"/>
      <c r="J245" s="119" t="n"/>
      <c r="K245" s="34" t="n"/>
      <c r="L245" s="119" t="n"/>
      <c r="M245" s="34" t="n"/>
      <c r="N245" s="119" t="n"/>
      <c r="O245" s="34" t="n"/>
      <c r="P245" s="34" t="n"/>
      <c r="Q245" s="117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  <c r="AA245" s="34" t="n"/>
      <c r="AB245" s="34" t="n"/>
      <c r="AC245" s="34" t="n"/>
      <c r="AD245" s="34" t="n"/>
      <c r="AE245" s="34" t="n"/>
      <c r="AF245" s="34" t="n"/>
      <c r="AG245" s="34" t="n"/>
      <c r="AH245" s="34" t="n"/>
      <c r="AK245" s="34" t="n"/>
      <c r="AL245" s="34" t="n"/>
      <c r="AM245" s="39" t="n"/>
      <c r="AN245" s="34" t="n"/>
      <c r="AO245" s="34" t="n"/>
      <c r="AP245" s="34" t="n"/>
      <c r="AQ245" s="34" t="n"/>
      <c r="AR245" s="34" t="n"/>
      <c r="AS245" s="34" t="n"/>
      <c r="AU245" s="34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34" t="n"/>
      <c r="BL245" s="34" t="n"/>
      <c r="BM245" s="34" t="n"/>
      <c r="BN245" s="34" t="n"/>
      <c r="BO245" s="34" t="n"/>
      <c r="BP245" s="34" t="n"/>
      <c r="BQ245" s="34" t="n"/>
      <c r="BR245" s="82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3" t="n"/>
      <c r="CC245" s="34" t="n"/>
      <c r="CD245" s="34" t="n"/>
      <c r="CE245" s="82" t="n"/>
      <c r="CF245" s="34" t="n"/>
      <c r="CG245" s="34" t="n"/>
      <c r="CH245" s="34" t="n"/>
      <c r="CI245" s="34" t="n"/>
      <c r="CJ245" s="34" t="n"/>
    </row>
    <row r="246">
      <c r="A246" s="29" t="n"/>
      <c r="B246" s="29" t="n"/>
      <c r="C246" s="35" t="n"/>
      <c r="D246" s="36" t="n"/>
      <c r="E246" s="147" t="n"/>
      <c r="F246" s="30" t="n"/>
      <c r="G246" s="30" t="n"/>
      <c r="H246" s="30" t="n"/>
      <c r="I246" s="30" t="n"/>
      <c r="J246" s="119" t="n"/>
      <c r="K246" s="34" t="n"/>
      <c r="L246" s="119" t="n"/>
      <c r="M246" s="34" t="n"/>
      <c r="N246" s="119" t="n"/>
      <c r="O246" s="34" t="n"/>
      <c r="P246" s="34" t="n"/>
      <c r="Q246" s="117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  <c r="AA246" s="34" t="n"/>
      <c r="AB246" s="34" t="n"/>
      <c r="AC246" s="34" t="n"/>
      <c r="AD246" s="34" t="n"/>
      <c r="AE246" s="34" t="n"/>
      <c r="AF246" s="34" t="n"/>
      <c r="AG246" s="34" t="n"/>
      <c r="AH246" s="34" t="n"/>
      <c r="AK246" s="34" t="n"/>
      <c r="AL246" s="34" t="n"/>
      <c r="AM246" s="39" t="n"/>
      <c r="AN246" s="34" t="n"/>
      <c r="AO246" s="34" t="n"/>
      <c r="AP246" s="34" t="n"/>
      <c r="AQ246" s="34" t="n"/>
      <c r="AR246" s="34" t="n"/>
      <c r="AS246" s="34" t="n"/>
      <c r="AU246" s="34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34" t="n"/>
      <c r="BL246" s="34" t="n"/>
      <c r="BM246" s="34" t="n"/>
      <c r="BN246" s="34" t="n"/>
      <c r="BO246" s="34" t="n"/>
      <c r="BP246" s="34" t="n"/>
      <c r="BQ246" s="34" t="n"/>
      <c r="BR246" s="82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3" t="n"/>
      <c r="CC246" s="34" t="n"/>
      <c r="CD246" s="34" t="n"/>
      <c r="CE246" s="82" t="n"/>
      <c r="CF246" s="34" t="n"/>
      <c r="CG246" s="34" t="n"/>
      <c r="CH246" s="34" t="n"/>
      <c r="CI246" s="34" t="n"/>
      <c r="CJ246" s="34" t="n"/>
    </row>
    <row r="247">
      <c r="A247" s="29" t="n"/>
      <c r="B247" s="29" t="n"/>
      <c r="C247" s="35" t="n"/>
      <c r="D247" s="36" t="n"/>
      <c r="E247" s="147" t="n"/>
      <c r="F247" s="30" t="n"/>
      <c r="G247" s="30" t="n"/>
      <c r="H247" s="30" t="n"/>
      <c r="I247" s="30" t="n"/>
      <c r="J247" s="119" t="n"/>
      <c r="K247" s="34" t="n"/>
      <c r="L247" s="119" t="n"/>
      <c r="M247" s="34" t="n"/>
      <c r="N247" s="119" t="n"/>
      <c r="O247" s="34" t="n"/>
      <c r="P247" s="34" t="n"/>
      <c r="Q247" s="117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  <c r="AA247" s="34" t="n"/>
      <c r="AB247" s="34" t="n"/>
      <c r="AC247" s="34" t="n"/>
      <c r="AD247" s="34" t="n"/>
      <c r="AE247" s="34" t="n"/>
      <c r="AF247" s="34" t="n"/>
      <c r="AG247" s="34" t="n"/>
      <c r="AH247" s="34" t="n"/>
      <c r="AK247" s="34" t="n"/>
      <c r="AL247" s="34" t="n"/>
      <c r="AM247" s="39" t="n"/>
      <c r="AN247" s="34" t="n"/>
      <c r="AO247" s="34" t="n"/>
      <c r="AP247" s="34" t="n"/>
      <c r="AQ247" s="34" t="n"/>
      <c r="AR247" s="34" t="n"/>
      <c r="AS247" s="34" t="n"/>
      <c r="AU247" s="34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34" t="n"/>
      <c r="BL247" s="34" t="n"/>
      <c r="BM247" s="34" t="n"/>
      <c r="BN247" s="34" t="n"/>
      <c r="BO247" s="34" t="n"/>
      <c r="BP247" s="34" t="n"/>
      <c r="BQ247" s="34" t="n"/>
      <c r="BR247" s="82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3" t="n"/>
      <c r="CC247" s="34" t="n"/>
      <c r="CD247" s="34" t="n"/>
      <c r="CE247" s="82" t="n"/>
      <c r="CF247" s="34" t="n"/>
      <c r="CG247" s="34" t="n"/>
      <c r="CH247" s="34" t="n"/>
      <c r="CI247" s="34" t="n"/>
      <c r="CJ247" s="34" t="n"/>
    </row>
    <row r="248">
      <c r="A248" s="29" t="n"/>
      <c r="B248" s="29" t="n"/>
      <c r="C248" s="35" t="n"/>
      <c r="D248" s="36" t="n"/>
      <c r="E248" s="147" t="n"/>
      <c r="F248" s="30" t="n"/>
      <c r="G248" s="30" t="n"/>
      <c r="H248" s="30" t="n"/>
      <c r="I248" s="30" t="n"/>
      <c r="J248" s="119" t="n"/>
      <c r="K248" s="34" t="n"/>
      <c r="L248" s="119" t="n"/>
      <c r="M248" s="34" t="n"/>
      <c r="N248" s="119" t="n"/>
      <c r="O248" s="34" t="n"/>
      <c r="P248" s="34" t="n"/>
      <c r="Q248" s="117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  <c r="AA248" s="34" t="n"/>
      <c r="AB248" s="34" t="n"/>
      <c r="AC248" s="34" t="n"/>
      <c r="AD248" s="34" t="n"/>
      <c r="AE248" s="34" t="n"/>
      <c r="AF248" s="34" t="n"/>
      <c r="AG248" s="34" t="n"/>
      <c r="AH248" s="34" t="n"/>
      <c r="AK248" s="34" t="n"/>
      <c r="AL248" s="34" t="n"/>
      <c r="AM248" s="39" t="n"/>
      <c r="AN248" s="34" t="n"/>
      <c r="AO248" s="34" t="n"/>
      <c r="AP248" s="34" t="n"/>
      <c r="AQ248" s="34" t="n"/>
      <c r="AR248" s="34" t="n"/>
      <c r="AS248" s="34" t="n"/>
      <c r="AU248" s="34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34" t="n"/>
      <c r="BL248" s="34" t="n"/>
      <c r="BM248" s="34" t="n"/>
      <c r="BN248" s="34" t="n"/>
      <c r="BO248" s="34" t="n"/>
      <c r="BP248" s="34" t="n"/>
      <c r="BQ248" s="34" t="n"/>
      <c r="BR248" s="82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3" t="n"/>
      <c r="CC248" s="34" t="n"/>
      <c r="CD248" s="34" t="n"/>
      <c r="CE248" s="82" t="n"/>
      <c r="CF248" s="34" t="n"/>
      <c r="CG248" s="34" t="n"/>
      <c r="CH248" s="34" t="n"/>
      <c r="CI248" s="34" t="n"/>
      <c r="CJ248" s="34" t="n"/>
    </row>
    <row r="249">
      <c r="A249" s="29" t="n"/>
      <c r="B249" s="29" t="n"/>
      <c r="C249" s="35" t="n"/>
      <c r="D249" s="36" t="n"/>
      <c r="E249" s="147" t="n"/>
      <c r="F249" s="30" t="n"/>
      <c r="G249" s="30" t="n"/>
      <c r="H249" s="30" t="n"/>
      <c r="I249" s="30" t="n"/>
      <c r="J249" s="119" t="n"/>
      <c r="K249" s="34" t="n"/>
      <c r="L249" s="119" t="n"/>
      <c r="M249" s="34" t="n"/>
      <c r="N249" s="119" t="n"/>
      <c r="O249" s="34" t="n"/>
      <c r="P249" s="34" t="n"/>
      <c r="Q249" s="117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  <c r="AA249" s="34" t="n"/>
      <c r="AB249" s="34" t="n"/>
      <c r="AC249" s="34" t="n"/>
      <c r="AD249" s="34" t="n"/>
      <c r="AE249" s="34" t="n"/>
      <c r="AF249" s="34" t="n"/>
      <c r="AG249" s="34" t="n"/>
      <c r="AH249" s="34" t="n"/>
      <c r="AK249" s="34" t="n"/>
      <c r="AL249" s="34" t="n"/>
      <c r="AM249" s="39" t="n"/>
      <c r="AN249" s="34" t="n"/>
      <c r="AO249" s="34" t="n"/>
      <c r="AP249" s="34" t="n"/>
      <c r="AQ249" s="34" t="n"/>
      <c r="AR249" s="34" t="n"/>
      <c r="AS249" s="34" t="n"/>
      <c r="AU249" s="34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34" t="n"/>
      <c r="BL249" s="34" t="n"/>
      <c r="BM249" s="34" t="n"/>
      <c r="BN249" s="34" t="n"/>
      <c r="BO249" s="34" t="n"/>
      <c r="BP249" s="34" t="n"/>
      <c r="BQ249" s="34" t="n"/>
      <c r="BR249" s="82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3" t="n"/>
      <c r="CC249" s="34" t="n"/>
      <c r="CD249" s="34" t="n"/>
      <c r="CE249" s="82" t="n"/>
      <c r="CF249" s="34" t="n"/>
      <c r="CG249" s="34" t="n"/>
      <c r="CH249" s="34" t="n"/>
      <c r="CI249" s="34" t="n"/>
      <c r="CJ249" s="34" t="n"/>
    </row>
    <row r="250">
      <c r="A250" s="29" t="n"/>
      <c r="B250" s="29" t="n"/>
      <c r="C250" s="35" t="n"/>
      <c r="D250" s="36" t="n"/>
      <c r="E250" s="147" t="n"/>
      <c r="F250" s="30" t="n"/>
      <c r="G250" s="30" t="n"/>
      <c r="H250" s="30" t="n"/>
      <c r="I250" s="30" t="n"/>
      <c r="J250" s="119" t="n"/>
      <c r="K250" s="34" t="n"/>
      <c r="L250" s="119" t="n"/>
      <c r="M250" s="34" t="n"/>
      <c r="N250" s="119" t="n"/>
      <c r="O250" s="34" t="n"/>
      <c r="P250" s="34" t="n"/>
      <c r="Q250" s="117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  <c r="AA250" s="34" t="n"/>
      <c r="AB250" s="34" t="n"/>
      <c r="AC250" s="34" t="n"/>
      <c r="AD250" s="34" t="n"/>
      <c r="AE250" s="34" t="n"/>
      <c r="AF250" s="34" t="n"/>
      <c r="AG250" s="34" t="n"/>
      <c r="AH250" s="34" t="n"/>
      <c r="AK250" s="34" t="n"/>
      <c r="AL250" s="34" t="n"/>
      <c r="AM250" s="39" t="n"/>
      <c r="AN250" s="34" t="n"/>
      <c r="AO250" s="34" t="n"/>
      <c r="AP250" s="34" t="n"/>
      <c r="AQ250" s="34" t="n"/>
      <c r="AR250" s="34" t="n"/>
      <c r="AS250" s="34" t="n"/>
      <c r="AU250" s="34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34" t="n"/>
      <c r="BL250" s="34" t="n"/>
      <c r="BM250" s="34" t="n"/>
      <c r="BN250" s="34" t="n"/>
      <c r="BO250" s="34" t="n"/>
      <c r="BP250" s="34" t="n"/>
      <c r="BQ250" s="34" t="n"/>
      <c r="BR250" s="82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3" t="n"/>
      <c r="CC250" s="34" t="n"/>
      <c r="CD250" s="34" t="n"/>
      <c r="CE250" s="82" t="n"/>
      <c r="CF250" s="34" t="n"/>
      <c r="CG250" s="34" t="n"/>
      <c r="CH250" s="34" t="n"/>
      <c r="CI250" s="34" t="n"/>
      <c r="CJ250" s="34" t="n"/>
    </row>
    <row r="251">
      <c r="A251" s="29" t="n"/>
      <c r="B251" s="29" t="n"/>
      <c r="C251" s="35" t="n"/>
      <c r="D251" s="36" t="n"/>
      <c r="E251" s="147" t="n"/>
      <c r="F251" s="30" t="n"/>
      <c r="G251" s="30" t="n"/>
      <c r="H251" s="30" t="n"/>
      <c r="I251" s="30" t="n"/>
      <c r="J251" s="119" t="n"/>
      <c r="K251" s="34" t="n"/>
      <c r="L251" s="119" t="n"/>
      <c r="M251" s="34" t="n"/>
      <c r="N251" s="119" t="n"/>
      <c r="O251" s="34" t="n"/>
      <c r="P251" s="34" t="n"/>
      <c r="Q251" s="117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  <c r="AA251" s="34" t="n"/>
      <c r="AB251" s="34" t="n"/>
      <c r="AC251" s="34" t="n"/>
      <c r="AD251" s="34" t="n"/>
      <c r="AE251" s="34" t="n"/>
      <c r="AF251" s="34" t="n"/>
      <c r="AG251" s="34" t="n"/>
      <c r="AH251" s="34" t="n"/>
      <c r="AK251" s="34" t="n"/>
      <c r="AL251" s="34" t="n"/>
      <c r="AM251" s="39" t="n"/>
      <c r="AN251" s="34" t="n"/>
      <c r="AO251" s="34" t="n"/>
      <c r="AP251" s="34" t="n"/>
      <c r="AQ251" s="34" t="n"/>
      <c r="AR251" s="34" t="n"/>
      <c r="AS251" s="34" t="n"/>
      <c r="AU251" s="34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34" t="n"/>
      <c r="BL251" s="34" t="n"/>
      <c r="BM251" s="34" t="n"/>
      <c r="BN251" s="34" t="n"/>
      <c r="BO251" s="34" t="n"/>
      <c r="BP251" s="34" t="n"/>
      <c r="BQ251" s="34" t="n"/>
      <c r="BR251" s="82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3" t="n"/>
      <c r="CC251" s="34" t="n"/>
      <c r="CD251" s="34" t="n"/>
      <c r="CE251" s="82" t="n"/>
      <c r="CF251" s="34" t="n"/>
      <c r="CG251" s="34" t="n"/>
      <c r="CH251" s="34" t="n"/>
      <c r="CI251" s="34" t="n"/>
      <c r="CJ251" s="34" t="n"/>
    </row>
    <row r="252">
      <c r="A252" s="29" t="n"/>
      <c r="B252" s="29" t="n"/>
      <c r="C252" s="35" t="n"/>
      <c r="D252" s="36" t="n"/>
      <c r="E252" s="147" t="n"/>
      <c r="F252" s="30" t="n"/>
      <c r="G252" s="30" t="n"/>
      <c r="H252" s="30" t="n"/>
      <c r="I252" s="30" t="n"/>
      <c r="J252" s="119" t="n"/>
      <c r="K252" s="34" t="n"/>
      <c r="L252" s="119" t="n"/>
      <c r="M252" s="34" t="n"/>
      <c r="N252" s="119" t="n"/>
      <c r="O252" s="34" t="n"/>
      <c r="P252" s="34" t="n"/>
      <c r="Q252" s="117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  <c r="AA252" s="34" t="n"/>
      <c r="AB252" s="34" t="n"/>
      <c r="AC252" s="34" t="n"/>
      <c r="AD252" s="34" t="n"/>
      <c r="AE252" s="34" t="n"/>
      <c r="AF252" s="34" t="n"/>
      <c r="AG252" s="34" t="n"/>
      <c r="AH252" s="34" t="n"/>
      <c r="AK252" s="34" t="n"/>
      <c r="AL252" s="34" t="n"/>
      <c r="AM252" s="39" t="n"/>
      <c r="AN252" s="34" t="n"/>
      <c r="AO252" s="34" t="n"/>
      <c r="AP252" s="34" t="n"/>
      <c r="AQ252" s="34" t="n"/>
      <c r="AR252" s="34" t="n"/>
      <c r="AS252" s="34" t="n"/>
      <c r="AU252" s="34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34" t="n"/>
      <c r="BL252" s="34" t="n"/>
      <c r="BM252" s="34" t="n"/>
      <c r="BN252" s="34" t="n"/>
      <c r="BO252" s="34" t="n"/>
      <c r="BP252" s="34" t="n"/>
      <c r="BQ252" s="34" t="n"/>
      <c r="BR252" s="82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3" t="n"/>
      <c r="CC252" s="34" t="n"/>
      <c r="CD252" s="34" t="n"/>
      <c r="CE252" s="82" t="n"/>
      <c r="CF252" s="34" t="n"/>
      <c r="CG252" s="34" t="n"/>
      <c r="CH252" s="34" t="n"/>
      <c r="CI252" s="34" t="n"/>
      <c r="CJ252" s="34" t="n"/>
    </row>
    <row r="253">
      <c r="A253" s="29" t="n"/>
      <c r="B253" s="29" t="n"/>
      <c r="C253" s="35" t="n"/>
      <c r="D253" s="36" t="n"/>
      <c r="E253" s="147" t="n"/>
      <c r="F253" s="30" t="n"/>
      <c r="G253" s="30" t="n"/>
      <c r="H253" s="30" t="n"/>
      <c r="I253" s="30" t="n"/>
      <c r="J253" s="119" t="n"/>
      <c r="K253" s="34" t="n"/>
      <c r="L253" s="119" t="n"/>
      <c r="M253" s="34" t="n"/>
      <c r="N253" s="119" t="n"/>
      <c r="O253" s="34" t="n"/>
      <c r="P253" s="34" t="n"/>
      <c r="Q253" s="117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  <c r="AA253" s="34" t="n"/>
      <c r="AB253" s="34" t="n"/>
      <c r="AC253" s="34" t="n"/>
      <c r="AD253" s="34" t="n"/>
      <c r="AE253" s="34" t="n"/>
      <c r="AF253" s="34" t="n"/>
      <c r="AG253" s="34" t="n"/>
      <c r="AH253" s="34" t="n"/>
      <c r="AK253" s="34" t="n"/>
      <c r="AL253" s="34" t="n"/>
      <c r="AM253" s="39" t="n"/>
      <c r="AN253" s="34" t="n"/>
      <c r="AO253" s="34" t="n"/>
      <c r="AP253" s="34" t="n"/>
      <c r="AQ253" s="34" t="n"/>
      <c r="AR253" s="34" t="n"/>
      <c r="AS253" s="34" t="n"/>
      <c r="AU253" s="34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34" t="n"/>
      <c r="BL253" s="34" t="n"/>
      <c r="BM253" s="34" t="n"/>
      <c r="BN253" s="34" t="n"/>
      <c r="BO253" s="34" t="n"/>
      <c r="BP253" s="34" t="n"/>
      <c r="BQ253" s="34" t="n"/>
      <c r="BR253" s="82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3" t="n"/>
      <c r="CC253" s="34" t="n"/>
      <c r="CD253" s="34" t="n"/>
      <c r="CE253" s="82" t="n"/>
      <c r="CF253" s="34" t="n"/>
      <c r="CG253" s="34" t="n"/>
      <c r="CH253" s="34" t="n"/>
      <c r="CI253" s="34" t="n"/>
      <c r="CJ253" s="34" t="n"/>
    </row>
    <row r="254">
      <c r="A254" s="29" t="n"/>
      <c r="B254" s="29" t="n"/>
      <c r="C254" s="35" t="n"/>
      <c r="D254" s="36" t="n"/>
      <c r="E254" s="147" t="n"/>
      <c r="F254" s="30" t="n"/>
      <c r="G254" s="30" t="n"/>
      <c r="H254" s="30" t="n"/>
      <c r="I254" s="30" t="n"/>
      <c r="J254" s="119" t="n"/>
      <c r="K254" s="34" t="n"/>
      <c r="L254" s="119" t="n"/>
      <c r="M254" s="34" t="n"/>
      <c r="N254" s="119" t="n"/>
      <c r="O254" s="34" t="n"/>
      <c r="P254" s="34" t="n"/>
      <c r="Q254" s="117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  <c r="AA254" s="34" t="n"/>
      <c r="AB254" s="34" t="n"/>
      <c r="AC254" s="34" t="n"/>
      <c r="AD254" s="34" t="n"/>
      <c r="AE254" s="34" t="n"/>
      <c r="AF254" s="34" t="n"/>
      <c r="AG254" s="34" t="n"/>
      <c r="AH254" s="34" t="n"/>
      <c r="AK254" s="34" t="n"/>
      <c r="AL254" s="34" t="n"/>
      <c r="AM254" s="39" t="n"/>
      <c r="AN254" s="34" t="n"/>
      <c r="AO254" s="34" t="n"/>
      <c r="AP254" s="34" t="n"/>
      <c r="AQ254" s="34" t="n"/>
      <c r="AR254" s="34" t="n"/>
      <c r="AS254" s="34" t="n"/>
      <c r="AU254" s="34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34" t="n"/>
      <c r="BL254" s="34" t="n"/>
      <c r="BM254" s="34" t="n"/>
      <c r="BN254" s="34" t="n"/>
      <c r="BO254" s="34" t="n"/>
      <c r="BP254" s="34" t="n"/>
      <c r="BQ254" s="34" t="n"/>
      <c r="BR254" s="82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3" t="n"/>
      <c r="CC254" s="34" t="n"/>
      <c r="CD254" s="34" t="n"/>
      <c r="CE254" s="82" t="n"/>
      <c r="CF254" s="34" t="n"/>
      <c r="CG254" s="34" t="n"/>
      <c r="CH254" s="34" t="n"/>
      <c r="CI254" s="34" t="n"/>
      <c r="CJ254" s="34" t="n"/>
    </row>
    <row r="255">
      <c r="A255" s="29" t="n"/>
      <c r="B255" s="29" t="n"/>
      <c r="C255" s="35" t="n"/>
      <c r="D255" s="36" t="n"/>
      <c r="E255" s="147" t="n"/>
      <c r="F255" s="30" t="n"/>
      <c r="G255" s="30" t="n"/>
      <c r="H255" s="30" t="n"/>
      <c r="I255" s="30" t="n"/>
      <c r="J255" s="119" t="n"/>
      <c r="K255" s="34" t="n"/>
      <c r="L255" s="119" t="n"/>
      <c r="M255" s="34" t="n"/>
      <c r="N255" s="119" t="n"/>
      <c r="O255" s="34" t="n"/>
      <c r="P255" s="34" t="n"/>
      <c r="Q255" s="117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  <c r="AA255" s="34" t="n"/>
      <c r="AB255" s="34" t="n"/>
      <c r="AC255" s="34" t="n"/>
      <c r="AD255" s="34" t="n"/>
      <c r="AE255" s="34" t="n"/>
      <c r="AF255" s="34" t="n"/>
      <c r="AG255" s="34" t="n"/>
      <c r="AH255" s="34" t="n"/>
      <c r="AK255" s="34" t="n"/>
      <c r="AL255" s="34" t="n"/>
      <c r="AM255" s="39" t="n"/>
      <c r="AN255" s="34" t="n"/>
      <c r="AO255" s="34" t="n"/>
      <c r="AP255" s="34" t="n"/>
      <c r="AQ255" s="34" t="n"/>
      <c r="AR255" s="34" t="n"/>
      <c r="AS255" s="34" t="n"/>
      <c r="AU255" s="34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34" t="n"/>
      <c r="BL255" s="34" t="n"/>
      <c r="BM255" s="34" t="n"/>
      <c r="BN255" s="34" t="n"/>
      <c r="BO255" s="34" t="n"/>
      <c r="BP255" s="34" t="n"/>
      <c r="BQ255" s="34" t="n"/>
      <c r="BR255" s="82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3" t="n"/>
      <c r="CC255" s="34" t="n"/>
      <c r="CD255" s="34" t="n"/>
      <c r="CE255" s="82" t="n"/>
      <c r="CF255" s="34" t="n"/>
      <c r="CG255" s="34" t="n"/>
      <c r="CH255" s="34" t="n"/>
      <c r="CI255" s="34" t="n"/>
      <c r="CJ255" s="34" t="n"/>
    </row>
    <row r="256">
      <c r="A256" s="29" t="n"/>
      <c r="B256" s="29" t="n"/>
      <c r="C256" s="35" t="n"/>
      <c r="D256" s="36" t="n"/>
      <c r="E256" s="147" t="n"/>
      <c r="F256" s="30" t="n"/>
      <c r="G256" s="30" t="n"/>
      <c r="H256" s="30" t="n"/>
      <c r="I256" s="30" t="n"/>
      <c r="J256" s="119" t="n"/>
      <c r="K256" s="34" t="n"/>
      <c r="L256" s="119" t="n"/>
      <c r="M256" s="34" t="n"/>
      <c r="N256" s="119" t="n"/>
      <c r="O256" s="34" t="n"/>
      <c r="P256" s="34" t="n"/>
      <c r="Q256" s="117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  <c r="AA256" s="34" t="n"/>
      <c r="AB256" s="34" t="n"/>
      <c r="AC256" s="34" t="n"/>
      <c r="AD256" s="34" t="n"/>
      <c r="AE256" s="34" t="n"/>
      <c r="AF256" s="34" t="n"/>
      <c r="AG256" s="34" t="n"/>
      <c r="AH256" s="34" t="n"/>
      <c r="AK256" s="34" t="n"/>
      <c r="AL256" s="34" t="n"/>
      <c r="AM256" s="39" t="n"/>
      <c r="AN256" s="34" t="n"/>
      <c r="AO256" s="34" t="n"/>
      <c r="AP256" s="34" t="n"/>
      <c r="AQ256" s="34" t="n"/>
      <c r="AR256" s="34" t="n"/>
      <c r="AS256" s="34" t="n"/>
      <c r="AU256" s="34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34" t="n"/>
      <c r="BL256" s="34" t="n"/>
      <c r="BM256" s="34" t="n"/>
      <c r="BN256" s="34" t="n"/>
      <c r="BO256" s="34" t="n"/>
      <c r="BP256" s="34" t="n"/>
      <c r="BQ256" s="34" t="n"/>
      <c r="BR256" s="82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3" t="n"/>
      <c r="CC256" s="34" t="n"/>
      <c r="CD256" s="34" t="n"/>
      <c r="CE256" s="82" t="n"/>
      <c r="CF256" s="34" t="n"/>
      <c r="CG256" s="34" t="n"/>
      <c r="CH256" s="34" t="n"/>
      <c r="CI256" s="34" t="n"/>
      <c r="CJ256" s="34" t="n"/>
    </row>
    <row r="257">
      <c r="A257" s="29" t="n"/>
      <c r="B257" s="29" t="n"/>
      <c r="C257" s="35" t="n"/>
      <c r="D257" s="36" t="n"/>
      <c r="E257" s="147" t="n"/>
      <c r="F257" s="30" t="n"/>
      <c r="G257" s="30" t="n"/>
      <c r="H257" s="30" t="n"/>
      <c r="I257" s="30" t="n"/>
      <c r="J257" s="119" t="n"/>
      <c r="K257" s="34" t="n"/>
      <c r="L257" s="119" t="n"/>
      <c r="M257" s="34" t="n"/>
      <c r="N257" s="119" t="n"/>
      <c r="O257" s="34" t="n"/>
      <c r="P257" s="34" t="n"/>
      <c r="Q257" s="117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  <c r="AA257" s="34" t="n"/>
      <c r="AB257" s="34" t="n"/>
      <c r="AC257" s="34" t="n"/>
      <c r="AD257" s="34" t="n"/>
      <c r="AE257" s="34" t="n"/>
      <c r="AF257" s="34" t="n"/>
      <c r="AG257" s="34" t="n"/>
      <c r="AH257" s="34" t="n"/>
      <c r="AK257" s="34" t="n"/>
      <c r="AL257" s="34" t="n"/>
      <c r="AM257" s="39" t="n"/>
      <c r="AN257" s="34" t="n"/>
      <c r="AO257" s="34" t="n"/>
      <c r="AP257" s="34" t="n"/>
      <c r="AQ257" s="34" t="n"/>
      <c r="AR257" s="34" t="n"/>
      <c r="AS257" s="34" t="n"/>
      <c r="AU257" s="34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34" t="n"/>
      <c r="BL257" s="34" t="n"/>
      <c r="BM257" s="34" t="n"/>
      <c r="BN257" s="34" t="n"/>
      <c r="BO257" s="34" t="n"/>
      <c r="BP257" s="34" t="n"/>
      <c r="BQ257" s="34" t="n"/>
      <c r="BR257" s="82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3" t="n"/>
      <c r="CC257" s="34" t="n"/>
      <c r="CD257" s="34" t="n"/>
      <c r="CE257" s="82" t="n"/>
      <c r="CF257" s="34" t="n"/>
      <c r="CG257" s="34" t="n"/>
      <c r="CH257" s="34" t="n"/>
      <c r="CI257" s="34" t="n"/>
      <c r="CJ257" s="34" t="n"/>
    </row>
    <row r="258">
      <c r="A258" s="29" t="n"/>
      <c r="B258" s="29" t="n"/>
      <c r="C258" s="35" t="n"/>
      <c r="D258" s="36" t="n"/>
      <c r="E258" s="147" t="n"/>
      <c r="F258" s="30" t="n"/>
      <c r="G258" s="30" t="n"/>
      <c r="H258" s="30" t="n"/>
      <c r="I258" s="30" t="n"/>
      <c r="J258" s="119" t="n"/>
      <c r="K258" s="34" t="n"/>
      <c r="L258" s="119" t="n"/>
      <c r="M258" s="34" t="n"/>
      <c r="N258" s="119" t="n"/>
      <c r="O258" s="34" t="n"/>
      <c r="P258" s="34" t="n"/>
      <c r="Q258" s="117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  <c r="AA258" s="34" t="n"/>
      <c r="AB258" s="34" t="n"/>
      <c r="AC258" s="34" t="n"/>
      <c r="AD258" s="34" t="n"/>
      <c r="AE258" s="34" t="n"/>
      <c r="AF258" s="34" t="n"/>
      <c r="AG258" s="34" t="n"/>
      <c r="AH258" s="34" t="n"/>
      <c r="AK258" s="34" t="n"/>
      <c r="AL258" s="34" t="n"/>
      <c r="AM258" s="39" t="n"/>
      <c r="AN258" s="34" t="n"/>
      <c r="AO258" s="34" t="n"/>
      <c r="AP258" s="34" t="n"/>
      <c r="AQ258" s="34" t="n"/>
      <c r="AR258" s="34" t="n"/>
      <c r="AS258" s="34" t="n"/>
      <c r="AU258" s="34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34" t="n"/>
      <c r="BL258" s="34" t="n"/>
      <c r="BM258" s="34" t="n"/>
      <c r="BN258" s="34" t="n"/>
      <c r="BO258" s="34" t="n"/>
      <c r="BP258" s="34" t="n"/>
      <c r="BQ258" s="34" t="n"/>
      <c r="BR258" s="82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3" t="n"/>
      <c r="CC258" s="34" t="n"/>
      <c r="CD258" s="34" t="n"/>
      <c r="CE258" s="82" t="n"/>
      <c r="CF258" s="34" t="n"/>
      <c r="CG258" s="34" t="n"/>
      <c r="CH258" s="34" t="n"/>
      <c r="CI258" s="34" t="n"/>
      <c r="CJ258" s="34" t="n"/>
    </row>
    <row r="259">
      <c r="A259" s="29" t="n"/>
      <c r="B259" s="29" t="n"/>
      <c r="C259" s="35" t="n"/>
      <c r="D259" s="36" t="n"/>
      <c r="E259" s="147" t="n"/>
      <c r="F259" s="30" t="n"/>
      <c r="G259" s="30" t="n"/>
      <c r="H259" s="30" t="n"/>
      <c r="I259" s="30" t="n"/>
      <c r="J259" s="119" t="n"/>
      <c r="K259" s="34" t="n"/>
      <c r="L259" s="119" t="n"/>
      <c r="M259" s="34" t="n"/>
      <c r="N259" s="119" t="n"/>
      <c r="O259" s="34" t="n"/>
      <c r="P259" s="34" t="n"/>
      <c r="Q259" s="117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  <c r="AA259" s="34" t="n"/>
      <c r="AB259" s="34" t="n"/>
      <c r="AC259" s="34" t="n"/>
      <c r="AD259" s="34" t="n"/>
      <c r="AE259" s="34" t="n"/>
      <c r="AF259" s="34" t="n"/>
      <c r="AG259" s="34" t="n"/>
      <c r="AH259" s="34" t="n"/>
      <c r="AK259" s="34" t="n"/>
      <c r="AL259" s="34" t="n"/>
      <c r="AM259" s="39" t="n"/>
      <c r="AN259" s="34" t="n"/>
      <c r="AO259" s="34" t="n"/>
      <c r="AP259" s="34" t="n"/>
      <c r="AQ259" s="34" t="n"/>
      <c r="AR259" s="34" t="n"/>
      <c r="AS259" s="34" t="n"/>
      <c r="AU259" s="34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34" t="n"/>
      <c r="BL259" s="34" t="n"/>
      <c r="BM259" s="34" t="n"/>
      <c r="BN259" s="34" t="n"/>
      <c r="BO259" s="34" t="n"/>
      <c r="BP259" s="34" t="n"/>
      <c r="BQ259" s="34" t="n"/>
      <c r="BR259" s="82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3" t="n"/>
      <c r="CC259" s="34" t="n"/>
      <c r="CD259" s="34" t="n"/>
      <c r="CE259" s="82" t="n"/>
      <c r="CF259" s="34" t="n"/>
      <c r="CG259" s="34" t="n"/>
      <c r="CH259" s="34" t="n"/>
      <c r="CI259" s="34" t="n"/>
      <c r="CJ259" s="34" t="n"/>
    </row>
    <row r="260">
      <c r="A260" s="29" t="n"/>
      <c r="B260" s="29" t="n"/>
      <c r="C260" s="35" t="n"/>
      <c r="D260" s="36" t="n"/>
      <c r="E260" s="147" t="n"/>
      <c r="F260" s="30" t="n"/>
      <c r="G260" s="30" t="n"/>
      <c r="H260" s="30" t="n"/>
      <c r="I260" s="30" t="n"/>
      <c r="J260" s="119" t="n"/>
      <c r="K260" s="34" t="n"/>
      <c r="L260" s="119" t="n"/>
      <c r="M260" s="34" t="n"/>
      <c r="N260" s="119" t="n"/>
      <c r="O260" s="34" t="n"/>
      <c r="P260" s="34" t="n"/>
      <c r="Q260" s="117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  <c r="AA260" s="34" t="n"/>
      <c r="AB260" s="34" t="n"/>
      <c r="AC260" s="34" t="n"/>
      <c r="AD260" s="34" t="n"/>
      <c r="AE260" s="34" t="n"/>
      <c r="AF260" s="34" t="n"/>
      <c r="AG260" s="34" t="n"/>
      <c r="AH260" s="34" t="n"/>
      <c r="AK260" s="34" t="n"/>
      <c r="AL260" s="34" t="n"/>
      <c r="AM260" s="39" t="n"/>
      <c r="AN260" s="34" t="n"/>
      <c r="AO260" s="34" t="n"/>
      <c r="AP260" s="34" t="n"/>
      <c r="AQ260" s="34" t="n"/>
      <c r="AR260" s="34" t="n"/>
      <c r="AS260" s="34" t="n"/>
      <c r="AU260" s="34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34" t="n"/>
      <c r="BL260" s="34" t="n"/>
      <c r="BM260" s="34" t="n"/>
      <c r="BN260" s="34" t="n"/>
      <c r="BO260" s="34" t="n"/>
      <c r="BP260" s="34" t="n"/>
      <c r="BQ260" s="34" t="n"/>
      <c r="BR260" s="82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3" t="n"/>
      <c r="CC260" s="34" t="n"/>
      <c r="CD260" s="34" t="n"/>
      <c r="CE260" s="82" t="n"/>
      <c r="CF260" s="34" t="n"/>
      <c r="CG260" s="34" t="n"/>
      <c r="CH260" s="34" t="n"/>
      <c r="CI260" s="34" t="n"/>
      <c r="CJ260" s="34" t="n"/>
    </row>
    <row r="261">
      <c r="A261" s="29" t="n"/>
      <c r="B261" s="29" t="n"/>
      <c r="C261" s="35" t="n"/>
      <c r="D261" s="36" t="n"/>
      <c r="E261" s="147" t="n"/>
      <c r="F261" s="30" t="n"/>
      <c r="G261" s="30" t="n"/>
      <c r="H261" s="30" t="n"/>
      <c r="I261" s="30" t="n"/>
      <c r="J261" s="119" t="n"/>
      <c r="K261" s="34" t="n"/>
      <c r="L261" s="119" t="n"/>
      <c r="M261" s="34" t="n"/>
      <c r="N261" s="119" t="n"/>
      <c r="O261" s="34" t="n"/>
      <c r="P261" s="34" t="n"/>
      <c r="Q261" s="117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  <c r="AA261" s="34" t="n"/>
      <c r="AB261" s="34" t="n"/>
      <c r="AC261" s="34" t="n"/>
      <c r="AD261" s="34" t="n"/>
      <c r="AE261" s="34" t="n"/>
      <c r="AF261" s="34" t="n"/>
      <c r="AG261" s="34" t="n"/>
      <c r="AH261" s="34" t="n"/>
      <c r="AK261" s="34" t="n"/>
      <c r="AL261" s="34" t="n"/>
      <c r="AM261" s="39" t="n"/>
      <c r="AN261" s="34" t="n"/>
      <c r="AO261" s="34" t="n"/>
      <c r="AP261" s="34" t="n"/>
      <c r="AQ261" s="34" t="n"/>
      <c r="AR261" s="34" t="n"/>
      <c r="AS261" s="34" t="n"/>
      <c r="AU261" s="34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34" t="n"/>
      <c r="BL261" s="34" t="n"/>
      <c r="BM261" s="34" t="n"/>
      <c r="BN261" s="34" t="n"/>
      <c r="BO261" s="34" t="n"/>
      <c r="BP261" s="34" t="n"/>
      <c r="BQ261" s="34" t="n"/>
      <c r="BR261" s="82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3" t="n"/>
      <c r="CC261" s="34" t="n"/>
      <c r="CD261" s="34" t="n"/>
      <c r="CE261" s="82" t="n"/>
      <c r="CF261" s="34" t="n"/>
      <c r="CG261" s="34" t="n"/>
      <c r="CH261" s="34" t="n"/>
      <c r="CI261" s="34" t="n"/>
      <c r="CJ261" s="34" t="n"/>
    </row>
    <row r="262">
      <c r="A262" s="29" t="n"/>
      <c r="B262" s="29" t="n"/>
      <c r="C262" s="35" t="n"/>
      <c r="D262" s="36" t="n"/>
      <c r="E262" s="147" t="n"/>
      <c r="F262" s="30" t="n"/>
      <c r="G262" s="30" t="n"/>
      <c r="H262" s="30" t="n"/>
      <c r="I262" s="30" t="n"/>
      <c r="J262" s="119" t="n"/>
      <c r="K262" s="34" t="n"/>
      <c r="L262" s="119" t="n"/>
      <c r="M262" s="34" t="n"/>
      <c r="N262" s="119" t="n"/>
      <c r="O262" s="34" t="n"/>
      <c r="P262" s="34" t="n"/>
      <c r="Q262" s="117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  <c r="AA262" s="34" t="n"/>
      <c r="AB262" s="34" t="n"/>
      <c r="AC262" s="34" t="n"/>
      <c r="AD262" s="34" t="n"/>
      <c r="AE262" s="34" t="n"/>
      <c r="AF262" s="34" t="n"/>
      <c r="AG262" s="34" t="n"/>
      <c r="AH262" s="34" t="n"/>
      <c r="AK262" s="34" t="n"/>
      <c r="AL262" s="34" t="n"/>
      <c r="AM262" s="39" t="n"/>
      <c r="AN262" s="34" t="n"/>
      <c r="AO262" s="34" t="n"/>
      <c r="AP262" s="34" t="n"/>
      <c r="AQ262" s="34" t="n"/>
      <c r="AR262" s="34" t="n"/>
      <c r="AS262" s="34" t="n"/>
      <c r="AU262" s="34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34" t="n"/>
      <c r="BL262" s="34" t="n"/>
      <c r="BM262" s="34" t="n"/>
      <c r="BN262" s="34" t="n"/>
      <c r="BO262" s="34" t="n"/>
      <c r="BP262" s="34" t="n"/>
      <c r="BQ262" s="34" t="n"/>
      <c r="BR262" s="82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3" t="n"/>
      <c r="CC262" s="34" t="n"/>
      <c r="CD262" s="34" t="n"/>
      <c r="CE262" s="82" t="n"/>
      <c r="CF262" s="34" t="n"/>
      <c r="CG262" s="34" t="n"/>
      <c r="CH262" s="34" t="n"/>
      <c r="CI262" s="34" t="n"/>
      <c r="CJ262" s="34" t="n"/>
    </row>
    <row r="263">
      <c r="A263" s="29" t="n"/>
      <c r="B263" s="29" t="n"/>
      <c r="C263" s="35" t="n"/>
      <c r="D263" s="36" t="n"/>
      <c r="E263" s="147" t="n"/>
      <c r="F263" s="30" t="n"/>
      <c r="G263" s="30" t="n"/>
      <c r="H263" s="30" t="n"/>
      <c r="I263" s="30" t="n"/>
      <c r="J263" s="119" t="n"/>
      <c r="K263" s="34" t="n"/>
      <c r="L263" s="119" t="n"/>
      <c r="M263" s="34" t="n"/>
      <c r="N263" s="119" t="n"/>
      <c r="O263" s="34" t="n"/>
      <c r="P263" s="34" t="n"/>
      <c r="Q263" s="117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  <c r="AA263" s="34" t="n"/>
      <c r="AB263" s="34" t="n"/>
      <c r="AC263" s="34" t="n"/>
      <c r="AD263" s="34" t="n"/>
      <c r="AE263" s="34" t="n"/>
      <c r="AF263" s="34" t="n"/>
      <c r="AG263" s="34" t="n"/>
      <c r="AH263" s="34" t="n"/>
      <c r="AK263" s="34" t="n"/>
      <c r="AL263" s="34" t="n"/>
      <c r="AM263" s="39" t="n"/>
      <c r="AN263" s="34" t="n"/>
      <c r="AO263" s="34" t="n"/>
      <c r="AP263" s="34" t="n"/>
      <c r="AQ263" s="34" t="n"/>
      <c r="AR263" s="34" t="n"/>
      <c r="AS263" s="34" t="n"/>
      <c r="AU263" s="34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34" t="n"/>
      <c r="BL263" s="34" t="n"/>
      <c r="BM263" s="34" t="n"/>
      <c r="BN263" s="34" t="n"/>
      <c r="BO263" s="34" t="n"/>
      <c r="BP263" s="34" t="n"/>
      <c r="BQ263" s="34" t="n"/>
      <c r="BR263" s="82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3" t="n"/>
      <c r="CC263" s="34" t="n"/>
      <c r="CD263" s="34" t="n"/>
      <c r="CE263" s="82" t="n"/>
      <c r="CF263" s="34" t="n"/>
      <c r="CG263" s="34" t="n"/>
      <c r="CH263" s="34" t="n"/>
      <c r="CI263" s="34" t="n"/>
      <c r="CJ263" s="34" t="n"/>
    </row>
    <row r="264">
      <c r="A264" s="29" t="n"/>
      <c r="B264" s="29" t="n"/>
      <c r="C264" s="35" t="n"/>
      <c r="D264" s="36" t="n"/>
      <c r="E264" s="147" t="n"/>
      <c r="F264" s="30" t="n"/>
      <c r="G264" s="30" t="n"/>
      <c r="H264" s="30" t="n"/>
      <c r="I264" s="30" t="n"/>
      <c r="J264" s="119" t="n"/>
      <c r="K264" s="34" t="n"/>
      <c r="L264" s="119" t="n"/>
      <c r="M264" s="34" t="n"/>
      <c r="N264" s="119" t="n"/>
      <c r="O264" s="34" t="n"/>
      <c r="P264" s="34" t="n"/>
      <c r="Q264" s="117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  <c r="AA264" s="34" t="n"/>
      <c r="AB264" s="34" t="n"/>
      <c r="AC264" s="34" t="n"/>
      <c r="AD264" s="34" t="n"/>
      <c r="AE264" s="34" t="n"/>
      <c r="AF264" s="34" t="n"/>
      <c r="AG264" s="34" t="n"/>
      <c r="AH264" s="34" t="n"/>
      <c r="AK264" s="34" t="n"/>
      <c r="AL264" s="34" t="n"/>
      <c r="AM264" s="39" t="n"/>
      <c r="AN264" s="34" t="n"/>
      <c r="AO264" s="34" t="n"/>
      <c r="AP264" s="34" t="n"/>
      <c r="AQ264" s="34" t="n"/>
      <c r="AR264" s="34" t="n"/>
      <c r="AS264" s="34" t="n"/>
      <c r="AU264" s="34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34" t="n"/>
      <c r="BL264" s="34" t="n"/>
      <c r="BM264" s="34" t="n"/>
      <c r="BN264" s="34" t="n"/>
      <c r="BO264" s="34" t="n"/>
      <c r="BP264" s="34" t="n"/>
      <c r="BQ264" s="34" t="n"/>
      <c r="BR264" s="82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3" t="n"/>
      <c r="CC264" s="34" t="n"/>
      <c r="CD264" s="34" t="n"/>
      <c r="CE264" s="82" t="n"/>
      <c r="CF264" s="34" t="n"/>
      <c r="CG264" s="34" t="n"/>
      <c r="CH264" s="34" t="n"/>
      <c r="CI264" s="34" t="n"/>
      <c r="CJ264" s="34" t="n"/>
    </row>
    <row r="265">
      <c r="A265" s="29" t="n"/>
      <c r="B265" s="29" t="n"/>
      <c r="C265" s="35" t="n"/>
      <c r="D265" s="36" t="n"/>
      <c r="E265" s="147" t="n"/>
      <c r="F265" s="30" t="n"/>
      <c r="G265" s="30" t="n"/>
      <c r="H265" s="30" t="n"/>
      <c r="I265" s="30" t="n"/>
      <c r="J265" s="119" t="n"/>
      <c r="K265" s="34" t="n"/>
      <c r="L265" s="119" t="n"/>
      <c r="M265" s="34" t="n"/>
      <c r="N265" s="119" t="n"/>
      <c r="O265" s="34" t="n"/>
      <c r="P265" s="34" t="n"/>
      <c r="Q265" s="117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  <c r="AA265" s="34" t="n"/>
      <c r="AB265" s="34" t="n"/>
      <c r="AC265" s="34" t="n"/>
      <c r="AD265" s="34" t="n"/>
      <c r="AE265" s="34" t="n"/>
      <c r="AF265" s="34" t="n"/>
      <c r="AG265" s="34" t="n"/>
      <c r="AH265" s="34" t="n"/>
      <c r="AK265" s="34" t="n"/>
      <c r="AL265" s="34" t="n"/>
      <c r="AM265" s="39" t="n"/>
      <c r="AN265" s="34" t="n"/>
      <c r="AO265" s="34" t="n"/>
      <c r="AP265" s="34" t="n"/>
      <c r="AQ265" s="34" t="n"/>
      <c r="AR265" s="34" t="n"/>
      <c r="AS265" s="34" t="n"/>
      <c r="AU265" s="34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34" t="n"/>
      <c r="BL265" s="34" t="n"/>
      <c r="BM265" s="34" t="n"/>
      <c r="BN265" s="34" t="n"/>
      <c r="BO265" s="34" t="n"/>
      <c r="BP265" s="34" t="n"/>
      <c r="BQ265" s="34" t="n"/>
      <c r="BR265" s="82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3" t="n"/>
      <c r="CC265" s="34" t="n"/>
      <c r="CD265" s="34" t="n"/>
      <c r="CE265" s="82" t="n"/>
      <c r="CF265" s="34" t="n"/>
      <c r="CG265" s="34" t="n"/>
      <c r="CH265" s="34" t="n"/>
      <c r="CI265" s="34" t="n"/>
      <c r="CJ265" s="34" t="n"/>
    </row>
    <row r="266">
      <c r="A266" s="29" t="n"/>
      <c r="B266" s="29" t="n"/>
      <c r="C266" s="35" t="n"/>
      <c r="D266" s="36" t="n"/>
      <c r="E266" s="147" t="n"/>
      <c r="F266" s="30" t="n"/>
      <c r="G266" s="30" t="n"/>
      <c r="H266" s="30" t="n"/>
      <c r="I266" s="30" t="n"/>
      <c r="J266" s="119" t="n"/>
      <c r="K266" s="34" t="n"/>
      <c r="L266" s="119" t="n"/>
      <c r="M266" s="34" t="n"/>
      <c r="N266" s="119" t="n"/>
      <c r="O266" s="34" t="n"/>
      <c r="P266" s="34" t="n"/>
      <c r="Q266" s="117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  <c r="AA266" s="34" t="n"/>
      <c r="AB266" s="34" t="n"/>
      <c r="AC266" s="34" t="n"/>
      <c r="AD266" s="34" t="n"/>
      <c r="AE266" s="34" t="n"/>
      <c r="AF266" s="34" t="n"/>
      <c r="AG266" s="34" t="n"/>
      <c r="AH266" s="34" t="n"/>
      <c r="AK266" s="34" t="n"/>
      <c r="AL266" s="34" t="n"/>
      <c r="AM266" s="39" t="n"/>
      <c r="AN266" s="34" t="n"/>
      <c r="AO266" s="34" t="n"/>
      <c r="AP266" s="34" t="n"/>
      <c r="AQ266" s="34" t="n"/>
      <c r="AR266" s="34" t="n"/>
      <c r="AS266" s="34" t="n"/>
      <c r="AU266" s="34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34" t="n"/>
      <c r="BL266" s="34" t="n"/>
      <c r="BM266" s="34" t="n"/>
      <c r="BN266" s="34" t="n"/>
      <c r="BO266" s="34" t="n"/>
      <c r="BP266" s="34" t="n"/>
      <c r="BQ266" s="34" t="n"/>
      <c r="BR266" s="82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3" t="n"/>
      <c r="CC266" s="34" t="n"/>
      <c r="CD266" s="34" t="n"/>
      <c r="CE266" s="82" t="n"/>
      <c r="CF266" s="34" t="n"/>
      <c r="CG266" s="34" t="n"/>
      <c r="CH266" s="34" t="n"/>
      <c r="CI266" s="34" t="n"/>
      <c r="CJ266" s="34" t="n"/>
    </row>
    <row r="267">
      <c r="A267" s="29" t="n"/>
      <c r="B267" s="29" t="n"/>
      <c r="C267" s="35" t="n"/>
      <c r="D267" s="36" t="n"/>
      <c r="E267" s="147" t="n"/>
      <c r="F267" s="30" t="n"/>
      <c r="G267" s="30" t="n"/>
      <c r="H267" s="30" t="n"/>
      <c r="I267" s="30" t="n"/>
      <c r="J267" s="119" t="n"/>
      <c r="K267" s="34" t="n"/>
      <c r="L267" s="119" t="n"/>
      <c r="M267" s="34" t="n"/>
      <c r="N267" s="119" t="n"/>
      <c r="O267" s="34" t="n"/>
      <c r="P267" s="34" t="n"/>
      <c r="Q267" s="117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  <c r="AA267" s="34" t="n"/>
      <c r="AB267" s="34" t="n"/>
      <c r="AC267" s="34" t="n"/>
      <c r="AD267" s="34" t="n"/>
      <c r="AE267" s="34" t="n"/>
      <c r="AF267" s="34" t="n"/>
      <c r="AG267" s="34" t="n"/>
      <c r="AH267" s="34" t="n"/>
      <c r="AK267" s="34" t="n"/>
      <c r="AL267" s="34" t="n"/>
      <c r="AM267" s="39" t="n"/>
      <c r="AN267" s="34" t="n"/>
      <c r="AO267" s="34" t="n"/>
      <c r="AP267" s="34" t="n"/>
      <c r="AQ267" s="34" t="n"/>
      <c r="AR267" s="34" t="n"/>
      <c r="AS267" s="34" t="n"/>
      <c r="AU267" s="34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34" t="n"/>
      <c r="BL267" s="34" t="n"/>
      <c r="BM267" s="34" t="n"/>
      <c r="BN267" s="34" t="n"/>
      <c r="BO267" s="34" t="n"/>
      <c r="BP267" s="34" t="n"/>
      <c r="BQ267" s="34" t="n"/>
      <c r="BR267" s="82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3" t="n"/>
      <c r="CC267" s="34" t="n"/>
      <c r="CD267" s="34" t="n"/>
      <c r="CE267" s="82" t="n"/>
      <c r="CF267" s="34" t="n"/>
      <c r="CG267" s="34" t="n"/>
      <c r="CH267" s="34" t="n"/>
      <c r="CI267" s="34" t="n"/>
      <c r="CJ267" s="34" t="n"/>
    </row>
    <row r="268">
      <c r="A268" s="29" t="n"/>
      <c r="B268" s="29" t="n"/>
      <c r="C268" s="35" t="n"/>
      <c r="D268" s="36" t="n"/>
      <c r="E268" s="147" t="n"/>
      <c r="F268" s="30" t="n"/>
      <c r="G268" s="30" t="n"/>
      <c r="H268" s="30" t="n"/>
      <c r="I268" s="30" t="n"/>
      <c r="J268" s="119" t="n"/>
      <c r="K268" s="34" t="n"/>
      <c r="L268" s="119" t="n"/>
      <c r="M268" s="34" t="n"/>
      <c r="N268" s="119" t="n"/>
      <c r="O268" s="34" t="n"/>
      <c r="P268" s="34" t="n"/>
      <c r="Q268" s="117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  <c r="AA268" s="34" t="n"/>
      <c r="AB268" s="34" t="n"/>
      <c r="AC268" s="34" t="n"/>
      <c r="AD268" s="34" t="n"/>
      <c r="AE268" s="34" t="n"/>
      <c r="AF268" s="34" t="n"/>
      <c r="AG268" s="34" t="n"/>
      <c r="AH268" s="34" t="n"/>
      <c r="AK268" s="34" t="n"/>
      <c r="AL268" s="34" t="n"/>
      <c r="AM268" s="39" t="n"/>
      <c r="AN268" s="34" t="n"/>
      <c r="AO268" s="34" t="n"/>
      <c r="AP268" s="34" t="n"/>
      <c r="AQ268" s="34" t="n"/>
      <c r="AR268" s="34" t="n"/>
      <c r="AS268" s="34" t="n"/>
      <c r="AU268" s="34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34" t="n"/>
      <c r="BL268" s="34" t="n"/>
      <c r="BM268" s="34" t="n"/>
      <c r="BN268" s="34" t="n"/>
      <c r="BO268" s="34" t="n"/>
      <c r="BP268" s="34" t="n"/>
      <c r="BQ268" s="34" t="n"/>
      <c r="BR268" s="82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3" t="n"/>
      <c r="CC268" s="34" t="n"/>
      <c r="CD268" s="34" t="n"/>
      <c r="CE268" s="82" t="n"/>
      <c r="CF268" s="34" t="n"/>
      <c r="CG268" s="34" t="n"/>
      <c r="CH268" s="34" t="n"/>
      <c r="CI268" s="34" t="n"/>
      <c r="CJ268" s="34" t="n"/>
    </row>
    <row r="269">
      <c r="A269" s="29" t="n"/>
      <c r="B269" s="29" t="n"/>
      <c r="C269" s="35" t="n"/>
      <c r="D269" s="36" t="n"/>
      <c r="E269" s="147" t="n"/>
      <c r="F269" s="30" t="n"/>
      <c r="G269" s="30" t="n"/>
      <c r="H269" s="30" t="n"/>
      <c r="I269" s="30" t="n"/>
      <c r="J269" s="119" t="n"/>
      <c r="K269" s="34" t="n"/>
      <c r="L269" s="119" t="n"/>
      <c r="M269" s="34" t="n"/>
      <c r="N269" s="119" t="n"/>
      <c r="O269" s="34" t="n"/>
      <c r="P269" s="34" t="n"/>
      <c r="Q269" s="117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  <c r="AA269" s="34" t="n"/>
      <c r="AB269" s="34" t="n"/>
      <c r="AC269" s="34" t="n"/>
      <c r="AD269" s="34" t="n"/>
      <c r="AE269" s="34" t="n"/>
      <c r="AF269" s="34" t="n"/>
      <c r="AG269" s="34" t="n"/>
      <c r="AH269" s="34" t="n"/>
      <c r="AK269" s="34" t="n"/>
      <c r="AL269" s="34" t="n"/>
      <c r="AM269" s="39" t="n"/>
      <c r="AN269" s="34" t="n"/>
      <c r="AO269" s="34" t="n"/>
      <c r="AP269" s="34" t="n"/>
      <c r="AQ269" s="34" t="n"/>
      <c r="AR269" s="34" t="n"/>
      <c r="AS269" s="34" t="n"/>
      <c r="AU269" s="34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34" t="n"/>
      <c r="BL269" s="34" t="n"/>
      <c r="BM269" s="34" t="n"/>
      <c r="BN269" s="34" t="n"/>
      <c r="BO269" s="34" t="n"/>
      <c r="BP269" s="34" t="n"/>
      <c r="BQ269" s="34" t="n"/>
      <c r="BR269" s="82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3" t="n"/>
      <c r="CC269" s="34" t="n"/>
      <c r="CD269" s="34" t="n"/>
      <c r="CE269" s="82" t="n"/>
      <c r="CF269" s="34" t="n"/>
      <c r="CG269" s="34" t="n"/>
      <c r="CH269" s="34" t="n"/>
      <c r="CI269" s="34" t="n"/>
      <c r="CJ269" s="34" t="n"/>
    </row>
    <row r="270">
      <c r="A270" s="29" t="n"/>
      <c r="B270" s="29" t="n"/>
      <c r="C270" s="35" t="n"/>
      <c r="D270" s="36" t="n"/>
      <c r="E270" s="147" t="n"/>
      <c r="F270" s="30" t="n"/>
      <c r="G270" s="30" t="n"/>
      <c r="H270" s="30" t="n"/>
      <c r="I270" s="30" t="n"/>
      <c r="J270" s="119" t="n"/>
      <c r="K270" s="34" t="n"/>
      <c r="L270" s="119" t="n"/>
      <c r="M270" s="34" t="n"/>
      <c r="N270" s="119" t="n"/>
      <c r="O270" s="34" t="n"/>
      <c r="P270" s="34" t="n"/>
      <c r="Q270" s="117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  <c r="AA270" s="34" t="n"/>
      <c r="AB270" s="34" t="n"/>
      <c r="AC270" s="34" t="n"/>
      <c r="AD270" s="34" t="n"/>
      <c r="AE270" s="34" t="n"/>
      <c r="AF270" s="34" t="n"/>
      <c r="AG270" s="34" t="n"/>
      <c r="AH270" s="34" t="n"/>
      <c r="AK270" s="34" t="n"/>
      <c r="AL270" s="34" t="n"/>
      <c r="AM270" s="39" t="n"/>
      <c r="AN270" s="34" t="n"/>
      <c r="AO270" s="34" t="n"/>
      <c r="AP270" s="34" t="n"/>
      <c r="AQ270" s="34" t="n"/>
      <c r="AR270" s="34" t="n"/>
      <c r="AS270" s="34" t="n"/>
      <c r="AU270" s="34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34" t="n"/>
      <c r="BL270" s="34" t="n"/>
      <c r="BM270" s="34" t="n"/>
      <c r="BN270" s="34" t="n"/>
      <c r="BO270" s="34" t="n"/>
      <c r="BP270" s="34" t="n"/>
      <c r="BQ270" s="34" t="n"/>
      <c r="BR270" s="82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3" t="n"/>
      <c r="CC270" s="34" t="n"/>
      <c r="CD270" s="34" t="n"/>
      <c r="CE270" s="82" t="n"/>
      <c r="CF270" s="34" t="n"/>
      <c r="CG270" s="34" t="n"/>
      <c r="CH270" s="34" t="n"/>
      <c r="CI270" s="34" t="n"/>
      <c r="CJ270" s="34" t="n"/>
    </row>
    <row r="271">
      <c r="A271" s="29" t="n"/>
      <c r="B271" s="29" t="n"/>
      <c r="C271" s="35" t="n"/>
      <c r="D271" s="36" t="n"/>
      <c r="E271" s="147" t="n"/>
      <c r="F271" s="30" t="n"/>
      <c r="G271" s="30" t="n"/>
      <c r="H271" s="30" t="n"/>
      <c r="I271" s="30" t="n"/>
      <c r="J271" s="119" t="n"/>
      <c r="K271" s="34" t="n"/>
      <c r="L271" s="119" t="n"/>
      <c r="M271" s="34" t="n"/>
      <c r="N271" s="119" t="n"/>
      <c r="O271" s="34" t="n"/>
      <c r="P271" s="34" t="n"/>
      <c r="Q271" s="117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  <c r="AA271" s="34" t="n"/>
      <c r="AB271" s="34" t="n"/>
      <c r="AC271" s="34" t="n"/>
      <c r="AD271" s="34" t="n"/>
      <c r="AE271" s="34" t="n"/>
      <c r="AF271" s="34" t="n"/>
      <c r="AG271" s="34" t="n"/>
      <c r="AH271" s="34" t="n"/>
      <c r="AK271" s="34" t="n"/>
      <c r="AL271" s="34" t="n"/>
      <c r="AM271" s="39" t="n"/>
      <c r="AN271" s="34" t="n"/>
      <c r="AO271" s="34" t="n"/>
      <c r="AP271" s="34" t="n"/>
      <c r="AQ271" s="34" t="n"/>
      <c r="AR271" s="34" t="n"/>
      <c r="AS271" s="34" t="n"/>
      <c r="AU271" s="34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34" t="n"/>
      <c r="BL271" s="34" t="n"/>
      <c r="BM271" s="34" t="n"/>
      <c r="BN271" s="34" t="n"/>
      <c r="BO271" s="34" t="n"/>
      <c r="BP271" s="34" t="n"/>
      <c r="BQ271" s="34" t="n"/>
      <c r="BR271" s="82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3" t="n"/>
      <c r="CC271" s="34" t="n"/>
      <c r="CD271" s="34" t="n"/>
      <c r="CE271" s="82" t="n"/>
      <c r="CF271" s="34" t="n"/>
      <c r="CG271" s="34" t="n"/>
      <c r="CH271" s="34" t="n"/>
      <c r="CI271" s="34" t="n"/>
      <c r="CJ271" s="34" t="n"/>
    </row>
    <row r="272">
      <c r="A272" s="29" t="n"/>
      <c r="B272" s="29" t="n"/>
      <c r="C272" s="35" t="n"/>
      <c r="D272" s="36" t="n"/>
      <c r="E272" s="147" t="n"/>
      <c r="F272" s="30" t="n"/>
      <c r="G272" s="30" t="n"/>
      <c r="H272" s="30" t="n"/>
      <c r="I272" s="30" t="n"/>
      <c r="J272" s="119" t="n"/>
      <c r="K272" s="34" t="n"/>
      <c r="L272" s="119" t="n"/>
      <c r="M272" s="34" t="n"/>
      <c r="N272" s="119" t="n"/>
      <c r="O272" s="34" t="n"/>
      <c r="P272" s="34" t="n"/>
      <c r="Q272" s="117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  <c r="AA272" s="34" t="n"/>
      <c r="AB272" s="34" t="n"/>
      <c r="AC272" s="34" t="n"/>
      <c r="AD272" s="34" t="n"/>
      <c r="AE272" s="34" t="n"/>
      <c r="AF272" s="34" t="n"/>
      <c r="AG272" s="34" t="n"/>
      <c r="AH272" s="34" t="n"/>
      <c r="AK272" s="34" t="n"/>
      <c r="AL272" s="34" t="n"/>
      <c r="AM272" s="39" t="n"/>
      <c r="AN272" s="34" t="n"/>
      <c r="AO272" s="34" t="n"/>
      <c r="AP272" s="34" t="n"/>
      <c r="AQ272" s="34" t="n"/>
      <c r="AR272" s="34" t="n"/>
      <c r="AS272" s="34" t="n"/>
      <c r="AU272" s="34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34" t="n"/>
      <c r="BL272" s="34" t="n"/>
      <c r="BM272" s="34" t="n"/>
      <c r="BN272" s="34" t="n"/>
      <c r="BO272" s="34" t="n"/>
      <c r="BP272" s="34" t="n"/>
      <c r="BQ272" s="34" t="n"/>
      <c r="BR272" s="82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3" t="n"/>
      <c r="CC272" s="34" t="n"/>
      <c r="CD272" s="34" t="n"/>
      <c r="CE272" s="82" t="n"/>
      <c r="CF272" s="34" t="n"/>
      <c r="CG272" s="34" t="n"/>
      <c r="CH272" s="34" t="n"/>
      <c r="CI272" s="34" t="n"/>
      <c r="CJ272" s="34" t="n"/>
    </row>
    <row r="273">
      <c r="A273" s="29" t="n"/>
      <c r="B273" s="29" t="n"/>
      <c r="C273" s="35" t="n"/>
      <c r="D273" s="36" t="n"/>
      <c r="E273" s="147" t="n"/>
      <c r="F273" s="30" t="n"/>
      <c r="G273" s="30" t="n"/>
      <c r="H273" s="30" t="n"/>
      <c r="I273" s="30" t="n"/>
      <c r="J273" s="119" t="n"/>
      <c r="K273" s="34" t="n"/>
      <c r="L273" s="119" t="n"/>
      <c r="M273" s="34" t="n"/>
      <c r="N273" s="119" t="n"/>
      <c r="O273" s="34" t="n"/>
      <c r="P273" s="34" t="n"/>
      <c r="Q273" s="117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  <c r="AA273" s="34" t="n"/>
      <c r="AB273" s="34" t="n"/>
      <c r="AC273" s="34" t="n"/>
      <c r="AD273" s="34" t="n"/>
      <c r="AE273" s="34" t="n"/>
      <c r="AF273" s="34" t="n"/>
      <c r="AG273" s="34" t="n"/>
      <c r="AH273" s="34" t="n"/>
      <c r="AK273" s="34" t="n"/>
      <c r="AL273" s="34" t="n"/>
      <c r="AM273" s="39" t="n"/>
      <c r="AN273" s="34" t="n"/>
      <c r="AO273" s="34" t="n"/>
      <c r="AP273" s="34" t="n"/>
      <c r="AQ273" s="34" t="n"/>
      <c r="AR273" s="34" t="n"/>
      <c r="AS273" s="34" t="n"/>
      <c r="AU273" s="34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34" t="n"/>
      <c r="BL273" s="34" t="n"/>
      <c r="BM273" s="34" t="n"/>
      <c r="BN273" s="34" t="n"/>
      <c r="BO273" s="34" t="n"/>
      <c r="BP273" s="34" t="n"/>
      <c r="BQ273" s="34" t="n"/>
      <c r="BR273" s="82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3" t="n"/>
      <c r="CC273" s="34" t="n"/>
      <c r="CD273" s="34" t="n"/>
      <c r="CE273" s="82" t="n"/>
      <c r="CF273" s="34" t="n"/>
      <c r="CG273" s="34" t="n"/>
      <c r="CH273" s="34" t="n"/>
      <c r="CI273" s="34" t="n"/>
      <c r="CJ273" s="34" t="n"/>
    </row>
    <row r="274">
      <c r="A274" s="29" t="n"/>
      <c r="B274" s="29" t="n"/>
      <c r="C274" s="35" t="n"/>
      <c r="D274" s="36" t="n"/>
      <c r="E274" s="147" t="n"/>
      <c r="F274" s="30" t="n"/>
      <c r="G274" s="30" t="n"/>
      <c r="H274" s="30" t="n"/>
      <c r="I274" s="30" t="n"/>
      <c r="J274" s="119" t="n"/>
      <c r="K274" s="34" t="n"/>
      <c r="L274" s="119" t="n"/>
      <c r="M274" s="34" t="n"/>
      <c r="N274" s="119" t="n"/>
      <c r="O274" s="34" t="n"/>
      <c r="P274" s="34" t="n"/>
      <c r="Q274" s="117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  <c r="AA274" s="34" t="n"/>
      <c r="AB274" s="34" t="n"/>
      <c r="AC274" s="34" t="n"/>
      <c r="AD274" s="34" t="n"/>
      <c r="AE274" s="34" t="n"/>
      <c r="AF274" s="34" t="n"/>
      <c r="AG274" s="34" t="n"/>
      <c r="AH274" s="34" t="n"/>
      <c r="AK274" s="34" t="n"/>
      <c r="AL274" s="34" t="n"/>
      <c r="AM274" s="39" t="n"/>
      <c r="AN274" s="34" t="n"/>
      <c r="AO274" s="34" t="n"/>
      <c r="AP274" s="34" t="n"/>
      <c r="AQ274" s="34" t="n"/>
      <c r="AR274" s="34" t="n"/>
      <c r="AS274" s="34" t="n"/>
      <c r="AU274" s="34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34" t="n"/>
      <c r="BL274" s="34" t="n"/>
      <c r="BM274" s="34" t="n"/>
      <c r="BN274" s="34" t="n"/>
      <c r="BO274" s="34" t="n"/>
      <c r="BP274" s="34" t="n"/>
      <c r="BQ274" s="34" t="n"/>
      <c r="BR274" s="82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3" t="n"/>
      <c r="CC274" s="34" t="n"/>
      <c r="CD274" s="34" t="n"/>
      <c r="CE274" s="82" t="n"/>
      <c r="CF274" s="34" t="n"/>
      <c r="CG274" s="34" t="n"/>
      <c r="CH274" s="34" t="n"/>
      <c r="CI274" s="34" t="n"/>
      <c r="CJ274" s="34" t="n"/>
    </row>
    <row r="275">
      <c r="A275" s="29" t="n"/>
      <c r="B275" s="29" t="n"/>
      <c r="C275" s="35" t="n"/>
      <c r="D275" s="36" t="n"/>
      <c r="E275" s="147" t="n"/>
      <c r="F275" s="30" t="n"/>
      <c r="G275" s="30" t="n"/>
      <c r="H275" s="30" t="n"/>
      <c r="I275" s="30" t="n"/>
      <c r="J275" s="119" t="n"/>
      <c r="K275" s="34" t="n"/>
      <c r="L275" s="119" t="n"/>
      <c r="M275" s="34" t="n"/>
      <c r="N275" s="119" t="n"/>
      <c r="O275" s="34" t="n"/>
      <c r="P275" s="34" t="n"/>
      <c r="Q275" s="117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  <c r="AA275" s="34" t="n"/>
      <c r="AB275" s="34" t="n"/>
      <c r="AC275" s="34" t="n"/>
      <c r="AD275" s="34" t="n"/>
      <c r="AE275" s="34" t="n"/>
      <c r="AF275" s="34" t="n"/>
      <c r="AG275" s="34" t="n"/>
      <c r="AH275" s="34" t="n"/>
      <c r="AK275" s="34" t="n"/>
      <c r="AL275" s="34" t="n"/>
      <c r="AM275" s="39" t="n"/>
      <c r="AN275" s="34" t="n"/>
      <c r="AO275" s="34" t="n"/>
      <c r="AP275" s="34" t="n"/>
      <c r="AQ275" s="34" t="n"/>
      <c r="AR275" s="34" t="n"/>
      <c r="AS275" s="34" t="n"/>
      <c r="AU275" s="34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34" t="n"/>
      <c r="BL275" s="34" t="n"/>
      <c r="BM275" s="34" t="n"/>
      <c r="BN275" s="34" t="n"/>
      <c r="BO275" s="34" t="n"/>
      <c r="BP275" s="34" t="n"/>
      <c r="BQ275" s="34" t="n"/>
      <c r="BR275" s="82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3" t="n"/>
      <c r="CC275" s="34" t="n"/>
      <c r="CD275" s="34" t="n"/>
      <c r="CE275" s="82" t="n"/>
      <c r="CF275" s="34" t="n"/>
      <c r="CG275" s="34" t="n"/>
      <c r="CH275" s="34" t="n"/>
      <c r="CI275" s="34" t="n"/>
      <c r="CJ275" s="34" t="n"/>
    </row>
    <row r="276">
      <c r="A276" s="29" t="n"/>
      <c r="B276" s="29" t="n"/>
      <c r="C276" s="35" t="n"/>
      <c r="D276" s="36" t="n"/>
      <c r="E276" s="147" t="n"/>
      <c r="F276" s="30" t="n"/>
      <c r="G276" s="30" t="n"/>
      <c r="H276" s="30" t="n"/>
      <c r="I276" s="30" t="n"/>
      <c r="J276" s="119" t="n"/>
      <c r="K276" s="34" t="n"/>
      <c r="L276" s="119" t="n"/>
      <c r="M276" s="34" t="n"/>
      <c r="N276" s="119" t="n"/>
      <c r="O276" s="34" t="n"/>
      <c r="P276" s="34" t="n"/>
      <c r="Q276" s="117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  <c r="AA276" s="34" t="n"/>
      <c r="AB276" s="34" t="n"/>
      <c r="AC276" s="34" t="n"/>
      <c r="AD276" s="34" t="n"/>
      <c r="AE276" s="34" t="n"/>
      <c r="AF276" s="34" t="n"/>
      <c r="AG276" s="34" t="n"/>
      <c r="AH276" s="34" t="n"/>
      <c r="AK276" s="34" t="n"/>
      <c r="AL276" s="34" t="n"/>
      <c r="AM276" s="39" t="n"/>
      <c r="AN276" s="34" t="n"/>
      <c r="AO276" s="34" t="n"/>
      <c r="AP276" s="34" t="n"/>
      <c r="AQ276" s="34" t="n"/>
      <c r="AR276" s="34" t="n"/>
      <c r="AS276" s="34" t="n"/>
      <c r="AU276" s="34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34" t="n"/>
      <c r="BL276" s="34" t="n"/>
      <c r="BM276" s="34" t="n"/>
      <c r="BN276" s="34" t="n"/>
      <c r="BO276" s="34" t="n"/>
      <c r="BP276" s="34" t="n"/>
      <c r="BQ276" s="34" t="n"/>
      <c r="BR276" s="82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3" t="n"/>
      <c r="CC276" s="34" t="n"/>
      <c r="CD276" s="34" t="n"/>
      <c r="CE276" s="82" t="n"/>
      <c r="CF276" s="34" t="n"/>
      <c r="CG276" s="34" t="n"/>
      <c r="CH276" s="34" t="n"/>
      <c r="CI276" s="34" t="n"/>
      <c r="CJ276" s="34" t="n"/>
    </row>
    <row r="277">
      <c r="A277" s="29" t="n"/>
      <c r="B277" s="29" t="n"/>
      <c r="C277" s="35" t="n"/>
      <c r="D277" s="36" t="n"/>
      <c r="E277" s="147" t="n"/>
      <c r="F277" s="30" t="n"/>
      <c r="G277" s="30" t="n"/>
      <c r="H277" s="30" t="n"/>
      <c r="I277" s="30" t="n"/>
      <c r="J277" s="119" t="n"/>
      <c r="K277" s="34" t="n"/>
      <c r="L277" s="119" t="n"/>
      <c r="M277" s="34" t="n"/>
      <c r="N277" s="119" t="n"/>
      <c r="O277" s="34" t="n"/>
      <c r="P277" s="34" t="n"/>
      <c r="Q277" s="117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  <c r="AA277" s="34" t="n"/>
      <c r="AB277" s="34" t="n"/>
      <c r="AC277" s="34" t="n"/>
      <c r="AD277" s="34" t="n"/>
      <c r="AE277" s="34" t="n"/>
      <c r="AF277" s="34" t="n"/>
      <c r="AG277" s="34" t="n"/>
      <c r="AH277" s="34" t="n"/>
      <c r="AK277" s="34" t="n"/>
      <c r="AL277" s="34" t="n"/>
      <c r="AM277" s="39" t="n"/>
      <c r="AN277" s="34" t="n"/>
      <c r="AO277" s="34" t="n"/>
      <c r="AP277" s="34" t="n"/>
      <c r="AQ277" s="34" t="n"/>
      <c r="AR277" s="34" t="n"/>
      <c r="AS277" s="34" t="n"/>
      <c r="AU277" s="34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34" t="n"/>
      <c r="BL277" s="34" t="n"/>
      <c r="BM277" s="34" t="n"/>
      <c r="BN277" s="34" t="n"/>
      <c r="BO277" s="34" t="n"/>
      <c r="BP277" s="34" t="n"/>
      <c r="BQ277" s="34" t="n"/>
      <c r="BR277" s="82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3" t="n"/>
      <c r="CC277" s="34" t="n"/>
      <c r="CD277" s="34" t="n"/>
      <c r="CE277" s="82" t="n"/>
      <c r="CF277" s="34" t="n"/>
      <c r="CG277" s="34" t="n"/>
      <c r="CH277" s="34" t="n"/>
      <c r="CI277" s="34" t="n"/>
      <c r="CJ277" s="34" t="n"/>
    </row>
    <row r="278">
      <c r="A278" s="29" t="n"/>
      <c r="B278" s="29" t="n"/>
      <c r="C278" s="35" t="n"/>
      <c r="D278" s="36" t="n"/>
      <c r="E278" s="147" t="n"/>
      <c r="F278" s="30" t="n"/>
      <c r="G278" s="30" t="n"/>
      <c r="H278" s="30" t="n"/>
      <c r="I278" s="30" t="n"/>
      <c r="J278" s="119" t="n"/>
      <c r="K278" s="34" t="n"/>
      <c r="L278" s="119" t="n"/>
      <c r="M278" s="34" t="n"/>
      <c r="N278" s="119" t="n"/>
      <c r="O278" s="34" t="n"/>
      <c r="P278" s="34" t="n"/>
      <c r="Q278" s="117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  <c r="AA278" s="34" t="n"/>
      <c r="AB278" s="34" t="n"/>
      <c r="AC278" s="34" t="n"/>
      <c r="AD278" s="34" t="n"/>
      <c r="AE278" s="34" t="n"/>
      <c r="AF278" s="34" t="n"/>
      <c r="AG278" s="34" t="n"/>
      <c r="AH278" s="34" t="n"/>
      <c r="AK278" s="34" t="n"/>
      <c r="AL278" s="34" t="n"/>
      <c r="AM278" s="39" t="n"/>
      <c r="AN278" s="34" t="n"/>
      <c r="AO278" s="34" t="n"/>
      <c r="AP278" s="34" t="n"/>
      <c r="AQ278" s="34" t="n"/>
      <c r="AR278" s="34" t="n"/>
      <c r="AS278" s="34" t="n"/>
      <c r="AU278" s="34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34" t="n"/>
      <c r="BL278" s="34" t="n"/>
      <c r="BM278" s="34" t="n"/>
      <c r="BN278" s="34" t="n"/>
      <c r="BO278" s="34" t="n"/>
      <c r="BP278" s="34" t="n"/>
      <c r="BQ278" s="34" t="n"/>
      <c r="BR278" s="82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3" t="n"/>
      <c r="CC278" s="34" t="n"/>
      <c r="CD278" s="34" t="n"/>
      <c r="CE278" s="82" t="n"/>
      <c r="CF278" s="34" t="n"/>
      <c r="CG278" s="34" t="n"/>
      <c r="CH278" s="34" t="n"/>
      <c r="CI278" s="34" t="n"/>
      <c r="CJ278" s="34" t="n"/>
    </row>
    <row r="279">
      <c r="A279" s="29" t="n"/>
      <c r="B279" s="29" t="n"/>
      <c r="C279" s="35" t="n"/>
      <c r="D279" s="36" t="n"/>
      <c r="E279" s="147" t="n"/>
      <c r="F279" s="30" t="n"/>
      <c r="G279" s="30" t="n"/>
      <c r="H279" s="30" t="n"/>
      <c r="I279" s="30" t="n"/>
      <c r="J279" s="119" t="n"/>
      <c r="K279" s="34" t="n"/>
      <c r="L279" s="119" t="n"/>
      <c r="M279" s="34" t="n"/>
      <c r="N279" s="119" t="n"/>
      <c r="O279" s="34" t="n"/>
      <c r="P279" s="34" t="n"/>
      <c r="Q279" s="117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  <c r="AA279" s="34" t="n"/>
      <c r="AB279" s="34" t="n"/>
      <c r="AC279" s="34" t="n"/>
      <c r="AD279" s="34" t="n"/>
      <c r="AE279" s="34" t="n"/>
      <c r="AF279" s="34" t="n"/>
      <c r="AG279" s="34" t="n"/>
      <c r="AH279" s="34" t="n"/>
      <c r="AK279" s="34" t="n"/>
      <c r="AL279" s="34" t="n"/>
      <c r="AM279" s="39" t="n"/>
      <c r="AN279" s="34" t="n"/>
      <c r="AO279" s="34" t="n"/>
      <c r="AP279" s="34" t="n"/>
      <c r="AQ279" s="34" t="n"/>
      <c r="AR279" s="34" t="n"/>
      <c r="AS279" s="34" t="n"/>
      <c r="AU279" s="34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34" t="n"/>
      <c r="BL279" s="34" t="n"/>
      <c r="BM279" s="34" t="n"/>
      <c r="BN279" s="34" t="n"/>
      <c r="BO279" s="34" t="n"/>
      <c r="BP279" s="34" t="n"/>
      <c r="BQ279" s="34" t="n"/>
      <c r="BR279" s="82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3" t="n"/>
      <c r="CC279" s="34" t="n"/>
      <c r="CD279" s="34" t="n"/>
      <c r="CE279" s="82" t="n"/>
      <c r="CF279" s="34" t="n"/>
      <c r="CG279" s="34" t="n"/>
      <c r="CH279" s="34" t="n"/>
      <c r="CI279" s="34" t="n"/>
      <c r="CJ279" s="34" t="n"/>
    </row>
    <row r="280">
      <c r="A280" s="29" t="n"/>
      <c r="B280" s="29" t="n"/>
      <c r="C280" s="35" t="n"/>
      <c r="D280" s="36" t="n"/>
      <c r="E280" s="147" t="n"/>
      <c r="F280" s="30" t="n"/>
      <c r="G280" s="30" t="n"/>
      <c r="H280" s="30" t="n"/>
      <c r="I280" s="30" t="n"/>
      <c r="J280" s="119" t="n"/>
      <c r="K280" s="34" t="n"/>
      <c r="L280" s="119" t="n"/>
      <c r="M280" s="34" t="n"/>
      <c r="N280" s="119" t="n"/>
      <c r="O280" s="34" t="n"/>
      <c r="P280" s="34" t="n"/>
      <c r="Q280" s="117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  <c r="AA280" s="34" t="n"/>
      <c r="AB280" s="34" t="n"/>
      <c r="AC280" s="34" t="n"/>
      <c r="AD280" s="34" t="n"/>
      <c r="AE280" s="34" t="n"/>
      <c r="AF280" s="34" t="n"/>
      <c r="AG280" s="34" t="n"/>
      <c r="AH280" s="34" t="n"/>
      <c r="AK280" s="34" t="n"/>
      <c r="AL280" s="34" t="n"/>
      <c r="AM280" s="39" t="n"/>
      <c r="AN280" s="34" t="n"/>
      <c r="AO280" s="34" t="n"/>
      <c r="AP280" s="34" t="n"/>
      <c r="AQ280" s="34" t="n"/>
      <c r="AR280" s="34" t="n"/>
      <c r="AS280" s="34" t="n"/>
      <c r="AU280" s="34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34" t="n"/>
      <c r="BL280" s="34" t="n"/>
      <c r="BM280" s="34" t="n"/>
      <c r="BN280" s="34" t="n"/>
      <c r="BO280" s="34" t="n"/>
      <c r="BP280" s="34" t="n"/>
      <c r="BQ280" s="34" t="n"/>
      <c r="BR280" s="82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3" t="n"/>
      <c r="CC280" s="34" t="n"/>
      <c r="CD280" s="34" t="n"/>
      <c r="CE280" s="82" t="n"/>
      <c r="CF280" s="34" t="n"/>
      <c r="CG280" s="34" t="n"/>
      <c r="CH280" s="34" t="n"/>
      <c r="CI280" s="34" t="n"/>
      <c r="CJ280" s="34" t="n"/>
    </row>
    <row r="281">
      <c r="A281" s="29" t="n"/>
      <c r="B281" s="29" t="n"/>
      <c r="C281" s="35" t="n"/>
      <c r="D281" s="36" t="n"/>
      <c r="E281" s="147" t="n"/>
      <c r="F281" s="30" t="n"/>
      <c r="G281" s="30" t="n"/>
      <c r="H281" s="30" t="n"/>
      <c r="I281" s="30" t="n"/>
      <c r="J281" s="119" t="n"/>
      <c r="K281" s="34" t="n"/>
      <c r="L281" s="119" t="n"/>
      <c r="M281" s="34" t="n"/>
      <c r="N281" s="119" t="n"/>
      <c r="O281" s="34" t="n"/>
      <c r="P281" s="34" t="n"/>
      <c r="Q281" s="117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  <c r="AA281" s="34" t="n"/>
      <c r="AB281" s="34" t="n"/>
      <c r="AC281" s="34" t="n"/>
      <c r="AD281" s="34" t="n"/>
      <c r="AE281" s="34" t="n"/>
      <c r="AF281" s="34" t="n"/>
      <c r="AG281" s="34" t="n"/>
      <c r="AH281" s="34" t="n"/>
      <c r="AK281" s="34" t="n"/>
      <c r="AL281" s="34" t="n"/>
      <c r="AM281" s="39" t="n"/>
      <c r="AN281" s="34" t="n"/>
      <c r="AO281" s="34" t="n"/>
      <c r="AP281" s="34" t="n"/>
      <c r="AQ281" s="34" t="n"/>
      <c r="AR281" s="34" t="n"/>
      <c r="AS281" s="34" t="n"/>
      <c r="AU281" s="34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34" t="n"/>
      <c r="BL281" s="34" t="n"/>
      <c r="BM281" s="34" t="n"/>
      <c r="BN281" s="34" t="n"/>
      <c r="BO281" s="34" t="n"/>
      <c r="BP281" s="34" t="n"/>
      <c r="BQ281" s="34" t="n"/>
      <c r="BR281" s="82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3" t="n"/>
      <c r="CC281" s="34" t="n"/>
      <c r="CD281" s="34" t="n"/>
      <c r="CE281" s="82" t="n"/>
      <c r="CF281" s="34" t="n"/>
      <c r="CG281" s="34" t="n"/>
      <c r="CH281" s="34" t="n"/>
      <c r="CI281" s="34" t="n"/>
      <c r="CJ281" s="34" t="n"/>
    </row>
    <row r="282">
      <c r="A282" s="29" t="n"/>
      <c r="B282" s="29" t="n"/>
      <c r="C282" s="35" t="n"/>
      <c r="D282" s="36" t="n"/>
      <c r="E282" s="147" t="n"/>
      <c r="F282" s="30" t="n"/>
      <c r="G282" s="30" t="n"/>
      <c r="H282" s="30" t="n"/>
      <c r="I282" s="30" t="n"/>
      <c r="J282" s="119" t="n"/>
      <c r="K282" s="34" t="n"/>
      <c r="L282" s="119" t="n"/>
      <c r="M282" s="34" t="n"/>
      <c r="N282" s="119" t="n"/>
      <c r="O282" s="34" t="n"/>
      <c r="P282" s="34" t="n"/>
      <c r="Q282" s="117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  <c r="AA282" s="34" t="n"/>
      <c r="AB282" s="34" t="n"/>
      <c r="AC282" s="34" t="n"/>
      <c r="AD282" s="34" t="n"/>
      <c r="AE282" s="34" t="n"/>
      <c r="AF282" s="34" t="n"/>
      <c r="AG282" s="34" t="n"/>
      <c r="AH282" s="34" t="n"/>
      <c r="AK282" s="34" t="n"/>
      <c r="AL282" s="34" t="n"/>
      <c r="AM282" s="39" t="n"/>
      <c r="AN282" s="34" t="n"/>
      <c r="AO282" s="34" t="n"/>
      <c r="AP282" s="34" t="n"/>
      <c r="AQ282" s="34" t="n"/>
      <c r="AR282" s="34" t="n"/>
      <c r="AS282" s="34" t="n"/>
      <c r="AU282" s="34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34" t="n"/>
      <c r="BL282" s="34" t="n"/>
      <c r="BM282" s="34" t="n"/>
      <c r="BN282" s="34" t="n"/>
      <c r="BO282" s="34" t="n"/>
      <c r="BP282" s="34" t="n"/>
      <c r="BQ282" s="34" t="n"/>
      <c r="BR282" s="82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3" t="n"/>
      <c r="CC282" s="34" t="n"/>
      <c r="CD282" s="34" t="n"/>
      <c r="CE282" s="82" t="n"/>
      <c r="CF282" s="34" t="n"/>
      <c r="CG282" s="34" t="n"/>
      <c r="CH282" s="34" t="n"/>
      <c r="CI282" s="34" t="n"/>
      <c r="CJ282" s="34" t="n"/>
    </row>
    <row r="283">
      <c r="A283" s="29" t="n"/>
      <c r="B283" s="29" t="n"/>
      <c r="C283" s="35" t="n"/>
      <c r="D283" s="36" t="n"/>
      <c r="E283" s="147" t="n"/>
      <c r="F283" s="30" t="n"/>
      <c r="G283" s="30" t="n"/>
      <c r="H283" s="30" t="n"/>
      <c r="I283" s="30" t="n"/>
      <c r="J283" s="119" t="n"/>
      <c r="K283" s="34" t="n"/>
      <c r="L283" s="119" t="n"/>
      <c r="M283" s="34" t="n"/>
      <c r="N283" s="119" t="n"/>
      <c r="O283" s="34" t="n"/>
      <c r="P283" s="34" t="n"/>
      <c r="Q283" s="117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  <c r="AA283" s="34" t="n"/>
      <c r="AB283" s="34" t="n"/>
      <c r="AC283" s="34" t="n"/>
      <c r="AD283" s="34" t="n"/>
      <c r="AE283" s="34" t="n"/>
      <c r="AF283" s="34" t="n"/>
      <c r="AG283" s="34" t="n"/>
      <c r="AH283" s="34" t="n"/>
      <c r="AK283" s="34" t="n"/>
      <c r="AL283" s="34" t="n"/>
      <c r="AM283" s="39" t="n"/>
      <c r="AN283" s="34" t="n"/>
      <c r="AO283" s="34" t="n"/>
      <c r="AP283" s="34" t="n"/>
      <c r="AQ283" s="34" t="n"/>
      <c r="AR283" s="34" t="n"/>
      <c r="AS283" s="34" t="n"/>
      <c r="AU283" s="34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34" t="n"/>
      <c r="BL283" s="34" t="n"/>
      <c r="BM283" s="34" t="n"/>
      <c r="BN283" s="34" t="n"/>
      <c r="BO283" s="34" t="n"/>
      <c r="BP283" s="34" t="n"/>
      <c r="BQ283" s="34" t="n"/>
      <c r="BR283" s="82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3" t="n"/>
      <c r="CC283" s="34" t="n"/>
      <c r="CD283" s="34" t="n"/>
      <c r="CE283" s="82" t="n"/>
      <c r="CF283" s="34" t="n"/>
      <c r="CG283" s="34" t="n"/>
      <c r="CH283" s="34" t="n"/>
      <c r="CI283" s="34" t="n"/>
      <c r="CJ283" s="34" t="n"/>
    </row>
    <row r="284">
      <c r="A284" s="29" t="n"/>
      <c r="B284" s="29" t="n"/>
      <c r="C284" s="35" t="n"/>
      <c r="D284" s="36" t="n"/>
      <c r="E284" s="147" t="n"/>
      <c r="F284" s="30" t="n"/>
      <c r="G284" s="30" t="n"/>
      <c r="H284" s="30" t="n"/>
      <c r="I284" s="30" t="n"/>
      <c r="J284" s="119" t="n"/>
      <c r="K284" s="34" t="n"/>
      <c r="L284" s="119" t="n"/>
      <c r="M284" s="34" t="n"/>
      <c r="N284" s="119" t="n"/>
      <c r="O284" s="34" t="n"/>
      <c r="P284" s="34" t="n"/>
      <c r="Q284" s="117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  <c r="AA284" s="34" t="n"/>
      <c r="AB284" s="34" t="n"/>
      <c r="AC284" s="34" t="n"/>
      <c r="AD284" s="34" t="n"/>
      <c r="AE284" s="34" t="n"/>
      <c r="AF284" s="34" t="n"/>
      <c r="AG284" s="34" t="n"/>
      <c r="AH284" s="34" t="n"/>
      <c r="AK284" s="34" t="n"/>
      <c r="AL284" s="34" t="n"/>
      <c r="AM284" s="39" t="n"/>
      <c r="AN284" s="34" t="n"/>
      <c r="AO284" s="34" t="n"/>
      <c r="AP284" s="34" t="n"/>
      <c r="AQ284" s="34" t="n"/>
      <c r="AR284" s="34" t="n"/>
      <c r="AS284" s="34" t="n"/>
      <c r="AU284" s="34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34" t="n"/>
      <c r="BL284" s="34" t="n"/>
      <c r="BM284" s="34" t="n"/>
      <c r="BN284" s="34" t="n"/>
      <c r="BO284" s="34" t="n"/>
      <c r="BP284" s="34" t="n"/>
      <c r="BQ284" s="34" t="n"/>
      <c r="BR284" s="82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3" t="n"/>
      <c r="CC284" s="34" t="n"/>
      <c r="CD284" s="34" t="n"/>
      <c r="CE284" s="82" t="n"/>
      <c r="CF284" s="34" t="n"/>
      <c r="CG284" s="34" t="n"/>
      <c r="CH284" s="34" t="n"/>
      <c r="CI284" s="34" t="n"/>
      <c r="CJ284" s="34" t="n"/>
    </row>
    <row r="285">
      <c r="A285" s="29" t="n"/>
      <c r="B285" s="29" t="n"/>
      <c r="C285" s="35" t="n"/>
      <c r="D285" s="36" t="n"/>
      <c r="E285" s="147" t="n"/>
      <c r="F285" s="30" t="n"/>
      <c r="G285" s="30" t="n"/>
      <c r="H285" s="30" t="n"/>
      <c r="I285" s="30" t="n"/>
      <c r="J285" s="119" t="n"/>
      <c r="K285" s="34" t="n"/>
      <c r="L285" s="119" t="n"/>
      <c r="M285" s="34" t="n"/>
      <c r="N285" s="119" t="n"/>
      <c r="O285" s="34" t="n"/>
      <c r="P285" s="34" t="n"/>
      <c r="Q285" s="117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  <c r="AA285" s="34" t="n"/>
      <c r="AB285" s="34" t="n"/>
      <c r="AC285" s="34" t="n"/>
      <c r="AD285" s="34" t="n"/>
      <c r="AE285" s="34" t="n"/>
      <c r="AF285" s="34" t="n"/>
      <c r="AG285" s="34" t="n"/>
      <c r="AH285" s="34" t="n"/>
      <c r="AK285" s="34" t="n"/>
      <c r="AL285" s="34" t="n"/>
      <c r="AM285" s="39" t="n"/>
      <c r="AN285" s="34" t="n"/>
      <c r="AO285" s="34" t="n"/>
      <c r="AP285" s="34" t="n"/>
      <c r="AQ285" s="34" t="n"/>
      <c r="AR285" s="34" t="n"/>
      <c r="AS285" s="34" t="n"/>
      <c r="AU285" s="34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34" t="n"/>
      <c r="BL285" s="34" t="n"/>
      <c r="BM285" s="34" t="n"/>
      <c r="BN285" s="34" t="n"/>
      <c r="BO285" s="34" t="n"/>
      <c r="BP285" s="34" t="n"/>
      <c r="BQ285" s="34" t="n"/>
      <c r="BR285" s="82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3" t="n"/>
      <c r="CC285" s="34" t="n"/>
      <c r="CD285" s="34" t="n"/>
      <c r="CE285" s="82" t="n"/>
      <c r="CF285" s="34" t="n"/>
      <c r="CG285" s="34" t="n"/>
      <c r="CH285" s="34" t="n"/>
      <c r="CI285" s="34" t="n"/>
      <c r="CJ285" s="34" t="n"/>
    </row>
    <row r="286">
      <c r="A286" s="29" t="n"/>
      <c r="B286" s="29" t="n"/>
      <c r="C286" s="35" t="n"/>
      <c r="D286" s="36" t="n"/>
      <c r="E286" s="147" t="n"/>
      <c r="F286" s="30" t="n"/>
      <c r="G286" s="30" t="n"/>
      <c r="H286" s="30" t="n"/>
      <c r="I286" s="30" t="n"/>
      <c r="J286" s="119" t="n"/>
      <c r="K286" s="34" t="n"/>
      <c r="L286" s="119" t="n"/>
      <c r="M286" s="34" t="n"/>
      <c r="N286" s="119" t="n"/>
      <c r="O286" s="34" t="n"/>
      <c r="P286" s="34" t="n"/>
      <c r="Q286" s="117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  <c r="AA286" s="34" t="n"/>
      <c r="AB286" s="34" t="n"/>
      <c r="AC286" s="34" t="n"/>
      <c r="AD286" s="34" t="n"/>
      <c r="AE286" s="34" t="n"/>
      <c r="AF286" s="34" t="n"/>
      <c r="AG286" s="34" t="n"/>
      <c r="AH286" s="34" t="n"/>
      <c r="AK286" s="34" t="n"/>
      <c r="AL286" s="34" t="n"/>
      <c r="AM286" s="39" t="n"/>
      <c r="AN286" s="34" t="n"/>
      <c r="AO286" s="34" t="n"/>
      <c r="AP286" s="34" t="n"/>
      <c r="AQ286" s="34" t="n"/>
      <c r="AR286" s="34" t="n"/>
      <c r="AS286" s="34" t="n"/>
      <c r="AU286" s="34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34" t="n"/>
      <c r="BL286" s="34" t="n"/>
      <c r="BM286" s="34" t="n"/>
      <c r="BN286" s="34" t="n"/>
      <c r="BO286" s="34" t="n"/>
      <c r="BP286" s="34" t="n"/>
      <c r="BQ286" s="34" t="n"/>
      <c r="BR286" s="82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3" t="n"/>
      <c r="CC286" s="34" t="n"/>
      <c r="CD286" s="34" t="n"/>
      <c r="CE286" s="82" t="n"/>
      <c r="CF286" s="34" t="n"/>
      <c r="CG286" s="34" t="n"/>
      <c r="CH286" s="34" t="n"/>
      <c r="CI286" s="34" t="n"/>
      <c r="CJ286" s="34" t="n"/>
    </row>
    <row r="287">
      <c r="A287" s="29" t="n"/>
      <c r="B287" s="29" t="n"/>
      <c r="C287" s="35" t="n"/>
      <c r="D287" s="36" t="n"/>
      <c r="E287" s="147" t="n"/>
      <c r="F287" s="30" t="n"/>
      <c r="G287" s="30" t="n"/>
      <c r="H287" s="30" t="n"/>
      <c r="I287" s="30" t="n"/>
      <c r="J287" s="119" t="n"/>
      <c r="K287" s="34" t="n"/>
      <c r="L287" s="119" t="n"/>
      <c r="M287" s="34" t="n"/>
      <c r="N287" s="119" t="n"/>
      <c r="O287" s="34" t="n"/>
      <c r="P287" s="34" t="n"/>
      <c r="Q287" s="117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  <c r="AA287" s="34" t="n"/>
      <c r="AB287" s="34" t="n"/>
      <c r="AC287" s="34" t="n"/>
      <c r="AD287" s="34" t="n"/>
      <c r="AE287" s="34" t="n"/>
      <c r="AF287" s="34" t="n"/>
      <c r="AG287" s="34" t="n"/>
      <c r="AH287" s="34" t="n"/>
      <c r="AK287" s="34" t="n"/>
      <c r="AL287" s="34" t="n"/>
      <c r="AM287" s="39" t="n"/>
      <c r="AN287" s="34" t="n"/>
      <c r="AO287" s="34" t="n"/>
      <c r="AP287" s="34" t="n"/>
      <c r="AQ287" s="34" t="n"/>
      <c r="AR287" s="34" t="n"/>
      <c r="AS287" s="34" t="n"/>
      <c r="AU287" s="34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34" t="n"/>
      <c r="BL287" s="34" t="n"/>
      <c r="BM287" s="34" t="n"/>
      <c r="BN287" s="34" t="n"/>
      <c r="BO287" s="34" t="n"/>
      <c r="BP287" s="34" t="n"/>
      <c r="BQ287" s="34" t="n"/>
      <c r="BR287" s="82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3" t="n"/>
      <c r="CC287" s="34" t="n"/>
      <c r="CD287" s="34" t="n"/>
      <c r="CE287" s="82" t="n"/>
      <c r="CF287" s="34" t="n"/>
      <c r="CG287" s="34" t="n"/>
      <c r="CH287" s="34" t="n"/>
      <c r="CI287" s="34" t="n"/>
      <c r="CJ287" s="34" t="n"/>
    </row>
    <row r="288">
      <c r="A288" s="29" t="n"/>
      <c r="B288" s="29" t="n"/>
      <c r="C288" s="35" t="n"/>
      <c r="D288" s="36" t="n"/>
      <c r="E288" s="147" t="n"/>
      <c r="F288" s="30" t="n"/>
      <c r="G288" s="30" t="n"/>
      <c r="H288" s="30" t="n"/>
      <c r="I288" s="30" t="n"/>
      <c r="J288" s="119" t="n"/>
      <c r="K288" s="34" t="n"/>
      <c r="L288" s="119" t="n"/>
      <c r="M288" s="34" t="n"/>
      <c r="N288" s="119" t="n"/>
      <c r="O288" s="34" t="n"/>
      <c r="P288" s="34" t="n"/>
      <c r="Q288" s="117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  <c r="AA288" s="34" t="n"/>
      <c r="AB288" s="34" t="n"/>
      <c r="AC288" s="34" t="n"/>
      <c r="AD288" s="34" t="n"/>
      <c r="AE288" s="34" t="n"/>
      <c r="AF288" s="34" t="n"/>
      <c r="AG288" s="34" t="n"/>
      <c r="AH288" s="34" t="n"/>
      <c r="AK288" s="34" t="n"/>
      <c r="AL288" s="34" t="n"/>
      <c r="AM288" s="39" t="n"/>
      <c r="AN288" s="34" t="n"/>
      <c r="AO288" s="34" t="n"/>
      <c r="AP288" s="34" t="n"/>
      <c r="AQ288" s="34" t="n"/>
      <c r="AR288" s="34" t="n"/>
      <c r="AS288" s="34" t="n"/>
      <c r="AU288" s="34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34" t="n"/>
      <c r="BL288" s="34" t="n"/>
      <c r="BM288" s="34" t="n"/>
      <c r="BN288" s="34" t="n"/>
      <c r="BO288" s="34" t="n"/>
      <c r="BP288" s="34" t="n"/>
      <c r="BQ288" s="34" t="n"/>
      <c r="BR288" s="82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3" t="n"/>
      <c r="CC288" s="34" t="n"/>
      <c r="CD288" s="34" t="n"/>
      <c r="CE288" s="82" t="n"/>
      <c r="CF288" s="34" t="n"/>
      <c r="CG288" s="34" t="n"/>
      <c r="CH288" s="34" t="n"/>
      <c r="CI288" s="34" t="n"/>
      <c r="CJ288" s="34" t="n"/>
    </row>
    <row r="289">
      <c r="A289" s="29" t="n"/>
      <c r="B289" s="29" t="n"/>
      <c r="C289" s="35" t="n"/>
      <c r="D289" s="36" t="n"/>
      <c r="E289" s="147" t="n"/>
      <c r="F289" s="30" t="n"/>
      <c r="G289" s="30" t="n"/>
      <c r="H289" s="30" t="n"/>
      <c r="I289" s="30" t="n"/>
      <c r="J289" s="119" t="n"/>
      <c r="K289" s="34" t="n"/>
      <c r="L289" s="119" t="n"/>
      <c r="M289" s="34" t="n"/>
      <c r="N289" s="119" t="n"/>
      <c r="O289" s="34" t="n"/>
      <c r="P289" s="34" t="n"/>
      <c r="Q289" s="117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  <c r="AA289" s="34" t="n"/>
      <c r="AB289" s="34" t="n"/>
      <c r="AC289" s="34" t="n"/>
      <c r="AD289" s="34" t="n"/>
      <c r="AE289" s="34" t="n"/>
      <c r="AF289" s="34" t="n"/>
      <c r="AG289" s="34" t="n"/>
      <c r="AH289" s="34" t="n"/>
      <c r="AK289" s="34" t="n"/>
      <c r="AL289" s="34" t="n"/>
      <c r="AM289" s="39" t="n"/>
      <c r="AN289" s="34" t="n"/>
      <c r="AO289" s="34" t="n"/>
      <c r="AP289" s="34" t="n"/>
      <c r="AQ289" s="34" t="n"/>
      <c r="AR289" s="34" t="n"/>
      <c r="AS289" s="34" t="n"/>
      <c r="AU289" s="34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34" t="n"/>
      <c r="BL289" s="34" t="n"/>
      <c r="BM289" s="34" t="n"/>
      <c r="BN289" s="34" t="n"/>
      <c r="BO289" s="34" t="n"/>
      <c r="BP289" s="34" t="n"/>
      <c r="BQ289" s="34" t="n"/>
      <c r="BR289" s="82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3" t="n"/>
      <c r="CC289" s="34" t="n"/>
      <c r="CD289" s="34" t="n"/>
      <c r="CE289" s="82" t="n"/>
      <c r="CF289" s="34" t="n"/>
      <c r="CG289" s="34" t="n"/>
      <c r="CH289" s="34" t="n"/>
      <c r="CI289" s="34" t="n"/>
      <c r="CJ289" s="34" t="n"/>
    </row>
    <row r="290">
      <c r="A290" s="29" t="n"/>
      <c r="B290" s="29" t="n"/>
      <c r="C290" s="35" t="n"/>
      <c r="D290" s="36" t="n"/>
      <c r="E290" s="147" t="n"/>
      <c r="F290" s="30" t="n"/>
      <c r="G290" s="30" t="n"/>
      <c r="H290" s="30" t="n"/>
      <c r="I290" s="30" t="n"/>
      <c r="J290" s="119" t="n"/>
      <c r="K290" s="34" t="n"/>
      <c r="L290" s="119" t="n"/>
      <c r="M290" s="34" t="n"/>
      <c r="N290" s="119" t="n"/>
      <c r="O290" s="34" t="n"/>
      <c r="P290" s="34" t="n"/>
      <c r="Q290" s="117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  <c r="AA290" s="34" t="n"/>
      <c r="AB290" s="34" t="n"/>
      <c r="AC290" s="34" t="n"/>
      <c r="AD290" s="34" t="n"/>
      <c r="AE290" s="34" t="n"/>
      <c r="AF290" s="34" t="n"/>
      <c r="AG290" s="34" t="n"/>
      <c r="AH290" s="34" t="n"/>
      <c r="AK290" s="34" t="n"/>
      <c r="AL290" s="34" t="n"/>
      <c r="AM290" s="39" t="n"/>
      <c r="AN290" s="34" t="n"/>
      <c r="AO290" s="34" t="n"/>
      <c r="AP290" s="34" t="n"/>
      <c r="AQ290" s="34" t="n"/>
      <c r="AR290" s="34" t="n"/>
      <c r="AS290" s="34" t="n"/>
      <c r="AU290" s="34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34" t="n"/>
      <c r="BL290" s="34" t="n"/>
      <c r="BM290" s="34" t="n"/>
      <c r="BN290" s="34" t="n"/>
      <c r="BO290" s="34" t="n"/>
      <c r="BP290" s="34" t="n"/>
      <c r="BQ290" s="34" t="n"/>
      <c r="BR290" s="82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3" t="n"/>
      <c r="CC290" s="34" t="n"/>
      <c r="CD290" s="34" t="n"/>
      <c r="CE290" s="82" t="n"/>
      <c r="CF290" s="34" t="n"/>
      <c r="CG290" s="34" t="n"/>
      <c r="CH290" s="34" t="n"/>
      <c r="CI290" s="34" t="n"/>
      <c r="CJ290" s="34" t="n"/>
    </row>
    <row r="291">
      <c r="A291" s="29" t="n"/>
      <c r="B291" s="29" t="n"/>
      <c r="C291" s="35" t="n"/>
      <c r="D291" s="36" t="n"/>
      <c r="E291" s="147" t="n"/>
      <c r="F291" s="30" t="n"/>
      <c r="G291" s="30" t="n"/>
      <c r="H291" s="30" t="n"/>
      <c r="I291" s="30" t="n"/>
      <c r="J291" s="119" t="n"/>
      <c r="K291" s="34" t="n"/>
      <c r="L291" s="119" t="n"/>
      <c r="M291" s="34" t="n"/>
      <c r="N291" s="119" t="n"/>
      <c r="O291" s="34" t="n"/>
      <c r="P291" s="34" t="n"/>
      <c r="Q291" s="117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  <c r="AA291" s="34" t="n"/>
      <c r="AB291" s="34" t="n"/>
      <c r="AC291" s="34" t="n"/>
      <c r="AD291" s="34" t="n"/>
      <c r="AE291" s="34" t="n"/>
      <c r="AF291" s="34" t="n"/>
      <c r="AG291" s="34" t="n"/>
      <c r="AH291" s="34" t="n"/>
      <c r="AK291" s="34" t="n"/>
      <c r="AL291" s="34" t="n"/>
      <c r="AM291" s="39" t="n"/>
      <c r="AN291" s="34" t="n"/>
      <c r="AO291" s="34" t="n"/>
      <c r="AP291" s="34" t="n"/>
      <c r="AQ291" s="34" t="n"/>
      <c r="AR291" s="34" t="n"/>
      <c r="AS291" s="34" t="n"/>
      <c r="AU291" s="34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34" t="n"/>
      <c r="BL291" s="34" t="n"/>
      <c r="BM291" s="34" t="n"/>
      <c r="BN291" s="34" t="n"/>
      <c r="BO291" s="34" t="n"/>
      <c r="BP291" s="34" t="n"/>
      <c r="BQ291" s="34" t="n"/>
      <c r="BR291" s="82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3" t="n"/>
      <c r="CC291" s="34" t="n"/>
      <c r="CD291" s="34" t="n"/>
      <c r="CE291" s="82" t="n"/>
      <c r="CF291" s="34" t="n"/>
      <c r="CG291" s="34" t="n"/>
      <c r="CH291" s="34" t="n"/>
      <c r="CI291" s="34" t="n"/>
      <c r="CJ291" s="34" t="n"/>
    </row>
    <row r="292">
      <c r="A292" s="29" t="n"/>
      <c r="B292" s="29" t="n"/>
      <c r="C292" s="35" t="n"/>
      <c r="D292" s="36" t="n"/>
      <c r="E292" s="147" t="n"/>
      <c r="F292" s="30" t="n"/>
      <c r="G292" s="30" t="n"/>
      <c r="H292" s="30" t="n"/>
      <c r="I292" s="30" t="n"/>
      <c r="J292" s="119" t="n"/>
      <c r="K292" s="34" t="n"/>
      <c r="L292" s="119" t="n"/>
      <c r="M292" s="34" t="n"/>
      <c r="N292" s="119" t="n"/>
      <c r="O292" s="34" t="n"/>
      <c r="P292" s="34" t="n"/>
      <c r="Q292" s="117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  <c r="AA292" s="34" t="n"/>
      <c r="AB292" s="34" t="n"/>
      <c r="AC292" s="34" t="n"/>
      <c r="AD292" s="34" t="n"/>
      <c r="AE292" s="34" t="n"/>
      <c r="AF292" s="34" t="n"/>
      <c r="AG292" s="34" t="n"/>
      <c r="AH292" s="34" t="n"/>
      <c r="AK292" s="34" t="n"/>
      <c r="AL292" s="34" t="n"/>
      <c r="AM292" s="39" t="n"/>
      <c r="AN292" s="34" t="n"/>
      <c r="AO292" s="34" t="n"/>
      <c r="AP292" s="34" t="n"/>
      <c r="AQ292" s="34" t="n"/>
      <c r="AR292" s="34" t="n"/>
      <c r="AS292" s="34" t="n"/>
      <c r="AU292" s="34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34" t="n"/>
      <c r="BL292" s="34" t="n"/>
      <c r="BM292" s="34" t="n"/>
      <c r="BN292" s="34" t="n"/>
      <c r="BO292" s="34" t="n"/>
      <c r="BP292" s="34" t="n"/>
      <c r="BQ292" s="34" t="n"/>
      <c r="BR292" s="82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3" t="n"/>
      <c r="CC292" s="34" t="n"/>
      <c r="CD292" s="34" t="n"/>
      <c r="CE292" s="82" t="n"/>
      <c r="CF292" s="34" t="n"/>
      <c r="CG292" s="34" t="n"/>
      <c r="CH292" s="34" t="n"/>
      <c r="CI292" s="34" t="n"/>
      <c r="CJ292" s="34" t="n"/>
    </row>
    <row r="293">
      <c r="A293" s="29" t="n"/>
      <c r="B293" s="29" t="n"/>
      <c r="C293" s="35" t="n"/>
      <c r="D293" s="36" t="n"/>
      <c r="E293" s="147" t="n"/>
      <c r="F293" s="30" t="n"/>
      <c r="G293" s="30" t="n"/>
      <c r="H293" s="30" t="n"/>
      <c r="I293" s="30" t="n"/>
      <c r="J293" s="119" t="n"/>
      <c r="K293" s="34" t="n"/>
      <c r="L293" s="119" t="n"/>
      <c r="M293" s="34" t="n"/>
      <c r="N293" s="119" t="n"/>
      <c r="O293" s="34" t="n"/>
      <c r="P293" s="34" t="n"/>
      <c r="Q293" s="117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  <c r="AA293" s="34" t="n"/>
      <c r="AB293" s="34" t="n"/>
      <c r="AC293" s="34" t="n"/>
      <c r="AD293" s="34" t="n"/>
      <c r="AE293" s="34" t="n"/>
      <c r="AF293" s="34" t="n"/>
      <c r="AG293" s="34" t="n"/>
      <c r="AH293" s="34" t="n"/>
      <c r="AK293" s="34" t="n"/>
      <c r="AL293" s="34" t="n"/>
      <c r="AM293" s="39" t="n"/>
      <c r="AN293" s="34" t="n"/>
      <c r="AO293" s="34" t="n"/>
      <c r="AP293" s="34" t="n"/>
      <c r="AQ293" s="34" t="n"/>
      <c r="AR293" s="34" t="n"/>
      <c r="AS293" s="34" t="n"/>
      <c r="AU293" s="34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34" t="n"/>
      <c r="BL293" s="34" t="n"/>
      <c r="BM293" s="34" t="n"/>
      <c r="BN293" s="34" t="n"/>
      <c r="BO293" s="34" t="n"/>
      <c r="BP293" s="34" t="n"/>
      <c r="BQ293" s="34" t="n"/>
      <c r="BR293" s="82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3" t="n"/>
      <c r="CC293" s="34" t="n"/>
      <c r="CD293" s="34" t="n"/>
      <c r="CE293" s="82" t="n"/>
      <c r="CF293" s="34" t="n"/>
      <c r="CG293" s="34" t="n"/>
      <c r="CH293" s="34" t="n"/>
      <c r="CI293" s="34" t="n"/>
      <c r="CJ293" s="34" t="n"/>
    </row>
    <row r="294">
      <c r="A294" s="29" t="n"/>
      <c r="B294" s="29" t="n"/>
      <c r="C294" s="35" t="n"/>
      <c r="D294" s="36" t="n"/>
      <c r="E294" s="147" t="n"/>
      <c r="F294" s="30" t="n"/>
      <c r="G294" s="30" t="n"/>
      <c r="H294" s="30" t="n"/>
      <c r="I294" s="30" t="n"/>
      <c r="J294" s="119" t="n"/>
      <c r="K294" s="34" t="n"/>
      <c r="L294" s="119" t="n"/>
      <c r="M294" s="34" t="n"/>
      <c r="N294" s="119" t="n"/>
      <c r="O294" s="34" t="n"/>
      <c r="P294" s="34" t="n"/>
      <c r="Q294" s="117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  <c r="AA294" s="34" t="n"/>
      <c r="AB294" s="34" t="n"/>
      <c r="AC294" s="34" t="n"/>
      <c r="AD294" s="34" t="n"/>
      <c r="AE294" s="34" t="n"/>
      <c r="AF294" s="34" t="n"/>
      <c r="AG294" s="34" t="n"/>
      <c r="AH294" s="34" t="n"/>
      <c r="AK294" s="34" t="n"/>
      <c r="AL294" s="34" t="n"/>
      <c r="AM294" s="39" t="n"/>
      <c r="AN294" s="34" t="n"/>
      <c r="AO294" s="34" t="n"/>
      <c r="AP294" s="34" t="n"/>
      <c r="AQ294" s="34" t="n"/>
      <c r="AR294" s="34" t="n"/>
      <c r="AS294" s="34" t="n"/>
      <c r="AU294" s="34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34" t="n"/>
      <c r="BL294" s="34" t="n"/>
      <c r="BM294" s="34" t="n"/>
      <c r="BN294" s="34" t="n"/>
      <c r="BO294" s="34" t="n"/>
      <c r="BP294" s="34" t="n"/>
      <c r="BQ294" s="34" t="n"/>
      <c r="BR294" s="82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3" t="n"/>
      <c r="CC294" s="34" t="n"/>
      <c r="CD294" s="34" t="n"/>
      <c r="CE294" s="82" t="n"/>
      <c r="CF294" s="34" t="n"/>
      <c r="CG294" s="34" t="n"/>
      <c r="CH294" s="34" t="n"/>
      <c r="CI294" s="34" t="n"/>
      <c r="CJ294" s="34" t="n"/>
    </row>
    <row r="295">
      <c r="A295" s="29" t="n"/>
      <c r="B295" s="29" t="n"/>
      <c r="C295" s="35" t="n"/>
      <c r="D295" s="36" t="n"/>
      <c r="E295" s="147" t="n"/>
      <c r="F295" s="30" t="n"/>
      <c r="G295" s="30" t="n"/>
      <c r="H295" s="30" t="n"/>
      <c r="I295" s="30" t="n"/>
      <c r="J295" s="119" t="n"/>
      <c r="K295" s="34" t="n"/>
      <c r="L295" s="119" t="n"/>
      <c r="M295" s="34" t="n"/>
      <c r="N295" s="119" t="n"/>
      <c r="O295" s="34" t="n"/>
      <c r="P295" s="34" t="n"/>
      <c r="Q295" s="117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  <c r="AA295" s="34" t="n"/>
      <c r="AB295" s="34" t="n"/>
      <c r="AC295" s="34" t="n"/>
      <c r="AD295" s="34" t="n"/>
      <c r="AE295" s="34" t="n"/>
      <c r="AF295" s="34" t="n"/>
      <c r="AG295" s="34" t="n"/>
      <c r="AH295" s="34" t="n"/>
      <c r="AK295" s="34" t="n"/>
      <c r="AL295" s="34" t="n"/>
      <c r="AM295" s="39" t="n"/>
      <c r="AN295" s="34" t="n"/>
      <c r="AO295" s="34" t="n"/>
      <c r="AP295" s="34" t="n"/>
      <c r="AQ295" s="34" t="n"/>
      <c r="AR295" s="34" t="n"/>
      <c r="AS295" s="34" t="n"/>
      <c r="AU295" s="34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34" t="n"/>
      <c r="BL295" s="34" t="n"/>
      <c r="BM295" s="34" t="n"/>
      <c r="BN295" s="34" t="n"/>
      <c r="BO295" s="34" t="n"/>
      <c r="BP295" s="34" t="n"/>
      <c r="BQ295" s="34" t="n"/>
      <c r="BR295" s="82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3" t="n"/>
      <c r="CC295" s="34" t="n"/>
      <c r="CD295" s="34" t="n"/>
      <c r="CE295" s="82" t="n"/>
      <c r="CF295" s="34" t="n"/>
      <c r="CG295" s="34" t="n"/>
      <c r="CH295" s="34" t="n"/>
      <c r="CI295" s="34" t="n"/>
      <c r="CJ295" s="34" t="n"/>
    </row>
    <row r="296">
      <c r="A296" s="29" t="n"/>
      <c r="B296" s="29" t="n"/>
      <c r="C296" s="35" t="n"/>
      <c r="D296" s="36" t="n"/>
      <c r="E296" s="147" t="n"/>
      <c r="F296" s="30" t="n"/>
      <c r="G296" s="30" t="n"/>
      <c r="H296" s="30" t="n"/>
      <c r="I296" s="30" t="n"/>
      <c r="J296" s="119" t="n"/>
      <c r="K296" s="34" t="n"/>
      <c r="L296" s="119" t="n"/>
      <c r="M296" s="34" t="n"/>
      <c r="N296" s="119" t="n"/>
      <c r="O296" s="34" t="n"/>
      <c r="P296" s="34" t="n"/>
      <c r="Q296" s="117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  <c r="AA296" s="34" t="n"/>
      <c r="AB296" s="34" t="n"/>
      <c r="AC296" s="34" t="n"/>
      <c r="AD296" s="34" t="n"/>
      <c r="AE296" s="34" t="n"/>
      <c r="AF296" s="34" t="n"/>
      <c r="AG296" s="34" t="n"/>
      <c r="AH296" s="34" t="n"/>
      <c r="AK296" s="34" t="n"/>
      <c r="AL296" s="34" t="n"/>
      <c r="AM296" s="39" t="n"/>
      <c r="AN296" s="34" t="n"/>
      <c r="AO296" s="34" t="n"/>
      <c r="AP296" s="34" t="n"/>
      <c r="AQ296" s="34" t="n"/>
      <c r="AR296" s="34" t="n"/>
      <c r="AS296" s="34" t="n"/>
      <c r="AU296" s="34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34" t="n"/>
      <c r="BL296" s="34" t="n"/>
      <c r="BM296" s="34" t="n"/>
      <c r="BN296" s="34" t="n"/>
      <c r="BO296" s="34" t="n"/>
      <c r="BP296" s="34" t="n"/>
      <c r="BQ296" s="34" t="n"/>
      <c r="BR296" s="82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3" t="n"/>
      <c r="CC296" s="34" t="n"/>
      <c r="CD296" s="34" t="n"/>
      <c r="CE296" s="82" t="n"/>
      <c r="CF296" s="34" t="n"/>
      <c r="CG296" s="34" t="n"/>
      <c r="CH296" s="34" t="n"/>
      <c r="CI296" s="34" t="n"/>
      <c r="CJ296" s="34" t="n"/>
    </row>
    <row r="297">
      <c r="A297" s="29" t="n"/>
      <c r="B297" s="29" t="n"/>
      <c r="C297" s="35" t="n"/>
      <c r="D297" s="36" t="n"/>
      <c r="E297" s="147" t="n"/>
      <c r="F297" s="30" t="n"/>
      <c r="G297" s="30" t="n"/>
      <c r="H297" s="30" t="n"/>
      <c r="I297" s="30" t="n"/>
      <c r="J297" s="119" t="n"/>
      <c r="K297" s="34" t="n"/>
      <c r="L297" s="119" t="n"/>
      <c r="M297" s="34" t="n"/>
      <c r="N297" s="119" t="n"/>
      <c r="O297" s="34" t="n"/>
      <c r="P297" s="34" t="n"/>
      <c r="Q297" s="117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  <c r="AA297" s="34" t="n"/>
      <c r="AB297" s="34" t="n"/>
      <c r="AC297" s="34" t="n"/>
      <c r="AD297" s="34" t="n"/>
      <c r="AE297" s="34" t="n"/>
      <c r="AF297" s="34" t="n"/>
      <c r="AG297" s="34" t="n"/>
      <c r="AH297" s="34" t="n"/>
      <c r="AK297" s="34" t="n"/>
      <c r="AL297" s="34" t="n"/>
      <c r="AM297" s="39" t="n"/>
      <c r="AN297" s="34" t="n"/>
      <c r="AO297" s="34" t="n"/>
      <c r="AP297" s="34" t="n"/>
      <c r="AQ297" s="34" t="n"/>
      <c r="AR297" s="34" t="n"/>
      <c r="AS297" s="34" t="n"/>
      <c r="AU297" s="34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34" t="n"/>
      <c r="BL297" s="34" t="n"/>
      <c r="BM297" s="34" t="n"/>
      <c r="BN297" s="34" t="n"/>
      <c r="BO297" s="34" t="n"/>
      <c r="BP297" s="34" t="n"/>
      <c r="BQ297" s="34" t="n"/>
      <c r="BR297" s="82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3" t="n"/>
      <c r="CC297" s="34" t="n"/>
      <c r="CD297" s="34" t="n"/>
      <c r="CE297" s="82" t="n"/>
      <c r="CF297" s="34" t="n"/>
      <c r="CG297" s="34" t="n"/>
      <c r="CH297" s="34" t="n"/>
      <c r="CI297" s="34" t="n"/>
      <c r="CJ297" s="34" t="n"/>
    </row>
    <row r="298">
      <c r="A298" s="29" t="n"/>
      <c r="B298" s="29" t="n"/>
      <c r="C298" s="35" t="n"/>
      <c r="D298" s="36" t="n"/>
      <c r="E298" s="147" t="n"/>
      <c r="F298" s="30" t="n"/>
      <c r="G298" s="30" t="n"/>
      <c r="H298" s="30" t="n"/>
      <c r="I298" s="30" t="n"/>
      <c r="J298" s="119" t="n"/>
      <c r="K298" s="34" t="n"/>
      <c r="L298" s="119" t="n"/>
      <c r="M298" s="34" t="n"/>
      <c r="N298" s="119" t="n"/>
      <c r="O298" s="34" t="n"/>
      <c r="P298" s="34" t="n"/>
      <c r="Q298" s="117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  <c r="AA298" s="34" t="n"/>
      <c r="AB298" s="34" t="n"/>
      <c r="AC298" s="34" t="n"/>
      <c r="AD298" s="34" t="n"/>
      <c r="AE298" s="34" t="n"/>
      <c r="AF298" s="34" t="n"/>
      <c r="AG298" s="34" t="n"/>
      <c r="AH298" s="34" t="n"/>
      <c r="AK298" s="34" t="n"/>
      <c r="AL298" s="34" t="n"/>
      <c r="AM298" s="39" t="n"/>
      <c r="AN298" s="34" t="n"/>
      <c r="AO298" s="34" t="n"/>
      <c r="AP298" s="34" t="n"/>
      <c r="AQ298" s="34" t="n"/>
      <c r="AR298" s="34" t="n"/>
      <c r="AS298" s="34" t="n"/>
      <c r="AU298" s="34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34" t="n"/>
      <c r="BL298" s="34" t="n"/>
      <c r="BM298" s="34" t="n"/>
      <c r="BN298" s="34" t="n"/>
      <c r="BO298" s="34" t="n"/>
      <c r="BP298" s="34" t="n"/>
      <c r="BQ298" s="34" t="n"/>
      <c r="BR298" s="82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3" t="n"/>
      <c r="CC298" s="34" t="n"/>
      <c r="CD298" s="34" t="n"/>
      <c r="CE298" s="82" t="n"/>
      <c r="CF298" s="34" t="n"/>
      <c r="CG298" s="34" t="n"/>
      <c r="CH298" s="34" t="n"/>
      <c r="CI298" s="34" t="n"/>
      <c r="CJ298" s="34" t="n"/>
    </row>
    <row r="299">
      <c r="A299" s="29" t="n"/>
      <c r="B299" s="29" t="n"/>
      <c r="C299" s="35" t="n"/>
      <c r="D299" s="36" t="n"/>
      <c r="E299" s="147" t="n"/>
      <c r="F299" s="30" t="n"/>
      <c r="G299" s="30" t="n"/>
      <c r="H299" s="30" t="n"/>
      <c r="I299" s="30" t="n"/>
      <c r="J299" s="119" t="n"/>
      <c r="K299" s="34" t="n"/>
      <c r="L299" s="119" t="n"/>
      <c r="M299" s="34" t="n"/>
      <c r="N299" s="119" t="n"/>
      <c r="O299" s="34" t="n"/>
      <c r="P299" s="34" t="n"/>
      <c r="Q299" s="117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  <c r="AA299" s="34" t="n"/>
      <c r="AB299" s="34" t="n"/>
      <c r="AC299" s="34" t="n"/>
      <c r="AD299" s="34" t="n"/>
      <c r="AE299" s="34" t="n"/>
      <c r="AF299" s="34" t="n"/>
      <c r="AG299" s="34" t="n"/>
      <c r="AH299" s="34" t="n"/>
      <c r="AK299" s="34" t="n"/>
      <c r="AL299" s="34" t="n"/>
      <c r="AM299" s="39" t="n"/>
      <c r="AN299" s="34" t="n"/>
      <c r="AO299" s="34" t="n"/>
      <c r="AP299" s="34" t="n"/>
      <c r="AQ299" s="34" t="n"/>
      <c r="AR299" s="34" t="n"/>
      <c r="AS299" s="34" t="n"/>
      <c r="AU299" s="34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34" t="n"/>
      <c r="BL299" s="34" t="n"/>
      <c r="BM299" s="34" t="n"/>
      <c r="BN299" s="34" t="n"/>
      <c r="BO299" s="34" t="n"/>
      <c r="BP299" s="34" t="n"/>
      <c r="BQ299" s="34" t="n"/>
      <c r="BR299" s="82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3" t="n"/>
      <c r="CC299" s="34" t="n"/>
      <c r="CD299" s="34" t="n"/>
      <c r="CE299" s="82" t="n"/>
      <c r="CF299" s="34" t="n"/>
      <c r="CG299" s="34" t="n"/>
      <c r="CH299" s="34" t="n"/>
      <c r="CI299" s="34" t="n"/>
      <c r="CJ299" s="34" t="n"/>
    </row>
    <row r="300">
      <c r="A300" s="29" t="n"/>
      <c r="B300" s="29" t="n"/>
      <c r="C300" s="35" t="n"/>
      <c r="D300" s="36" t="n"/>
      <c r="E300" s="147" t="n"/>
      <c r="F300" s="30" t="n"/>
      <c r="G300" s="30" t="n"/>
      <c r="H300" s="30" t="n"/>
      <c r="I300" s="30" t="n"/>
      <c r="J300" s="119" t="n"/>
      <c r="K300" s="34" t="n"/>
      <c r="L300" s="119" t="n"/>
      <c r="M300" s="34" t="n"/>
      <c r="N300" s="119" t="n"/>
      <c r="O300" s="34" t="n"/>
      <c r="P300" s="34" t="n"/>
      <c r="Q300" s="117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  <c r="AA300" s="34" t="n"/>
      <c r="AB300" s="34" t="n"/>
      <c r="AC300" s="34" t="n"/>
      <c r="AD300" s="34" t="n"/>
      <c r="AE300" s="34" t="n"/>
      <c r="AF300" s="34" t="n"/>
      <c r="AG300" s="34" t="n"/>
      <c r="AH300" s="34" t="n"/>
      <c r="AK300" s="34" t="n"/>
      <c r="AL300" s="34" t="n"/>
      <c r="AM300" s="39" t="n"/>
      <c r="AN300" s="34" t="n"/>
      <c r="AO300" s="34" t="n"/>
      <c r="AP300" s="34" t="n"/>
      <c r="AQ300" s="34" t="n"/>
      <c r="AR300" s="34" t="n"/>
      <c r="AS300" s="34" t="n"/>
      <c r="AU300" s="34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34" t="n"/>
      <c r="BL300" s="34" t="n"/>
      <c r="BM300" s="34" t="n"/>
      <c r="BN300" s="34" t="n"/>
      <c r="BO300" s="34" t="n"/>
      <c r="BP300" s="34" t="n"/>
      <c r="BQ300" s="34" t="n"/>
      <c r="BR300" s="82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3" t="n"/>
      <c r="CC300" s="34" t="n"/>
      <c r="CD300" s="34" t="n"/>
      <c r="CE300" s="82" t="n"/>
      <c r="CF300" s="34" t="n"/>
      <c r="CG300" s="34" t="n"/>
      <c r="CH300" s="34" t="n"/>
      <c r="CI300" s="34" t="n"/>
      <c r="CJ300" s="34" t="n"/>
    </row>
    <row r="301">
      <c r="A301" s="29" t="n"/>
      <c r="B301" s="29" t="n"/>
      <c r="C301" s="35" t="n"/>
      <c r="D301" s="36" t="n"/>
      <c r="E301" s="147" t="n"/>
      <c r="F301" s="30" t="n"/>
      <c r="G301" s="30" t="n"/>
      <c r="H301" s="30" t="n"/>
      <c r="I301" s="30" t="n"/>
      <c r="J301" s="119" t="n"/>
      <c r="K301" s="34" t="n"/>
      <c r="L301" s="119" t="n"/>
      <c r="M301" s="34" t="n"/>
      <c r="N301" s="119" t="n"/>
      <c r="O301" s="34" t="n"/>
      <c r="P301" s="34" t="n"/>
      <c r="Q301" s="117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  <c r="AA301" s="34" t="n"/>
      <c r="AB301" s="34" t="n"/>
      <c r="AC301" s="34" t="n"/>
      <c r="AD301" s="34" t="n"/>
      <c r="AE301" s="34" t="n"/>
      <c r="AF301" s="34" t="n"/>
      <c r="AG301" s="34" t="n"/>
      <c r="AH301" s="34" t="n"/>
      <c r="AK301" s="34" t="n"/>
      <c r="AL301" s="34" t="n"/>
      <c r="AM301" s="39" t="n"/>
      <c r="AN301" s="34" t="n"/>
      <c r="AO301" s="34" t="n"/>
      <c r="AP301" s="34" t="n"/>
      <c r="AQ301" s="34" t="n"/>
      <c r="AR301" s="34" t="n"/>
      <c r="AS301" s="34" t="n"/>
      <c r="AU301" s="34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34" t="n"/>
      <c r="BL301" s="34" t="n"/>
      <c r="BM301" s="34" t="n"/>
      <c r="BN301" s="34" t="n"/>
      <c r="BO301" s="34" t="n"/>
      <c r="BP301" s="34" t="n"/>
      <c r="BQ301" s="34" t="n"/>
      <c r="BR301" s="82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3" t="n"/>
      <c r="CC301" s="34" t="n"/>
      <c r="CD301" s="34" t="n"/>
      <c r="CE301" s="82" t="n"/>
      <c r="CF301" s="34" t="n"/>
      <c r="CG301" s="34" t="n"/>
      <c r="CH301" s="34" t="n"/>
      <c r="CI301" s="34" t="n"/>
      <c r="CJ301" s="34" t="n"/>
    </row>
    <row r="302">
      <c r="A302" s="29" t="n"/>
      <c r="B302" s="29" t="n"/>
      <c r="C302" s="35" t="n"/>
      <c r="D302" s="36" t="n"/>
      <c r="E302" s="147" t="n"/>
      <c r="F302" s="30" t="n"/>
      <c r="G302" s="30" t="n"/>
      <c r="H302" s="30" t="n"/>
      <c r="I302" s="30" t="n"/>
      <c r="J302" s="119" t="n"/>
      <c r="K302" s="34" t="n"/>
      <c r="L302" s="119" t="n"/>
      <c r="M302" s="34" t="n"/>
      <c r="N302" s="119" t="n"/>
      <c r="O302" s="34" t="n"/>
      <c r="P302" s="34" t="n"/>
      <c r="Q302" s="117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  <c r="AA302" s="34" t="n"/>
      <c r="AB302" s="34" t="n"/>
      <c r="AC302" s="34" t="n"/>
      <c r="AD302" s="34" t="n"/>
      <c r="AE302" s="34" t="n"/>
      <c r="AF302" s="34" t="n"/>
      <c r="AG302" s="34" t="n"/>
      <c r="AH302" s="34" t="n"/>
      <c r="AK302" s="34" t="n"/>
      <c r="AL302" s="34" t="n"/>
      <c r="AM302" s="39" t="n"/>
      <c r="AN302" s="34" t="n"/>
      <c r="AO302" s="34" t="n"/>
      <c r="AP302" s="34" t="n"/>
      <c r="AQ302" s="34" t="n"/>
      <c r="AR302" s="34" t="n"/>
      <c r="AS302" s="34" t="n"/>
      <c r="AU302" s="34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34" t="n"/>
      <c r="BL302" s="34" t="n"/>
      <c r="BM302" s="34" t="n"/>
      <c r="BN302" s="34" t="n"/>
      <c r="BO302" s="34" t="n"/>
      <c r="BP302" s="34" t="n"/>
      <c r="BQ302" s="34" t="n"/>
      <c r="BR302" s="82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3" t="n"/>
      <c r="CC302" s="34" t="n"/>
      <c r="CD302" s="34" t="n"/>
      <c r="CE302" s="82" t="n"/>
      <c r="CF302" s="34" t="n"/>
      <c r="CG302" s="34" t="n"/>
      <c r="CH302" s="34" t="n"/>
      <c r="CI302" s="34" t="n"/>
      <c r="CJ302" s="34" t="n"/>
    </row>
    <row r="303">
      <c r="A303" s="29" t="n"/>
      <c r="B303" s="29" t="n"/>
      <c r="C303" s="35" t="n"/>
      <c r="D303" s="36" t="n"/>
      <c r="E303" s="147" t="n"/>
      <c r="F303" s="30" t="n"/>
      <c r="G303" s="30" t="n"/>
      <c r="H303" s="30" t="n"/>
      <c r="I303" s="30" t="n"/>
      <c r="J303" s="119" t="n"/>
      <c r="K303" s="34" t="n"/>
      <c r="L303" s="119" t="n"/>
      <c r="M303" s="34" t="n"/>
      <c r="N303" s="119" t="n"/>
      <c r="O303" s="34" t="n"/>
      <c r="P303" s="34" t="n"/>
      <c r="Q303" s="117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  <c r="AA303" s="34" t="n"/>
      <c r="AB303" s="34" t="n"/>
      <c r="AC303" s="34" t="n"/>
      <c r="AD303" s="34" t="n"/>
      <c r="AE303" s="34" t="n"/>
      <c r="AF303" s="34" t="n"/>
      <c r="AG303" s="34" t="n"/>
      <c r="AH303" s="34" t="n"/>
      <c r="AK303" s="34" t="n"/>
      <c r="AL303" s="34" t="n"/>
      <c r="AM303" s="39" t="n"/>
      <c r="AN303" s="34" t="n"/>
      <c r="AO303" s="34" t="n"/>
      <c r="AP303" s="34" t="n"/>
      <c r="AQ303" s="34" t="n"/>
      <c r="AR303" s="34" t="n"/>
      <c r="AS303" s="34" t="n"/>
      <c r="AU303" s="34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34" t="n"/>
      <c r="BL303" s="34" t="n"/>
      <c r="BM303" s="34" t="n"/>
      <c r="BN303" s="34" t="n"/>
      <c r="BO303" s="34" t="n"/>
      <c r="BP303" s="34" t="n"/>
      <c r="BQ303" s="34" t="n"/>
      <c r="BR303" s="82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3" t="n"/>
      <c r="CC303" s="34" t="n"/>
      <c r="CD303" s="34" t="n"/>
      <c r="CE303" s="82" t="n"/>
      <c r="CF303" s="34" t="n"/>
      <c r="CG303" s="34" t="n"/>
      <c r="CH303" s="34" t="n"/>
      <c r="CI303" s="34" t="n"/>
      <c r="CJ303" s="34" t="n"/>
    </row>
    <row r="304">
      <c r="A304" s="29" t="n"/>
      <c r="B304" s="29" t="n"/>
      <c r="C304" s="35" t="n"/>
      <c r="D304" s="36" t="n"/>
      <c r="E304" s="147" t="n"/>
      <c r="F304" s="30" t="n"/>
      <c r="G304" s="30" t="n"/>
      <c r="H304" s="30" t="n"/>
      <c r="I304" s="30" t="n"/>
      <c r="J304" s="119" t="n"/>
      <c r="K304" s="34" t="n"/>
      <c r="L304" s="119" t="n"/>
      <c r="M304" s="34" t="n"/>
      <c r="N304" s="119" t="n"/>
      <c r="O304" s="34" t="n"/>
      <c r="P304" s="34" t="n"/>
      <c r="Q304" s="117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  <c r="AA304" s="34" t="n"/>
      <c r="AB304" s="34" t="n"/>
      <c r="AC304" s="34" t="n"/>
      <c r="AD304" s="34" t="n"/>
      <c r="AE304" s="34" t="n"/>
      <c r="AF304" s="34" t="n"/>
      <c r="AG304" s="34" t="n"/>
      <c r="AH304" s="34" t="n"/>
      <c r="AK304" s="34" t="n"/>
      <c r="AL304" s="34" t="n"/>
      <c r="AM304" s="39" t="n"/>
      <c r="AN304" s="34" t="n"/>
      <c r="AO304" s="34" t="n"/>
      <c r="AP304" s="34" t="n"/>
      <c r="AQ304" s="34" t="n"/>
      <c r="AR304" s="34" t="n"/>
      <c r="AS304" s="34" t="n"/>
      <c r="AU304" s="34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34" t="n"/>
      <c r="BL304" s="34" t="n"/>
      <c r="BM304" s="34" t="n"/>
      <c r="BN304" s="34" t="n"/>
      <c r="BO304" s="34" t="n"/>
      <c r="BP304" s="34" t="n"/>
      <c r="BQ304" s="34" t="n"/>
      <c r="BR304" s="82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3" t="n"/>
      <c r="CC304" s="34" t="n"/>
      <c r="CD304" s="34" t="n"/>
      <c r="CE304" s="82" t="n"/>
      <c r="CF304" s="34" t="n"/>
      <c r="CG304" s="34" t="n"/>
      <c r="CH304" s="34" t="n"/>
      <c r="CI304" s="34" t="n"/>
      <c r="CJ304" s="34" t="n"/>
    </row>
    <row r="305">
      <c r="A305" s="29" t="n"/>
      <c r="B305" s="29" t="n"/>
      <c r="C305" s="35" t="n"/>
      <c r="D305" s="36" t="n"/>
      <c r="E305" s="147" t="n"/>
      <c r="F305" s="30" t="n"/>
      <c r="G305" s="30" t="n"/>
      <c r="H305" s="30" t="n"/>
      <c r="I305" s="30" t="n"/>
      <c r="J305" s="119" t="n"/>
      <c r="K305" s="34" t="n"/>
      <c r="L305" s="119" t="n"/>
      <c r="M305" s="34" t="n"/>
      <c r="N305" s="119" t="n"/>
      <c r="O305" s="34" t="n"/>
      <c r="P305" s="34" t="n"/>
      <c r="Q305" s="117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  <c r="AA305" s="34" t="n"/>
      <c r="AB305" s="34" t="n"/>
      <c r="AC305" s="34" t="n"/>
      <c r="AD305" s="34" t="n"/>
      <c r="AE305" s="34" t="n"/>
      <c r="AF305" s="34" t="n"/>
      <c r="AG305" s="34" t="n"/>
      <c r="AH305" s="34" t="n"/>
      <c r="AK305" s="34" t="n"/>
      <c r="AL305" s="34" t="n"/>
      <c r="AM305" s="39" t="n"/>
      <c r="AN305" s="34" t="n"/>
      <c r="AO305" s="34" t="n"/>
      <c r="AP305" s="34" t="n"/>
      <c r="AQ305" s="34" t="n"/>
      <c r="AR305" s="34" t="n"/>
      <c r="AS305" s="34" t="n"/>
      <c r="AU305" s="34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34" t="n"/>
      <c r="BL305" s="34" t="n"/>
      <c r="BM305" s="34" t="n"/>
      <c r="BN305" s="34" t="n"/>
      <c r="BO305" s="34" t="n"/>
      <c r="BP305" s="34" t="n"/>
      <c r="BQ305" s="34" t="n"/>
      <c r="BR305" s="82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3" t="n"/>
      <c r="CC305" s="34" t="n"/>
      <c r="CD305" s="34" t="n"/>
      <c r="CE305" s="82" t="n"/>
      <c r="CF305" s="34" t="n"/>
      <c r="CG305" s="34" t="n"/>
      <c r="CH305" s="34" t="n"/>
      <c r="CI305" s="34" t="n"/>
      <c r="CJ305" s="34" t="n"/>
    </row>
    <row r="306">
      <c r="A306" s="29" t="n"/>
      <c r="B306" s="29" t="n"/>
      <c r="C306" s="35" t="n"/>
      <c r="D306" s="36" t="n"/>
      <c r="E306" s="147" t="n"/>
      <c r="F306" s="30" t="n"/>
      <c r="G306" s="30" t="n"/>
      <c r="H306" s="30" t="n"/>
      <c r="I306" s="30" t="n"/>
      <c r="J306" s="119" t="n"/>
      <c r="K306" s="34" t="n"/>
      <c r="L306" s="119" t="n"/>
      <c r="M306" s="34" t="n"/>
      <c r="N306" s="119" t="n"/>
      <c r="O306" s="34" t="n"/>
      <c r="P306" s="34" t="n"/>
      <c r="Q306" s="117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  <c r="AA306" s="34" t="n"/>
      <c r="AB306" s="34" t="n"/>
      <c r="AC306" s="34" t="n"/>
      <c r="AD306" s="34" t="n"/>
      <c r="AE306" s="34" t="n"/>
      <c r="AF306" s="34" t="n"/>
      <c r="AG306" s="34" t="n"/>
      <c r="AH306" s="34" t="n"/>
      <c r="AK306" s="34" t="n"/>
      <c r="AL306" s="34" t="n"/>
      <c r="AM306" s="39" t="n"/>
      <c r="AN306" s="34" t="n"/>
      <c r="AO306" s="34" t="n"/>
      <c r="AP306" s="34" t="n"/>
      <c r="AQ306" s="34" t="n"/>
      <c r="AR306" s="34" t="n"/>
      <c r="AS306" s="34" t="n"/>
      <c r="AU306" s="34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34" t="n"/>
      <c r="BL306" s="34" t="n"/>
      <c r="BM306" s="34" t="n"/>
      <c r="BN306" s="34" t="n"/>
      <c r="BO306" s="34" t="n"/>
      <c r="BP306" s="34" t="n"/>
      <c r="BQ306" s="34" t="n"/>
      <c r="BR306" s="82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3" t="n"/>
      <c r="CC306" s="34" t="n"/>
      <c r="CD306" s="34" t="n"/>
      <c r="CE306" s="82" t="n"/>
      <c r="CF306" s="34" t="n"/>
      <c r="CG306" s="34" t="n"/>
      <c r="CH306" s="34" t="n"/>
      <c r="CI306" s="34" t="n"/>
      <c r="CJ306" s="34" t="n"/>
    </row>
    <row r="307">
      <c r="A307" s="29" t="n"/>
      <c r="B307" s="29" t="n"/>
      <c r="C307" s="35" t="n"/>
      <c r="D307" s="36" t="n"/>
      <c r="E307" s="147" t="n"/>
      <c r="F307" s="30" t="n"/>
      <c r="G307" s="30" t="n"/>
      <c r="H307" s="30" t="n"/>
      <c r="I307" s="30" t="n"/>
      <c r="J307" s="119" t="n"/>
      <c r="K307" s="34" t="n"/>
      <c r="L307" s="119" t="n"/>
      <c r="M307" s="34" t="n"/>
      <c r="N307" s="119" t="n"/>
      <c r="O307" s="34" t="n"/>
      <c r="P307" s="34" t="n"/>
      <c r="Q307" s="117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  <c r="AA307" s="34" t="n"/>
      <c r="AB307" s="34" t="n"/>
      <c r="AC307" s="34" t="n"/>
      <c r="AD307" s="34" t="n"/>
      <c r="AE307" s="34" t="n"/>
      <c r="AF307" s="34" t="n"/>
      <c r="AG307" s="34" t="n"/>
      <c r="AH307" s="34" t="n"/>
      <c r="AK307" s="34" t="n"/>
      <c r="AL307" s="34" t="n"/>
      <c r="AM307" s="39" t="n"/>
      <c r="AN307" s="34" t="n"/>
      <c r="AO307" s="34" t="n"/>
      <c r="AP307" s="34" t="n"/>
      <c r="AQ307" s="34" t="n"/>
      <c r="AR307" s="34" t="n"/>
      <c r="AS307" s="34" t="n"/>
      <c r="AU307" s="34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34" t="n"/>
      <c r="BL307" s="34" t="n"/>
      <c r="BM307" s="34" t="n"/>
      <c r="BN307" s="34" t="n"/>
      <c r="BO307" s="34" t="n"/>
      <c r="BP307" s="34" t="n"/>
      <c r="BQ307" s="34" t="n"/>
      <c r="BR307" s="82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3" t="n"/>
      <c r="CC307" s="34" t="n"/>
      <c r="CD307" s="34" t="n"/>
      <c r="CE307" s="82" t="n"/>
      <c r="CF307" s="34" t="n"/>
      <c r="CG307" s="34" t="n"/>
      <c r="CH307" s="34" t="n"/>
      <c r="CI307" s="34" t="n"/>
      <c r="CJ307" s="34" t="n"/>
    </row>
    <row r="308">
      <c r="A308" s="29" t="n"/>
      <c r="B308" s="29" t="n"/>
      <c r="C308" s="35" t="n"/>
      <c r="D308" s="36" t="n"/>
      <c r="E308" s="147" t="n"/>
      <c r="F308" s="30" t="n"/>
      <c r="G308" s="30" t="n"/>
      <c r="H308" s="30" t="n"/>
      <c r="I308" s="30" t="n"/>
      <c r="J308" s="119" t="n"/>
      <c r="K308" s="34" t="n"/>
      <c r="L308" s="119" t="n"/>
      <c r="M308" s="34" t="n"/>
      <c r="N308" s="119" t="n"/>
      <c r="O308" s="34" t="n"/>
      <c r="P308" s="34" t="n"/>
      <c r="Q308" s="117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  <c r="AA308" s="34" t="n"/>
      <c r="AB308" s="34" t="n"/>
      <c r="AC308" s="34" t="n"/>
      <c r="AD308" s="34" t="n"/>
      <c r="AE308" s="34" t="n"/>
      <c r="AF308" s="34" t="n"/>
      <c r="AG308" s="34" t="n"/>
      <c r="AH308" s="34" t="n"/>
      <c r="AK308" s="34" t="n"/>
      <c r="AL308" s="34" t="n"/>
      <c r="AM308" s="39" t="n"/>
      <c r="AN308" s="34" t="n"/>
      <c r="AO308" s="34" t="n"/>
      <c r="AP308" s="34" t="n"/>
      <c r="AQ308" s="34" t="n"/>
      <c r="AR308" s="34" t="n"/>
      <c r="AS308" s="34" t="n"/>
      <c r="AU308" s="34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34" t="n"/>
      <c r="BL308" s="34" t="n"/>
      <c r="BM308" s="34" t="n"/>
      <c r="BN308" s="34" t="n"/>
      <c r="BO308" s="34" t="n"/>
      <c r="BP308" s="34" t="n"/>
      <c r="BQ308" s="34" t="n"/>
      <c r="BR308" s="82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3" t="n"/>
      <c r="CC308" s="34" t="n"/>
      <c r="CD308" s="34" t="n"/>
      <c r="CE308" s="82" t="n"/>
      <c r="CF308" s="34" t="n"/>
      <c r="CG308" s="34" t="n"/>
      <c r="CH308" s="34" t="n"/>
      <c r="CI308" s="34" t="n"/>
      <c r="CJ308" s="34" t="n"/>
    </row>
    <row r="309">
      <c r="A309" s="29" t="n"/>
      <c r="B309" s="29" t="n"/>
      <c r="C309" s="35" t="n"/>
      <c r="D309" s="36" t="n"/>
      <c r="E309" s="147" t="n"/>
      <c r="F309" s="30" t="n"/>
      <c r="G309" s="30" t="n"/>
      <c r="H309" s="30" t="n"/>
      <c r="I309" s="30" t="n"/>
      <c r="J309" s="119" t="n"/>
      <c r="K309" s="34" t="n"/>
      <c r="L309" s="119" t="n"/>
      <c r="M309" s="34" t="n"/>
      <c r="N309" s="119" t="n"/>
      <c r="O309" s="34" t="n"/>
      <c r="P309" s="34" t="n"/>
      <c r="Q309" s="117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  <c r="AA309" s="34" t="n"/>
      <c r="AB309" s="34" t="n"/>
      <c r="AC309" s="34" t="n"/>
      <c r="AD309" s="34" t="n"/>
      <c r="AE309" s="34" t="n"/>
      <c r="AF309" s="34" t="n"/>
      <c r="AG309" s="34" t="n"/>
      <c r="AH309" s="34" t="n"/>
      <c r="AK309" s="34" t="n"/>
      <c r="AL309" s="34" t="n"/>
      <c r="AM309" s="39" t="n"/>
      <c r="AN309" s="34" t="n"/>
      <c r="AO309" s="34" t="n"/>
      <c r="AP309" s="34" t="n"/>
      <c r="AQ309" s="34" t="n"/>
      <c r="AR309" s="34" t="n"/>
      <c r="AS309" s="34" t="n"/>
      <c r="AU309" s="34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34" t="n"/>
      <c r="BL309" s="34" t="n"/>
      <c r="BM309" s="34" t="n"/>
      <c r="BN309" s="34" t="n"/>
      <c r="BO309" s="34" t="n"/>
      <c r="BP309" s="34" t="n"/>
      <c r="BQ309" s="34" t="n"/>
      <c r="BR309" s="82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3" t="n"/>
      <c r="CC309" s="34" t="n"/>
      <c r="CD309" s="34" t="n"/>
      <c r="CE309" s="82" t="n"/>
      <c r="CF309" s="34" t="n"/>
      <c r="CG309" s="34" t="n"/>
      <c r="CH309" s="34" t="n"/>
      <c r="CI309" s="34" t="n"/>
      <c r="CJ309" s="34" t="n"/>
    </row>
    <row r="310">
      <c r="A310" s="29" t="n"/>
      <c r="B310" s="29" t="n"/>
      <c r="C310" s="35" t="n"/>
      <c r="D310" s="36" t="n"/>
      <c r="E310" s="147" t="n"/>
      <c r="F310" s="30" t="n"/>
      <c r="G310" s="30" t="n"/>
      <c r="H310" s="30" t="n"/>
      <c r="I310" s="30" t="n"/>
      <c r="J310" s="119" t="n"/>
      <c r="K310" s="34" t="n"/>
      <c r="L310" s="119" t="n"/>
      <c r="M310" s="34" t="n"/>
      <c r="N310" s="119" t="n"/>
      <c r="O310" s="34" t="n"/>
      <c r="P310" s="34" t="n"/>
      <c r="Q310" s="117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  <c r="AA310" s="34" t="n"/>
      <c r="AB310" s="34" t="n"/>
      <c r="AC310" s="34" t="n"/>
      <c r="AD310" s="34" t="n"/>
      <c r="AE310" s="34" t="n"/>
      <c r="AF310" s="34" t="n"/>
      <c r="AG310" s="34" t="n"/>
      <c r="AH310" s="34" t="n"/>
      <c r="AK310" s="34" t="n"/>
      <c r="AL310" s="34" t="n"/>
      <c r="AM310" s="39" t="n"/>
      <c r="AN310" s="34" t="n"/>
      <c r="AO310" s="34" t="n"/>
      <c r="AP310" s="34" t="n"/>
      <c r="AQ310" s="34" t="n"/>
      <c r="AR310" s="34" t="n"/>
      <c r="AS310" s="34" t="n"/>
      <c r="AU310" s="34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34" t="n"/>
      <c r="BL310" s="34" t="n"/>
      <c r="BM310" s="34" t="n"/>
      <c r="BN310" s="34" t="n"/>
      <c r="BO310" s="34" t="n"/>
      <c r="BP310" s="34" t="n"/>
      <c r="BQ310" s="34" t="n"/>
      <c r="BR310" s="82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3" t="n"/>
      <c r="CC310" s="34" t="n"/>
      <c r="CD310" s="34" t="n"/>
      <c r="CE310" s="82" t="n"/>
      <c r="CF310" s="34" t="n"/>
      <c r="CG310" s="34" t="n"/>
      <c r="CH310" s="34" t="n"/>
      <c r="CI310" s="34" t="n"/>
      <c r="CJ310" s="34" t="n"/>
    </row>
    <row r="311">
      <c r="A311" s="29" t="n"/>
      <c r="B311" s="29" t="n"/>
      <c r="C311" s="35" t="n"/>
      <c r="D311" s="36" t="n"/>
      <c r="E311" s="147" t="n"/>
      <c r="F311" s="30" t="n"/>
      <c r="G311" s="30" t="n"/>
      <c r="H311" s="30" t="n"/>
      <c r="I311" s="30" t="n"/>
      <c r="J311" s="119" t="n"/>
      <c r="K311" s="34" t="n"/>
      <c r="L311" s="119" t="n"/>
      <c r="M311" s="34" t="n"/>
      <c r="N311" s="119" t="n"/>
      <c r="O311" s="34" t="n"/>
      <c r="P311" s="34" t="n"/>
      <c r="Q311" s="117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  <c r="AA311" s="34" t="n"/>
      <c r="AB311" s="34" t="n"/>
      <c r="AC311" s="34" t="n"/>
      <c r="AD311" s="34" t="n"/>
      <c r="AE311" s="34" t="n"/>
      <c r="AF311" s="34" t="n"/>
      <c r="AG311" s="34" t="n"/>
      <c r="AH311" s="34" t="n"/>
      <c r="AK311" s="34" t="n"/>
      <c r="AL311" s="34" t="n"/>
      <c r="AM311" s="39" t="n"/>
      <c r="AN311" s="34" t="n"/>
      <c r="AO311" s="34" t="n"/>
      <c r="AP311" s="34" t="n"/>
      <c r="AQ311" s="34" t="n"/>
      <c r="AR311" s="34" t="n"/>
      <c r="AS311" s="34" t="n"/>
      <c r="AU311" s="34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34" t="n"/>
      <c r="BL311" s="34" t="n"/>
      <c r="BM311" s="34" t="n"/>
      <c r="BN311" s="34" t="n"/>
      <c r="BO311" s="34" t="n"/>
      <c r="BP311" s="34" t="n"/>
      <c r="BQ311" s="34" t="n"/>
      <c r="BR311" s="82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3" t="n"/>
      <c r="CC311" s="34" t="n"/>
      <c r="CD311" s="34" t="n"/>
      <c r="CE311" s="82" t="n"/>
      <c r="CF311" s="34" t="n"/>
      <c r="CG311" s="34" t="n"/>
      <c r="CH311" s="34" t="n"/>
      <c r="CI311" s="34" t="n"/>
      <c r="CJ311" s="34" t="n"/>
    </row>
    <row r="312">
      <c r="A312" s="29" t="n"/>
      <c r="B312" s="29" t="n"/>
      <c r="C312" s="35" t="n"/>
      <c r="D312" s="36" t="n"/>
      <c r="E312" s="147" t="n"/>
      <c r="F312" s="30" t="n"/>
      <c r="G312" s="30" t="n"/>
      <c r="H312" s="30" t="n"/>
      <c r="I312" s="30" t="n"/>
      <c r="J312" s="119" t="n"/>
      <c r="K312" s="34" t="n"/>
      <c r="L312" s="119" t="n"/>
      <c r="M312" s="34" t="n"/>
      <c r="N312" s="119" t="n"/>
      <c r="O312" s="34" t="n"/>
      <c r="P312" s="34" t="n"/>
      <c r="Q312" s="117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  <c r="AA312" s="34" t="n"/>
      <c r="AB312" s="34" t="n"/>
      <c r="AC312" s="34" t="n"/>
      <c r="AD312" s="34" t="n"/>
      <c r="AE312" s="34" t="n"/>
      <c r="AF312" s="34" t="n"/>
      <c r="AG312" s="34" t="n"/>
      <c r="AH312" s="34" t="n"/>
      <c r="AK312" s="34" t="n"/>
      <c r="AL312" s="34" t="n"/>
      <c r="AM312" s="39" t="n"/>
      <c r="AN312" s="34" t="n"/>
      <c r="AO312" s="34" t="n"/>
      <c r="AP312" s="34" t="n"/>
      <c r="AQ312" s="34" t="n"/>
      <c r="AR312" s="34" t="n"/>
      <c r="AS312" s="34" t="n"/>
      <c r="AU312" s="34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34" t="n"/>
      <c r="BL312" s="34" t="n"/>
      <c r="BM312" s="34" t="n"/>
      <c r="BN312" s="34" t="n"/>
      <c r="BO312" s="34" t="n"/>
      <c r="BP312" s="34" t="n"/>
      <c r="BQ312" s="34" t="n"/>
      <c r="BR312" s="82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3" t="n"/>
      <c r="CC312" s="34" t="n"/>
      <c r="CD312" s="34" t="n"/>
      <c r="CE312" s="82" t="n"/>
      <c r="CF312" s="34" t="n"/>
      <c r="CG312" s="34" t="n"/>
      <c r="CH312" s="34" t="n"/>
      <c r="CI312" s="34" t="n"/>
      <c r="CJ312" s="34" t="n"/>
    </row>
    <row r="313">
      <c r="A313" s="29" t="n"/>
      <c r="B313" s="29" t="n"/>
      <c r="C313" s="35" t="n"/>
      <c r="D313" s="36" t="n"/>
      <c r="E313" s="147" t="n"/>
      <c r="F313" s="30" t="n"/>
      <c r="G313" s="30" t="n"/>
      <c r="H313" s="30" t="n"/>
      <c r="I313" s="30" t="n"/>
      <c r="J313" s="119" t="n"/>
      <c r="K313" s="34" t="n"/>
      <c r="L313" s="119" t="n"/>
      <c r="M313" s="34" t="n"/>
      <c r="N313" s="119" t="n"/>
      <c r="O313" s="34" t="n"/>
      <c r="P313" s="34" t="n"/>
      <c r="Q313" s="117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  <c r="AA313" s="34" t="n"/>
      <c r="AB313" s="34" t="n"/>
      <c r="AC313" s="34" t="n"/>
      <c r="AD313" s="34" t="n"/>
      <c r="AE313" s="34" t="n"/>
      <c r="AF313" s="34" t="n"/>
      <c r="AG313" s="34" t="n"/>
      <c r="AH313" s="34" t="n"/>
      <c r="AK313" s="34" t="n"/>
      <c r="AL313" s="34" t="n"/>
      <c r="AM313" s="39" t="n"/>
      <c r="AN313" s="34" t="n"/>
      <c r="AO313" s="34" t="n"/>
      <c r="AP313" s="34" t="n"/>
      <c r="AQ313" s="34" t="n"/>
      <c r="AR313" s="34" t="n"/>
      <c r="AS313" s="34" t="n"/>
      <c r="AU313" s="34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34" t="n"/>
      <c r="BL313" s="34" t="n"/>
      <c r="BM313" s="34" t="n"/>
      <c r="BN313" s="34" t="n"/>
      <c r="BO313" s="34" t="n"/>
      <c r="BP313" s="34" t="n"/>
      <c r="BQ313" s="34" t="n"/>
      <c r="BR313" s="82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3" t="n"/>
      <c r="CC313" s="34" t="n"/>
      <c r="CD313" s="34" t="n"/>
      <c r="CE313" s="82" t="n"/>
      <c r="CF313" s="34" t="n"/>
      <c r="CG313" s="34" t="n"/>
      <c r="CH313" s="34" t="n"/>
      <c r="CI313" s="34" t="n"/>
      <c r="CJ313" s="34" t="n"/>
    </row>
    <row r="314">
      <c r="A314" s="29" t="n"/>
      <c r="B314" s="29" t="n"/>
      <c r="C314" s="35" t="n"/>
      <c r="D314" s="36" t="n"/>
      <c r="E314" s="147" t="n"/>
      <c r="F314" s="30" t="n"/>
      <c r="G314" s="30" t="n"/>
      <c r="H314" s="30" t="n"/>
      <c r="I314" s="30" t="n"/>
      <c r="J314" s="119" t="n"/>
      <c r="K314" s="34" t="n"/>
      <c r="L314" s="119" t="n"/>
      <c r="M314" s="34" t="n"/>
      <c r="N314" s="119" t="n"/>
      <c r="O314" s="34" t="n"/>
      <c r="P314" s="34" t="n"/>
      <c r="Q314" s="117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  <c r="AA314" s="34" t="n"/>
      <c r="AB314" s="34" t="n"/>
      <c r="AC314" s="34" t="n"/>
      <c r="AD314" s="34" t="n"/>
      <c r="AE314" s="34" t="n"/>
      <c r="AF314" s="34" t="n"/>
      <c r="AG314" s="34" t="n"/>
      <c r="AH314" s="34" t="n"/>
      <c r="AK314" s="34" t="n"/>
      <c r="AL314" s="34" t="n"/>
      <c r="AM314" s="39" t="n"/>
      <c r="AN314" s="34" t="n"/>
      <c r="AO314" s="34" t="n"/>
      <c r="AP314" s="34" t="n"/>
      <c r="AQ314" s="34" t="n"/>
      <c r="AR314" s="34" t="n"/>
      <c r="AS314" s="34" t="n"/>
      <c r="AU314" s="34" t="n"/>
      <c r="AV314" s="34" t="n"/>
      <c r="AW314" s="34" t="n"/>
      <c r="AX314" s="34" t="n"/>
      <c r="AY314" s="34" t="n"/>
      <c r="AZ314" s="34" t="n"/>
      <c r="BA314" s="34" t="n"/>
      <c r="BB314" s="34" t="n"/>
      <c r="BC314" s="34" t="n"/>
      <c r="BD314" s="34" t="n"/>
      <c r="BE314" s="34" t="n"/>
      <c r="BF314" s="34" t="n"/>
      <c r="BG314" s="34" t="n"/>
      <c r="BH314" s="34" t="n"/>
      <c r="BI314" s="34" t="n"/>
      <c r="BJ314" s="34" t="n"/>
      <c r="BK314" s="34" t="n"/>
      <c r="BL314" s="34" t="n"/>
      <c r="BM314" s="34" t="n"/>
      <c r="BN314" s="34" t="n"/>
      <c r="BO314" s="34" t="n"/>
      <c r="BP314" s="34" t="n"/>
      <c r="BQ314" s="34" t="n"/>
      <c r="BR314" s="82" t="n"/>
      <c r="BS314" s="34" t="n"/>
      <c r="BT314" s="34" t="n"/>
      <c r="BU314" s="34" t="n"/>
      <c r="BV314" s="34" t="n"/>
      <c r="BW314" s="34" t="n"/>
      <c r="BX314" s="34" t="n"/>
      <c r="BY314" s="34" t="n"/>
      <c r="BZ314" s="34" t="n"/>
      <c r="CA314" s="34" t="n"/>
      <c r="CB314" s="33" t="n"/>
      <c r="CC314" s="34" t="n"/>
      <c r="CD314" s="34" t="n"/>
      <c r="CE314" s="82" t="n"/>
      <c r="CF314" s="34" t="n"/>
      <c r="CG314" s="34" t="n"/>
      <c r="CH314" s="34" t="n"/>
      <c r="CI314" s="34" t="n"/>
      <c r="CJ314" s="34" t="n"/>
    </row>
    <row r="315">
      <c r="A315" s="29" t="n"/>
      <c r="B315" s="29" t="n"/>
      <c r="C315" s="35" t="n"/>
      <c r="D315" s="36" t="n"/>
      <c r="E315" s="147" t="n"/>
      <c r="F315" s="30" t="n"/>
      <c r="G315" s="30" t="n"/>
      <c r="H315" s="30" t="n"/>
      <c r="I315" s="30" t="n"/>
      <c r="J315" s="119" t="n"/>
      <c r="K315" s="34" t="n"/>
      <c r="L315" s="119" t="n"/>
      <c r="M315" s="34" t="n"/>
      <c r="N315" s="119" t="n"/>
      <c r="O315" s="34" t="n"/>
      <c r="P315" s="34" t="n"/>
      <c r="Q315" s="117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  <c r="AA315" s="34" t="n"/>
      <c r="AB315" s="34" t="n"/>
      <c r="AC315" s="34" t="n"/>
      <c r="AD315" s="34" t="n"/>
      <c r="AE315" s="34" t="n"/>
      <c r="AF315" s="34" t="n"/>
      <c r="AG315" s="34" t="n"/>
      <c r="AH315" s="34" t="n"/>
      <c r="AK315" s="34" t="n"/>
      <c r="AL315" s="34" t="n"/>
      <c r="AM315" s="39" t="n"/>
      <c r="AN315" s="34" t="n"/>
      <c r="AO315" s="34" t="n"/>
      <c r="AP315" s="34" t="n"/>
      <c r="AQ315" s="34" t="n"/>
      <c r="AR315" s="34" t="n"/>
      <c r="AS315" s="34" t="n"/>
      <c r="AU315" s="34" t="n"/>
      <c r="AV315" s="34" t="n"/>
      <c r="AW315" s="34" t="n"/>
      <c r="AX315" s="34" t="n"/>
      <c r="AY315" s="34" t="n"/>
      <c r="AZ315" s="34" t="n"/>
      <c r="BA315" s="34" t="n"/>
      <c r="BB315" s="34" t="n"/>
      <c r="BC315" s="34" t="n"/>
      <c r="BD315" s="34" t="n"/>
      <c r="BE315" s="34" t="n"/>
      <c r="BF315" s="34" t="n"/>
      <c r="BG315" s="34" t="n"/>
      <c r="BH315" s="34" t="n"/>
      <c r="BI315" s="34" t="n"/>
      <c r="BJ315" s="34" t="n"/>
      <c r="BK315" s="34" t="n"/>
      <c r="BL315" s="34" t="n"/>
      <c r="BM315" s="34" t="n"/>
      <c r="BN315" s="34" t="n"/>
      <c r="BO315" s="34" t="n"/>
      <c r="BP315" s="34" t="n"/>
      <c r="BQ315" s="34" t="n"/>
      <c r="BR315" s="82" t="n"/>
      <c r="BS315" s="34" t="n"/>
      <c r="BT315" s="34" t="n"/>
      <c r="BU315" s="34" t="n"/>
      <c r="BV315" s="34" t="n"/>
      <c r="BW315" s="34" t="n"/>
      <c r="BX315" s="34" t="n"/>
      <c r="BY315" s="34" t="n"/>
      <c r="BZ315" s="34" t="n"/>
      <c r="CA315" s="34" t="n"/>
      <c r="CB315" s="33" t="n"/>
      <c r="CC315" s="34" t="n"/>
      <c r="CD315" s="34" t="n"/>
      <c r="CE315" s="82" t="n"/>
      <c r="CF315" s="34" t="n"/>
      <c r="CG315" s="34" t="n"/>
      <c r="CH315" s="34" t="n"/>
      <c r="CI315" s="34" t="n"/>
      <c r="CJ315" s="34" t="n"/>
    </row>
    <row r="316">
      <c r="A316" s="29" t="n"/>
      <c r="B316" s="29" t="n"/>
      <c r="C316" s="35" t="n"/>
      <c r="D316" s="36" t="n"/>
      <c r="E316" s="147" t="n"/>
      <c r="F316" s="30" t="n"/>
      <c r="G316" s="30" t="n"/>
      <c r="H316" s="30" t="n"/>
      <c r="I316" s="30" t="n"/>
      <c r="J316" s="119" t="n"/>
      <c r="K316" s="34" t="n"/>
      <c r="L316" s="119" t="n"/>
      <c r="M316" s="34" t="n"/>
      <c r="N316" s="119" t="n"/>
      <c r="O316" s="34" t="n"/>
      <c r="P316" s="34" t="n"/>
      <c r="Q316" s="117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  <c r="AA316" s="34" t="n"/>
      <c r="AB316" s="34" t="n"/>
      <c r="AC316" s="34" t="n"/>
      <c r="AD316" s="34" t="n"/>
      <c r="AE316" s="34" t="n"/>
      <c r="AF316" s="34" t="n"/>
      <c r="AG316" s="34" t="n"/>
      <c r="AH316" s="34" t="n"/>
      <c r="AK316" s="34" t="n"/>
      <c r="AL316" s="34" t="n"/>
      <c r="AM316" s="39" t="n"/>
      <c r="AN316" s="34" t="n"/>
      <c r="AO316" s="34" t="n"/>
      <c r="AP316" s="34" t="n"/>
      <c r="AQ316" s="34" t="n"/>
      <c r="AR316" s="34" t="n"/>
      <c r="AS316" s="34" t="n"/>
      <c r="AU316" s="34" t="n"/>
      <c r="AV316" s="34" t="n"/>
      <c r="AW316" s="34" t="n"/>
      <c r="AX316" s="34" t="n"/>
      <c r="AY316" s="34" t="n"/>
      <c r="AZ316" s="34" t="n"/>
      <c r="BA316" s="34" t="n"/>
      <c r="BB316" s="34" t="n"/>
      <c r="BC316" s="34" t="n"/>
      <c r="BD316" s="34" t="n"/>
      <c r="BE316" s="34" t="n"/>
      <c r="BF316" s="34" t="n"/>
      <c r="BG316" s="34" t="n"/>
      <c r="BH316" s="34" t="n"/>
      <c r="BI316" s="34" t="n"/>
      <c r="BJ316" s="34" t="n"/>
      <c r="BK316" s="34" t="n"/>
      <c r="BL316" s="34" t="n"/>
      <c r="BM316" s="34" t="n"/>
      <c r="BN316" s="34" t="n"/>
      <c r="BO316" s="34" t="n"/>
      <c r="BP316" s="34" t="n"/>
      <c r="BQ316" s="34" t="n"/>
      <c r="BR316" s="82" t="n"/>
      <c r="BS316" s="34" t="n"/>
      <c r="BT316" s="34" t="n"/>
      <c r="BU316" s="34" t="n"/>
      <c r="BV316" s="34" t="n"/>
      <c r="BW316" s="34" t="n"/>
      <c r="BX316" s="34" t="n"/>
      <c r="BY316" s="34" t="n"/>
      <c r="BZ316" s="34" t="n"/>
      <c r="CA316" s="34" t="n"/>
      <c r="CB316" s="33" t="n"/>
      <c r="CC316" s="34" t="n"/>
      <c r="CD316" s="34" t="n"/>
      <c r="CE316" s="82" t="n"/>
      <c r="CF316" s="34" t="n"/>
      <c r="CG316" s="34" t="n"/>
      <c r="CH316" s="34" t="n"/>
      <c r="CI316" s="34" t="n"/>
      <c r="CJ316" s="34" t="n"/>
    </row>
    <row r="317">
      <c r="A317" s="29" t="n"/>
      <c r="B317" s="29" t="n"/>
      <c r="C317" s="35" t="n"/>
      <c r="D317" s="36" t="n"/>
      <c r="E317" s="147" t="n"/>
      <c r="F317" s="30" t="n"/>
      <c r="G317" s="30" t="n"/>
      <c r="H317" s="30" t="n"/>
      <c r="I317" s="30" t="n"/>
      <c r="J317" s="119" t="n"/>
      <c r="K317" s="34" t="n"/>
      <c r="L317" s="119" t="n"/>
      <c r="M317" s="34" t="n"/>
      <c r="N317" s="119" t="n"/>
      <c r="O317" s="34" t="n"/>
      <c r="P317" s="34" t="n"/>
      <c r="Q317" s="117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  <c r="AA317" s="34" t="n"/>
      <c r="AB317" s="34" t="n"/>
      <c r="AC317" s="34" t="n"/>
      <c r="AD317" s="34" t="n"/>
      <c r="AE317" s="34" t="n"/>
      <c r="AF317" s="34" t="n"/>
      <c r="AG317" s="34" t="n"/>
      <c r="AH317" s="34" t="n"/>
      <c r="AK317" s="34" t="n"/>
      <c r="AL317" s="34" t="n"/>
      <c r="AM317" s="39" t="n"/>
      <c r="AN317" s="34" t="n"/>
      <c r="AO317" s="34" t="n"/>
      <c r="AP317" s="34" t="n"/>
      <c r="AQ317" s="34" t="n"/>
      <c r="AR317" s="34" t="n"/>
      <c r="AS317" s="34" t="n"/>
      <c r="AU317" s="34" t="n"/>
      <c r="AV317" s="34" t="n"/>
      <c r="AW317" s="34" t="n"/>
      <c r="AX317" s="34" t="n"/>
      <c r="AY317" s="34" t="n"/>
      <c r="AZ317" s="34" t="n"/>
      <c r="BA317" s="34" t="n"/>
      <c r="BB317" s="34" t="n"/>
      <c r="BC317" s="34" t="n"/>
      <c r="BD317" s="34" t="n"/>
      <c r="BE317" s="34" t="n"/>
      <c r="BF317" s="34" t="n"/>
      <c r="BG317" s="34" t="n"/>
      <c r="BH317" s="34" t="n"/>
      <c r="BI317" s="34" t="n"/>
      <c r="BJ317" s="34" t="n"/>
      <c r="BK317" s="34" t="n"/>
      <c r="BL317" s="34" t="n"/>
      <c r="BM317" s="34" t="n"/>
      <c r="BN317" s="34" t="n"/>
      <c r="BO317" s="34" t="n"/>
      <c r="BP317" s="34" t="n"/>
      <c r="BQ317" s="34" t="n"/>
      <c r="BR317" s="82" t="n"/>
      <c r="BS317" s="34" t="n"/>
      <c r="BT317" s="34" t="n"/>
      <c r="BU317" s="34" t="n"/>
      <c r="BV317" s="34" t="n"/>
      <c r="BW317" s="34" t="n"/>
      <c r="BX317" s="34" t="n"/>
      <c r="BY317" s="34" t="n"/>
      <c r="BZ317" s="34" t="n"/>
      <c r="CA317" s="34" t="n"/>
      <c r="CB317" s="33" t="n"/>
      <c r="CC317" s="34" t="n"/>
      <c r="CD317" s="34" t="n"/>
      <c r="CE317" s="82" t="n"/>
      <c r="CF317" s="34" t="n"/>
      <c r="CG317" s="34" t="n"/>
      <c r="CH317" s="34" t="n"/>
      <c r="CI317" s="34" t="n"/>
      <c r="CJ317" s="34" t="n"/>
    </row>
    <row r="318">
      <c r="A318" s="29" t="n"/>
      <c r="B318" s="29" t="n"/>
      <c r="C318" s="35" t="n"/>
      <c r="D318" s="36" t="n"/>
      <c r="E318" s="147" t="n"/>
      <c r="F318" s="30" t="n"/>
      <c r="G318" s="30" t="n"/>
      <c r="H318" s="30" t="n"/>
      <c r="I318" s="30" t="n"/>
      <c r="J318" s="119" t="n"/>
      <c r="K318" s="34" t="n"/>
      <c r="L318" s="119" t="n"/>
      <c r="M318" s="34" t="n"/>
      <c r="N318" s="119" t="n"/>
      <c r="O318" s="34" t="n"/>
      <c r="P318" s="34" t="n"/>
      <c r="Q318" s="117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  <c r="AA318" s="34" t="n"/>
      <c r="AB318" s="34" t="n"/>
      <c r="AC318" s="34" t="n"/>
      <c r="AD318" s="34" t="n"/>
      <c r="AE318" s="34" t="n"/>
      <c r="AF318" s="34" t="n"/>
      <c r="AG318" s="34" t="n"/>
      <c r="AH318" s="34" t="n"/>
      <c r="AK318" s="34" t="n"/>
      <c r="AL318" s="34" t="n"/>
      <c r="AM318" s="39" t="n"/>
      <c r="AN318" s="34" t="n"/>
      <c r="AO318" s="34" t="n"/>
      <c r="AP318" s="34" t="n"/>
      <c r="AQ318" s="34" t="n"/>
      <c r="AR318" s="34" t="n"/>
      <c r="AS318" s="34" t="n"/>
      <c r="AU318" s="34" t="n"/>
      <c r="AV318" s="34" t="n"/>
      <c r="AW318" s="34" t="n"/>
      <c r="AX318" s="34" t="n"/>
      <c r="AY318" s="34" t="n"/>
      <c r="AZ318" s="34" t="n"/>
      <c r="BA318" s="34" t="n"/>
      <c r="BB318" s="34" t="n"/>
      <c r="BC318" s="34" t="n"/>
      <c r="BD318" s="34" t="n"/>
      <c r="BE318" s="34" t="n"/>
      <c r="BF318" s="34" t="n"/>
      <c r="BG318" s="34" t="n"/>
      <c r="BH318" s="34" t="n"/>
      <c r="BI318" s="34" t="n"/>
      <c r="BJ318" s="34" t="n"/>
      <c r="BK318" s="34" t="n"/>
      <c r="BL318" s="34" t="n"/>
      <c r="BM318" s="34" t="n"/>
      <c r="BN318" s="34" t="n"/>
      <c r="BO318" s="34" t="n"/>
      <c r="BP318" s="34" t="n"/>
      <c r="BQ318" s="34" t="n"/>
      <c r="BR318" s="82" t="n"/>
      <c r="BS318" s="34" t="n"/>
      <c r="BT318" s="34" t="n"/>
      <c r="BU318" s="34" t="n"/>
      <c r="BV318" s="34" t="n"/>
      <c r="BW318" s="34" t="n"/>
      <c r="BX318" s="34" t="n"/>
      <c r="BY318" s="34" t="n"/>
      <c r="BZ318" s="34" t="n"/>
      <c r="CA318" s="34" t="n"/>
      <c r="CB318" s="33" t="n"/>
      <c r="CC318" s="34" t="n"/>
      <c r="CD318" s="34" t="n"/>
      <c r="CE318" s="82" t="n"/>
      <c r="CF318" s="34" t="n"/>
      <c r="CG318" s="34" t="n"/>
      <c r="CH318" s="34" t="n"/>
      <c r="CI318" s="34" t="n"/>
      <c r="CJ318" s="34" t="n"/>
    </row>
    <row r="319">
      <c r="A319" s="29" t="n"/>
      <c r="B319" s="29" t="n"/>
      <c r="C319" s="35" t="n"/>
      <c r="D319" s="36" t="n"/>
      <c r="E319" s="147" t="n"/>
      <c r="F319" s="30" t="n"/>
      <c r="G319" s="30" t="n"/>
      <c r="H319" s="30" t="n"/>
      <c r="I319" s="30" t="n"/>
      <c r="J319" s="119" t="n"/>
      <c r="K319" s="34" t="n"/>
      <c r="L319" s="119" t="n"/>
      <c r="M319" s="34" t="n"/>
      <c r="N319" s="119" t="n"/>
      <c r="O319" s="34" t="n"/>
      <c r="P319" s="34" t="n"/>
      <c r="Q319" s="117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  <c r="AA319" s="34" t="n"/>
      <c r="AB319" s="34" t="n"/>
      <c r="AC319" s="34" t="n"/>
      <c r="AD319" s="34" t="n"/>
      <c r="AE319" s="34" t="n"/>
      <c r="AF319" s="34" t="n"/>
      <c r="AG319" s="34" t="n"/>
      <c r="AH319" s="34" t="n"/>
      <c r="AK319" s="34" t="n"/>
      <c r="AL319" s="34" t="n"/>
      <c r="AM319" s="39" t="n"/>
      <c r="AN319" s="34" t="n"/>
      <c r="AO319" s="34" t="n"/>
      <c r="AP319" s="34" t="n"/>
      <c r="AQ319" s="34" t="n"/>
      <c r="AR319" s="34" t="n"/>
      <c r="AS319" s="34" t="n"/>
      <c r="AU319" s="34" t="n"/>
      <c r="AV319" s="34" t="n"/>
      <c r="AW319" s="34" t="n"/>
      <c r="AX319" s="34" t="n"/>
      <c r="AY319" s="34" t="n"/>
      <c r="AZ319" s="34" t="n"/>
      <c r="BA319" s="34" t="n"/>
      <c r="BB319" s="34" t="n"/>
      <c r="BC319" s="34" t="n"/>
      <c r="BD319" s="34" t="n"/>
      <c r="BE319" s="34" t="n"/>
      <c r="BF319" s="34" t="n"/>
      <c r="BG319" s="34" t="n"/>
      <c r="BH319" s="34" t="n"/>
      <c r="BI319" s="34" t="n"/>
      <c r="BJ319" s="34" t="n"/>
      <c r="BK319" s="34" t="n"/>
      <c r="BL319" s="34" t="n"/>
      <c r="BM319" s="34" t="n"/>
      <c r="BN319" s="34" t="n"/>
      <c r="BO319" s="34" t="n"/>
      <c r="BP319" s="34" t="n"/>
      <c r="BQ319" s="34" t="n"/>
      <c r="BR319" s="82" t="n"/>
      <c r="BS319" s="34" t="n"/>
      <c r="BT319" s="34" t="n"/>
      <c r="BU319" s="34" t="n"/>
      <c r="BV319" s="34" t="n"/>
      <c r="BW319" s="34" t="n"/>
      <c r="BX319" s="34" t="n"/>
      <c r="BY319" s="34" t="n"/>
      <c r="BZ319" s="34" t="n"/>
      <c r="CA319" s="34" t="n"/>
      <c r="CB319" s="33" t="n"/>
      <c r="CC319" s="34" t="n"/>
      <c r="CD319" s="34" t="n"/>
      <c r="CE319" s="82" t="n"/>
      <c r="CF319" s="34" t="n"/>
      <c r="CG319" s="34" t="n"/>
      <c r="CH319" s="34" t="n"/>
      <c r="CI319" s="34" t="n"/>
      <c r="CJ319" s="34" t="n"/>
    </row>
    <row r="320">
      <c r="A320" s="29" t="n"/>
      <c r="B320" s="29" t="n"/>
      <c r="C320" s="35" t="n"/>
      <c r="D320" s="36" t="n"/>
      <c r="E320" s="147" t="n"/>
      <c r="F320" s="30" t="n"/>
      <c r="G320" s="30" t="n"/>
      <c r="H320" s="30" t="n"/>
      <c r="I320" s="30" t="n"/>
      <c r="J320" s="119" t="n"/>
      <c r="K320" s="34" t="n"/>
      <c r="L320" s="119" t="n"/>
      <c r="M320" s="34" t="n"/>
      <c r="N320" s="119" t="n"/>
      <c r="O320" s="34" t="n"/>
      <c r="P320" s="34" t="n"/>
      <c r="Q320" s="117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  <c r="AA320" s="34" t="n"/>
      <c r="AB320" s="34" t="n"/>
      <c r="AC320" s="34" t="n"/>
      <c r="AD320" s="34" t="n"/>
      <c r="AE320" s="34" t="n"/>
      <c r="AF320" s="34" t="n"/>
      <c r="AG320" s="34" t="n"/>
      <c r="AH320" s="34" t="n"/>
      <c r="AK320" s="34" t="n"/>
      <c r="AL320" s="34" t="n"/>
      <c r="AM320" s="39" t="n"/>
      <c r="AN320" s="34" t="n"/>
      <c r="AO320" s="34" t="n"/>
      <c r="AP320" s="34" t="n"/>
      <c r="AQ320" s="34" t="n"/>
      <c r="AR320" s="34" t="n"/>
      <c r="AS320" s="34" t="n"/>
      <c r="AU320" s="34" t="n"/>
      <c r="AV320" s="34" t="n"/>
      <c r="AW320" s="34" t="n"/>
      <c r="AX320" s="34" t="n"/>
      <c r="AY320" s="34" t="n"/>
      <c r="AZ320" s="34" t="n"/>
      <c r="BA320" s="34" t="n"/>
      <c r="BB320" s="34" t="n"/>
      <c r="BC320" s="34" t="n"/>
      <c r="BD320" s="34" t="n"/>
      <c r="BE320" s="34" t="n"/>
      <c r="BF320" s="34" t="n"/>
      <c r="BG320" s="34" t="n"/>
      <c r="BH320" s="34" t="n"/>
      <c r="BI320" s="34" t="n"/>
      <c r="BJ320" s="34" t="n"/>
      <c r="BK320" s="34" t="n"/>
      <c r="BL320" s="34" t="n"/>
      <c r="BM320" s="34" t="n"/>
      <c r="BN320" s="34" t="n"/>
      <c r="BO320" s="34" t="n"/>
      <c r="BP320" s="34" t="n"/>
      <c r="BQ320" s="34" t="n"/>
      <c r="BR320" s="82" t="n"/>
      <c r="BS320" s="34" t="n"/>
      <c r="BT320" s="34" t="n"/>
      <c r="BU320" s="34" t="n"/>
      <c r="BV320" s="34" t="n"/>
      <c r="BW320" s="34" t="n"/>
      <c r="BX320" s="34" t="n"/>
      <c r="BY320" s="34" t="n"/>
      <c r="BZ320" s="34" t="n"/>
      <c r="CA320" s="34" t="n"/>
      <c r="CB320" s="33" t="n"/>
      <c r="CC320" s="34" t="n"/>
      <c r="CD320" s="34" t="n"/>
      <c r="CE320" s="82" t="n"/>
      <c r="CF320" s="34" t="n"/>
      <c r="CG320" s="34" t="n"/>
      <c r="CH320" s="34" t="n"/>
      <c r="CI320" s="34" t="n"/>
      <c r="CJ320" s="34" t="n"/>
    </row>
    <row r="321">
      <c r="A321" s="29" t="n"/>
      <c r="B321" s="29" t="n"/>
      <c r="C321" s="35" t="n"/>
      <c r="D321" s="36" t="n"/>
      <c r="E321" s="147" t="n"/>
      <c r="F321" s="30" t="n"/>
      <c r="G321" s="30" t="n"/>
      <c r="H321" s="30" t="n"/>
      <c r="I321" s="30" t="n"/>
      <c r="J321" s="119" t="n"/>
      <c r="K321" s="34" t="n"/>
      <c r="L321" s="119" t="n"/>
      <c r="M321" s="34" t="n"/>
      <c r="N321" s="119" t="n"/>
      <c r="O321" s="34" t="n"/>
      <c r="P321" s="34" t="n"/>
      <c r="Q321" s="117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  <c r="AA321" s="34" t="n"/>
      <c r="AB321" s="34" t="n"/>
      <c r="AC321" s="34" t="n"/>
      <c r="AD321" s="34" t="n"/>
      <c r="AE321" s="34" t="n"/>
      <c r="AF321" s="34" t="n"/>
      <c r="AG321" s="34" t="n"/>
      <c r="AH321" s="34" t="n"/>
      <c r="AK321" s="34" t="n"/>
      <c r="AL321" s="34" t="n"/>
      <c r="AM321" s="39" t="n"/>
      <c r="AN321" s="34" t="n"/>
      <c r="AO321" s="34" t="n"/>
      <c r="AP321" s="34" t="n"/>
      <c r="AQ321" s="34" t="n"/>
      <c r="AR321" s="34" t="n"/>
      <c r="AS321" s="34" t="n"/>
      <c r="AU321" s="34" t="n"/>
      <c r="AV321" s="34" t="n"/>
      <c r="AW321" s="34" t="n"/>
      <c r="AX321" s="34" t="n"/>
      <c r="AY321" s="34" t="n"/>
      <c r="AZ321" s="34" t="n"/>
      <c r="BA321" s="34" t="n"/>
      <c r="BB321" s="34" t="n"/>
      <c r="BC321" s="34" t="n"/>
      <c r="BD321" s="34" t="n"/>
      <c r="BE321" s="34" t="n"/>
      <c r="BF321" s="34" t="n"/>
      <c r="BG321" s="34" t="n"/>
      <c r="BH321" s="34" t="n"/>
      <c r="BI321" s="34" t="n"/>
      <c r="BJ321" s="34" t="n"/>
      <c r="BK321" s="34" t="n"/>
      <c r="BL321" s="34" t="n"/>
      <c r="BM321" s="34" t="n"/>
      <c r="BN321" s="34" t="n"/>
      <c r="BO321" s="34" t="n"/>
      <c r="BP321" s="34" t="n"/>
      <c r="BQ321" s="34" t="n"/>
      <c r="BR321" s="82" t="n"/>
      <c r="BS321" s="34" t="n"/>
      <c r="BT321" s="34" t="n"/>
      <c r="BU321" s="34" t="n"/>
      <c r="BV321" s="34" t="n"/>
      <c r="BW321" s="34" t="n"/>
      <c r="BX321" s="34" t="n"/>
      <c r="BY321" s="34" t="n"/>
      <c r="BZ321" s="34" t="n"/>
      <c r="CA321" s="34" t="n"/>
      <c r="CB321" s="33" t="n"/>
      <c r="CC321" s="34" t="n"/>
      <c r="CD321" s="34" t="n"/>
      <c r="CE321" s="82" t="n"/>
      <c r="CF321" s="34" t="n"/>
      <c r="CG321" s="34" t="n"/>
      <c r="CH321" s="34" t="n"/>
      <c r="CI321" s="34" t="n"/>
      <c r="CJ321" s="34" t="n"/>
    </row>
    <row r="322">
      <c r="A322" s="29" t="n"/>
      <c r="B322" s="29" t="n"/>
      <c r="C322" s="35" t="n"/>
      <c r="D322" s="36" t="n"/>
      <c r="E322" s="147" t="n"/>
      <c r="F322" s="30" t="n"/>
      <c r="G322" s="30" t="n"/>
      <c r="H322" s="30" t="n"/>
      <c r="I322" s="30" t="n"/>
      <c r="J322" s="119" t="n"/>
      <c r="K322" s="34" t="n"/>
      <c r="L322" s="119" t="n"/>
      <c r="M322" s="34" t="n"/>
      <c r="N322" s="119" t="n"/>
      <c r="O322" s="34" t="n"/>
      <c r="P322" s="34" t="n"/>
      <c r="Q322" s="117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  <c r="AA322" s="34" t="n"/>
      <c r="AB322" s="34" t="n"/>
      <c r="AC322" s="34" t="n"/>
      <c r="AD322" s="34" t="n"/>
      <c r="AE322" s="34" t="n"/>
      <c r="AF322" s="34" t="n"/>
      <c r="AG322" s="34" t="n"/>
      <c r="AH322" s="34" t="n"/>
      <c r="AK322" s="34" t="n"/>
      <c r="AL322" s="34" t="n"/>
      <c r="AM322" s="39" t="n"/>
      <c r="AN322" s="34" t="n"/>
      <c r="AO322" s="34" t="n"/>
      <c r="AP322" s="34" t="n"/>
      <c r="AQ322" s="34" t="n"/>
      <c r="AR322" s="34" t="n"/>
      <c r="AS322" s="34" t="n"/>
      <c r="AU322" s="34" t="n"/>
      <c r="AV322" s="34" t="n"/>
      <c r="AW322" s="34" t="n"/>
      <c r="AX322" s="34" t="n"/>
      <c r="AY322" s="34" t="n"/>
      <c r="AZ322" s="34" t="n"/>
      <c r="BA322" s="34" t="n"/>
      <c r="BB322" s="34" t="n"/>
      <c r="BC322" s="34" t="n"/>
      <c r="BD322" s="34" t="n"/>
      <c r="BE322" s="34" t="n"/>
      <c r="BF322" s="34" t="n"/>
      <c r="BG322" s="34" t="n"/>
      <c r="BH322" s="34" t="n"/>
      <c r="BI322" s="34" t="n"/>
      <c r="BJ322" s="34" t="n"/>
      <c r="BK322" s="34" t="n"/>
      <c r="BL322" s="34" t="n"/>
      <c r="BM322" s="34" t="n"/>
      <c r="BN322" s="34" t="n"/>
      <c r="BO322" s="34" t="n"/>
      <c r="BP322" s="34" t="n"/>
      <c r="BQ322" s="34" t="n"/>
      <c r="BR322" s="82" t="n"/>
      <c r="BS322" s="34" t="n"/>
      <c r="BT322" s="34" t="n"/>
      <c r="BU322" s="34" t="n"/>
      <c r="BV322" s="34" t="n"/>
      <c r="BW322" s="34" t="n"/>
      <c r="BX322" s="34" t="n"/>
      <c r="BY322" s="34" t="n"/>
      <c r="BZ322" s="34" t="n"/>
      <c r="CA322" s="34" t="n"/>
      <c r="CB322" s="33" t="n"/>
      <c r="CC322" s="34" t="n"/>
      <c r="CD322" s="34" t="n"/>
      <c r="CE322" s="82" t="n"/>
      <c r="CF322" s="34" t="n"/>
      <c r="CG322" s="34" t="n"/>
      <c r="CH322" s="34" t="n"/>
      <c r="CI322" s="34" t="n"/>
      <c r="CJ322" s="34" t="n"/>
    </row>
    <row r="323">
      <c r="A323" s="29" t="n"/>
      <c r="B323" s="29" t="n"/>
      <c r="C323" s="35" t="n"/>
      <c r="D323" s="36" t="n"/>
      <c r="E323" s="147" t="n"/>
      <c r="F323" s="30" t="n"/>
      <c r="G323" s="30" t="n"/>
      <c r="H323" s="30" t="n"/>
      <c r="I323" s="30" t="n"/>
      <c r="J323" s="119" t="n"/>
      <c r="K323" s="34" t="n"/>
      <c r="L323" s="119" t="n"/>
      <c r="M323" s="34" t="n"/>
      <c r="N323" s="119" t="n"/>
      <c r="O323" s="34" t="n"/>
      <c r="P323" s="34" t="n"/>
      <c r="Q323" s="117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  <c r="AA323" s="34" t="n"/>
      <c r="AB323" s="34" t="n"/>
      <c r="AC323" s="34" t="n"/>
      <c r="AD323" s="34" t="n"/>
      <c r="AE323" s="34" t="n"/>
      <c r="AF323" s="34" t="n"/>
      <c r="AG323" s="34" t="n"/>
      <c r="AH323" s="34" t="n"/>
      <c r="AK323" s="34" t="n"/>
      <c r="AL323" s="34" t="n"/>
      <c r="AM323" s="39" t="n"/>
      <c r="AN323" s="34" t="n"/>
      <c r="AO323" s="34" t="n"/>
      <c r="AP323" s="34" t="n"/>
      <c r="AQ323" s="34" t="n"/>
      <c r="AR323" s="34" t="n"/>
      <c r="AS323" s="34" t="n"/>
      <c r="AU323" s="34" t="n"/>
      <c r="AV323" s="34" t="n"/>
      <c r="AW323" s="34" t="n"/>
      <c r="AX323" s="34" t="n"/>
      <c r="AY323" s="34" t="n"/>
      <c r="AZ323" s="34" t="n"/>
      <c r="BA323" s="34" t="n"/>
      <c r="BB323" s="34" t="n"/>
      <c r="BC323" s="34" t="n"/>
      <c r="BD323" s="34" t="n"/>
      <c r="BE323" s="34" t="n"/>
      <c r="BF323" s="34" t="n"/>
      <c r="BG323" s="34" t="n"/>
      <c r="BH323" s="34" t="n"/>
      <c r="BI323" s="34" t="n"/>
      <c r="BJ323" s="34" t="n"/>
      <c r="BK323" s="34" t="n"/>
      <c r="BL323" s="34" t="n"/>
      <c r="BM323" s="34" t="n"/>
      <c r="BN323" s="34" t="n"/>
      <c r="BO323" s="34" t="n"/>
      <c r="BP323" s="34" t="n"/>
      <c r="BQ323" s="34" t="n"/>
      <c r="BR323" s="82" t="n"/>
      <c r="BS323" s="34" t="n"/>
      <c r="BT323" s="34" t="n"/>
      <c r="BU323" s="34" t="n"/>
      <c r="BV323" s="34" t="n"/>
      <c r="BW323" s="34" t="n"/>
      <c r="BX323" s="34" t="n"/>
      <c r="BY323" s="34" t="n"/>
      <c r="BZ323" s="34" t="n"/>
      <c r="CA323" s="34" t="n"/>
      <c r="CB323" s="33" t="n"/>
      <c r="CC323" s="34" t="n"/>
      <c r="CD323" s="34" t="n"/>
      <c r="CE323" s="82" t="n"/>
      <c r="CF323" s="34" t="n"/>
      <c r="CG323" s="34" t="n"/>
      <c r="CH323" s="34" t="n"/>
      <c r="CI323" s="34" t="n"/>
      <c r="CJ323" s="34" t="n"/>
    </row>
    <row r="324">
      <c r="A324" s="29" t="n"/>
      <c r="B324" s="29" t="n"/>
      <c r="C324" s="35" t="n"/>
      <c r="D324" s="36" t="n"/>
      <c r="E324" s="147" t="n"/>
      <c r="F324" s="30" t="n"/>
      <c r="G324" s="30" t="n"/>
      <c r="H324" s="30" t="n"/>
      <c r="I324" s="30" t="n"/>
      <c r="J324" s="119" t="n"/>
      <c r="K324" s="34" t="n"/>
      <c r="L324" s="119" t="n"/>
      <c r="M324" s="34" t="n"/>
      <c r="N324" s="119" t="n"/>
      <c r="O324" s="34" t="n"/>
      <c r="P324" s="34" t="n"/>
      <c r="Q324" s="117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  <c r="AA324" s="34" t="n"/>
      <c r="AB324" s="34" t="n"/>
      <c r="AC324" s="34" t="n"/>
      <c r="AD324" s="34" t="n"/>
      <c r="AE324" s="34" t="n"/>
      <c r="AF324" s="34" t="n"/>
      <c r="AG324" s="34" t="n"/>
      <c r="AH324" s="34" t="n"/>
      <c r="AK324" s="34" t="n"/>
      <c r="AL324" s="34" t="n"/>
      <c r="AM324" s="39" t="n"/>
      <c r="AN324" s="34" t="n"/>
      <c r="AO324" s="34" t="n"/>
      <c r="AP324" s="34" t="n"/>
      <c r="AQ324" s="34" t="n"/>
      <c r="AR324" s="34" t="n"/>
      <c r="AS324" s="34" t="n"/>
      <c r="AU324" s="34" t="n"/>
      <c r="AV324" s="34" t="n"/>
      <c r="AW324" s="34" t="n"/>
      <c r="AX324" s="34" t="n"/>
      <c r="AY324" s="34" t="n"/>
      <c r="AZ324" s="34" t="n"/>
      <c r="BA324" s="34" t="n"/>
      <c r="BB324" s="34" t="n"/>
      <c r="BC324" s="34" t="n"/>
      <c r="BD324" s="34" t="n"/>
      <c r="BE324" s="34" t="n"/>
      <c r="BF324" s="34" t="n"/>
      <c r="BG324" s="34" t="n"/>
      <c r="BH324" s="34" t="n"/>
      <c r="BI324" s="34" t="n"/>
      <c r="BJ324" s="34" t="n"/>
      <c r="BK324" s="34" t="n"/>
      <c r="BL324" s="34" t="n"/>
      <c r="BM324" s="34" t="n"/>
      <c r="BN324" s="34" t="n"/>
      <c r="BO324" s="34" t="n"/>
      <c r="BP324" s="34" t="n"/>
      <c r="BQ324" s="34" t="n"/>
      <c r="BR324" s="82" t="n"/>
      <c r="BS324" s="34" t="n"/>
      <c r="BT324" s="34" t="n"/>
      <c r="BU324" s="34" t="n"/>
      <c r="BV324" s="34" t="n"/>
      <c r="BW324" s="34" t="n"/>
      <c r="BX324" s="34" t="n"/>
      <c r="BY324" s="34" t="n"/>
      <c r="BZ324" s="34" t="n"/>
      <c r="CA324" s="34" t="n"/>
      <c r="CB324" s="33" t="n"/>
      <c r="CC324" s="34" t="n"/>
      <c r="CD324" s="34" t="n"/>
      <c r="CE324" s="82" t="n"/>
      <c r="CF324" s="34" t="n"/>
      <c r="CG324" s="34" t="n"/>
      <c r="CH324" s="34" t="n"/>
      <c r="CI324" s="34" t="n"/>
      <c r="CJ324" s="34" t="n"/>
    </row>
    <row r="325">
      <c r="A325" s="29" t="n"/>
      <c r="B325" s="29" t="n"/>
      <c r="C325" s="35" t="n"/>
      <c r="D325" s="36" t="n"/>
      <c r="E325" s="147" t="n"/>
      <c r="F325" s="30" t="n"/>
      <c r="G325" s="30" t="n"/>
      <c r="H325" s="30" t="n"/>
      <c r="I325" s="30" t="n"/>
      <c r="J325" s="119" t="n"/>
      <c r="K325" s="34" t="n"/>
      <c r="L325" s="119" t="n"/>
      <c r="M325" s="34" t="n"/>
      <c r="N325" s="119" t="n"/>
      <c r="O325" s="34" t="n"/>
      <c r="P325" s="34" t="n"/>
      <c r="Q325" s="117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  <c r="AA325" s="34" t="n"/>
      <c r="AB325" s="34" t="n"/>
      <c r="AC325" s="34" t="n"/>
      <c r="AD325" s="34" t="n"/>
      <c r="AE325" s="34" t="n"/>
      <c r="AF325" s="34" t="n"/>
      <c r="AG325" s="34" t="n"/>
      <c r="AH325" s="34" t="n"/>
      <c r="AK325" s="34" t="n"/>
      <c r="AL325" s="34" t="n"/>
      <c r="AM325" s="39" t="n"/>
      <c r="AN325" s="34" t="n"/>
      <c r="AO325" s="34" t="n"/>
      <c r="AP325" s="34" t="n"/>
      <c r="AQ325" s="34" t="n"/>
      <c r="AR325" s="34" t="n"/>
      <c r="AS325" s="34" t="n"/>
      <c r="AU325" s="34" t="n"/>
      <c r="AV325" s="34" t="n"/>
      <c r="AW325" s="34" t="n"/>
      <c r="AX325" s="34" t="n"/>
      <c r="AY325" s="34" t="n"/>
      <c r="AZ325" s="34" t="n"/>
      <c r="BA325" s="34" t="n"/>
      <c r="BB325" s="34" t="n"/>
      <c r="BC325" s="34" t="n"/>
      <c r="BD325" s="34" t="n"/>
      <c r="BE325" s="34" t="n"/>
      <c r="BF325" s="34" t="n"/>
      <c r="BG325" s="34" t="n"/>
      <c r="BH325" s="34" t="n"/>
      <c r="BI325" s="34" t="n"/>
      <c r="BJ325" s="34" t="n"/>
      <c r="BK325" s="34" t="n"/>
      <c r="BL325" s="34" t="n"/>
      <c r="BM325" s="34" t="n"/>
      <c r="BN325" s="34" t="n"/>
      <c r="BO325" s="34" t="n"/>
      <c r="BP325" s="34" t="n"/>
      <c r="BQ325" s="34" t="n"/>
      <c r="BR325" s="82" t="n"/>
      <c r="BS325" s="34" t="n"/>
      <c r="BT325" s="34" t="n"/>
      <c r="BU325" s="34" t="n"/>
      <c r="BV325" s="34" t="n"/>
      <c r="BW325" s="34" t="n"/>
      <c r="BX325" s="34" t="n"/>
      <c r="BY325" s="34" t="n"/>
      <c r="BZ325" s="34" t="n"/>
      <c r="CA325" s="34" t="n"/>
      <c r="CB325" s="33" t="n"/>
      <c r="CC325" s="34" t="n"/>
      <c r="CD325" s="34" t="n"/>
      <c r="CE325" s="82" t="n"/>
      <c r="CF325" s="34" t="n"/>
      <c r="CG325" s="34" t="n"/>
      <c r="CH325" s="34" t="n"/>
      <c r="CI325" s="34" t="n"/>
      <c r="CJ325" s="34" t="n"/>
    </row>
    <row r="326">
      <c r="A326" s="29" t="n"/>
      <c r="B326" s="29" t="n"/>
      <c r="C326" s="35" t="n"/>
      <c r="D326" s="36" t="n"/>
      <c r="E326" s="147" t="n"/>
      <c r="F326" s="30" t="n"/>
      <c r="G326" s="30" t="n"/>
      <c r="H326" s="30" t="n"/>
      <c r="I326" s="30" t="n"/>
      <c r="J326" s="119" t="n"/>
      <c r="K326" s="34" t="n"/>
      <c r="L326" s="119" t="n"/>
      <c r="M326" s="34" t="n"/>
      <c r="N326" s="119" t="n"/>
      <c r="O326" s="34" t="n"/>
      <c r="P326" s="34" t="n"/>
      <c r="Q326" s="117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  <c r="AA326" s="34" t="n"/>
      <c r="AB326" s="34" t="n"/>
      <c r="AC326" s="34" t="n"/>
      <c r="AD326" s="34" t="n"/>
      <c r="AE326" s="34" t="n"/>
      <c r="AF326" s="34" t="n"/>
      <c r="AG326" s="34" t="n"/>
      <c r="AH326" s="34" t="n"/>
      <c r="AK326" s="34" t="n"/>
      <c r="AL326" s="34" t="n"/>
      <c r="AM326" s="39" t="n"/>
      <c r="AN326" s="34" t="n"/>
      <c r="AO326" s="34" t="n"/>
      <c r="AP326" s="34" t="n"/>
      <c r="AQ326" s="34" t="n"/>
      <c r="AR326" s="34" t="n"/>
      <c r="AS326" s="34" t="n"/>
      <c r="AU326" s="34" t="n"/>
      <c r="AV326" s="34" t="n"/>
      <c r="AW326" s="34" t="n"/>
      <c r="AX326" s="34" t="n"/>
      <c r="AY326" s="34" t="n"/>
      <c r="AZ326" s="34" t="n"/>
      <c r="BA326" s="34" t="n"/>
      <c r="BB326" s="34" t="n"/>
      <c r="BC326" s="34" t="n"/>
      <c r="BD326" s="34" t="n"/>
      <c r="BE326" s="34" t="n"/>
      <c r="BF326" s="34" t="n"/>
      <c r="BG326" s="34" t="n"/>
      <c r="BH326" s="34" t="n"/>
      <c r="BI326" s="34" t="n"/>
      <c r="BJ326" s="34" t="n"/>
      <c r="BK326" s="34" t="n"/>
      <c r="BL326" s="34" t="n"/>
      <c r="BM326" s="34" t="n"/>
      <c r="BN326" s="34" t="n"/>
      <c r="BO326" s="34" t="n"/>
      <c r="BP326" s="34" t="n"/>
      <c r="BQ326" s="34" t="n"/>
      <c r="BR326" s="82" t="n"/>
      <c r="BS326" s="34" t="n"/>
      <c r="BT326" s="34" t="n"/>
      <c r="BU326" s="34" t="n"/>
      <c r="BV326" s="34" t="n"/>
      <c r="BW326" s="34" t="n"/>
      <c r="BX326" s="34" t="n"/>
      <c r="BY326" s="34" t="n"/>
      <c r="BZ326" s="34" t="n"/>
      <c r="CA326" s="34" t="n"/>
      <c r="CB326" s="33" t="n"/>
      <c r="CC326" s="34" t="n"/>
      <c r="CD326" s="34" t="n"/>
      <c r="CE326" s="82" t="n"/>
      <c r="CF326" s="34" t="n"/>
      <c r="CG326" s="34" t="n"/>
      <c r="CH326" s="34" t="n"/>
      <c r="CI326" s="34" t="n"/>
      <c r="CJ326" s="34" t="n"/>
    </row>
    <row r="327">
      <c r="A327" s="29" t="n"/>
      <c r="B327" s="29" t="n"/>
      <c r="C327" s="35" t="n"/>
      <c r="D327" s="36" t="n"/>
      <c r="E327" s="147" t="n"/>
      <c r="F327" s="30" t="n"/>
      <c r="G327" s="30" t="n"/>
      <c r="H327" s="30" t="n"/>
      <c r="I327" s="30" t="n"/>
      <c r="J327" s="119" t="n"/>
      <c r="K327" s="34" t="n"/>
      <c r="L327" s="119" t="n"/>
      <c r="M327" s="34" t="n"/>
      <c r="N327" s="119" t="n"/>
      <c r="O327" s="34" t="n"/>
      <c r="P327" s="34" t="n"/>
      <c r="Q327" s="117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  <c r="AA327" s="34" t="n"/>
      <c r="AB327" s="34" t="n"/>
      <c r="AC327" s="34" t="n"/>
      <c r="AD327" s="34" t="n"/>
      <c r="AE327" s="34" t="n"/>
      <c r="AF327" s="34" t="n"/>
      <c r="AG327" s="34" t="n"/>
      <c r="AH327" s="34" t="n"/>
      <c r="AK327" s="34" t="n"/>
      <c r="AL327" s="34" t="n"/>
      <c r="AM327" s="39" t="n"/>
      <c r="AN327" s="34" t="n"/>
      <c r="AO327" s="34" t="n"/>
      <c r="AP327" s="34" t="n"/>
      <c r="AQ327" s="34" t="n"/>
      <c r="AR327" s="34" t="n"/>
      <c r="AS327" s="34" t="n"/>
      <c r="AU327" s="34" t="n"/>
      <c r="AV327" s="34" t="n"/>
      <c r="AW327" s="34" t="n"/>
      <c r="AX327" s="34" t="n"/>
      <c r="AY327" s="34" t="n"/>
      <c r="AZ327" s="34" t="n"/>
      <c r="BA327" s="34" t="n"/>
      <c r="BB327" s="34" t="n"/>
      <c r="BC327" s="34" t="n"/>
      <c r="BD327" s="34" t="n"/>
      <c r="BE327" s="34" t="n"/>
      <c r="BF327" s="34" t="n"/>
      <c r="BG327" s="34" t="n"/>
      <c r="BH327" s="34" t="n"/>
      <c r="BI327" s="34" t="n"/>
      <c r="BJ327" s="34" t="n"/>
      <c r="BK327" s="34" t="n"/>
      <c r="BL327" s="34" t="n"/>
      <c r="BM327" s="34" t="n"/>
      <c r="BN327" s="34" t="n"/>
      <c r="BO327" s="34" t="n"/>
      <c r="BP327" s="34" t="n"/>
      <c r="BQ327" s="34" t="n"/>
      <c r="BR327" s="82" t="n"/>
      <c r="BS327" s="34" t="n"/>
      <c r="BT327" s="34" t="n"/>
      <c r="BU327" s="34" t="n"/>
      <c r="BV327" s="34" t="n"/>
      <c r="BW327" s="34" t="n"/>
      <c r="BX327" s="34" t="n"/>
      <c r="BY327" s="34" t="n"/>
      <c r="BZ327" s="34" t="n"/>
      <c r="CA327" s="34" t="n"/>
      <c r="CB327" s="33" t="n"/>
      <c r="CC327" s="34" t="n"/>
      <c r="CD327" s="34" t="n"/>
      <c r="CE327" s="82" t="n"/>
      <c r="CF327" s="34" t="n"/>
      <c r="CG327" s="34" t="n"/>
      <c r="CH327" s="34" t="n"/>
      <c r="CI327" s="34" t="n"/>
      <c r="CJ327" s="34" t="n"/>
    </row>
    <row r="328">
      <c r="A328" s="29" t="n"/>
      <c r="B328" s="29" t="n"/>
      <c r="C328" s="35" t="n"/>
      <c r="D328" s="36" t="n"/>
      <c r="E328" s="147" t="n"/>
      <c r="F328" s="30" t="n"/>
      <c r="G328" s="30" t="n"/>
      <c r="H328" s="30" t="n"/>
      <c r="I328" s="30" t="n"/>
      <c r="J328" s="119" t="n"/>
      <c r="K328" s="34" t="n"/>
      <c r="L328" s="119" t="n"/>
      <c r="M328" s="34" t="n"/>
      <c r="N328" s="119" t="n"/>
      <c r="O328" s="34" t="n"/>
      <c r="P328" s="34" t="n"/>
      <c r="Q328" s="117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  <c r="AA328" s="34" t="n"/>
      <c r="AB328" s="34" t="n"/>
      <c r="AC328" s="34" t="n"/>
      <c r="AD328" s="34" t="n"/>
      <c r="AE328" s="34" t="n"/>
      <c r="AF328" s="34" t="n"/>
      <c r="AG328" s="34" t="n"/>
      <c r="AH328" s="34" t="n"/>
      <c r="AK328" s="34" t="n"/>
      <c r="AL328" s="34" t="n"/>
      <c r="AM328" s="39" t="n"/>
      <c r="AN328" s="34" t="n"/>
      <c r="AO328" s="34" t="n"/>
      <c r="AP328" s="34" t="n"/>
      <c r="AQ328" s="34" t="n"/>
      <c r="AR328" s="34" t="n"/>
      <c r="AS328" s="34" t="n"/>
      <c r="AU328" s="34" t="n"/>
      <c r="AV328" s="34" t="n"/>
      <c r="AW328" s="34" t="n"/>
      <c r="AX328" s="34" t="n"/>
      <c r="AY328" s="34" t="n"/>
      <c r="AZ328" s="34" t="n"/>
      <c r="BA328" s="34" t="n"/>
      <c r="BB328" s="34" t="n"/>
      <c r="BC328" s="34" t="n"/>
      <c r="BD328" s="34" t="n"/>
      <c r="BE328" s="34" t="n"/>
      <c r="BF328" s="34" t="n"/>
      <c r="BG328" s="34" t="n"/>
      <c r="BH328" s="34" t="n"/>
      <c r="BI328" s="34" t="n"/>
      <c r="BJ328" s="34" t="n"/>
      <c r="BK328" s="34" t="n"/>
      <c r="BL328" s="34" t="n"/>
      <c r="BM328" s="34" t="n"/>
      <c r="BN328" s="34" t="n"/>
      <c r="BO328" s="34" t="n"/>
      <c r="BP328" s="34" t="n"/>
      <c r="BQ328" s="34" t="n"/>
      <c r="BR328" s="82" t="n"/>
      <c r="BS328" s="34" t="n"/>
      <c r="BT328" s="34" t="n"/>
      <c r="BU328" s="34" t="n"/>
      <c r="BV328" s="34" t="n"/>
      <c r="BW328" s="34" t="n"/>
      <c r="BX328" s="34" t="n"/>
      <c r="BY328" s="34" t="n"/>
      <c r="BZ328" s="34" t="n"/>
      <c r="CA328" s="34" t="n"/>
      <c r="CB328" s="33" t="n"/>
      <c r="CC328" s="34" t="n"/>
      <c r="CD328" s="34" t="n"/>
      <c r="CE328" s="82" t="n"/>
      <c r="CF328" s="34" t="n"/>
      <c r="CG328" s="34" t="n"/>
      <c r="CH328" s="34" t="n"/>
      <c r="CI328" s="34" t="n"/>
      <c r="CJ328" s="34" t="n"/>
    </row>
    <row r="329">
      <c r="A329" s="29" t="n"/>
      <c r="B329" s="29" t="n"/>
      <c r="C329" s="35" t="n"/>
      <c r="D329" s="36" t="n"/>
      <c r="E329" s="147" t="n"/>
      <c r="F329" s="30" t="n"/>
      <c r="G329" s="30" t="n"/>
      <c r="H329" s="30" t="n"/>
      <c r="I329" s="30" t="n"/>
      <c r="J329" s="119" t="n"/>
      <c r="K329" s="34" t="n"/>
      <c r="L329" s="119" t="n"/>
      <c r="M329" s="34" t="n"/>
      <c r="N329" s="119" t="n"/>
      <c r="O329" s="34" t="n"/>
      <c r="P329" s="34" t="n"/>
      <c r="Q329" s="117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  <c r="AA329" s="34" t="n"/>
      <c r="AB329" s="34" t="n"/>
      <c r="AC329" s="34" t="n"/>
      <c r="AD329" s="34" t="n"/>
      <c r="AE329" s="34" t="n"/>
      <c r="AF329" s="34" t="n"/>
      <c r="AG329" s="34" t="n"/>
      <c r="AH329" s="34" t="n"/>
      <c r="AK329" s="34" t="n"/>
      <c r="AL329" s="34" t="n"/>
      <c r="AM329" s="39" t="n"/>
      <c r="AN329" s="34" t="n"/>
      <c r="AO329" s="34" t="n"/>
      <c r="AP329" s="34" t="n"/>
      <c r="AQ329" s="34" t="n"/>
      <c r="AR329" s="34" t="n"/>
      <c r="AS329" s="34" t="n"/>
      <c r="AU329" s="34" t="n"/>
      <c r="AV329" s="34" t="n"/>
      <c r="AW329" s="34" t="n"/>
      <c r="AX329" s="34" t="n"/>
      <c r="AY329" s="34" t="n"/>
      <c r="AZ329" s="34" t="n"/>
      <c r="BA329" s="34" t="n"/>
      <c r="BB329" s="34" t="n"/>
      <c r="BC329" s="34" t="n"/>
      <c r="BD329" s="34" t="n"/>
      <c r="BE329" s="34" t="n"/>
      <c r="BF329" s="34" t="n"/>
      <c r="BG329" s="34" t="n"/>
      <c r="BH329" s="34" t="n"/>
      <c r="BI329" s="34" t="n"/>
      <c r="BJ329" s="34" t="n"/>
      <c r="BK329" s="34" t="n"/>
      <c r="BL329" s="34" t="n"/>
      <c r="BM329" s="34" t="n"/>
      <c r="BN329" s="34" t="n"/>
      <c r="BO329" s="34" t="n"/>
      <c r="BP329" s="34" t="n"/>
      <c r="BQ329" s="34" t="n"/>
      <c r="BR329" s="82" t="n"/>
      <c r="BS329" s="34" t="n"/>
      <c r="BT329" s="34" t="n"/>
      <c r="BU329" s="34" t="n"/>
      <c r="BV329" s="34" t="n"/>
      <c r="BW329" s="34" t="n"/>
      <c r="BX329" s="34" t="n"/>
      <c r="BY329" s="34" t="n"/>
      <c r="BZ329" s="34" t="n"/>
      <c r="CA329" s="34" t="n"/>
      <c r="CB329" s="33" t="n"/>
      <c r="CC329" s="34" t="n"/>
      <c r="CD329" s="34" t="n"/>
      <c r="CE329" s="82" t="n"/>
      <c r="CF329" s="34" t="n"/>
      <c r="CG329" s="34" t="n"/>
      <c r="CH329" s="34" t="n"/>
      <c r="CI329" s="34" t="n"/>
      <c r="CJ329" s="34" t="n"/>
    </row>
    <row r="330">
      <c r="A330" s="29" t="n"/>
      <c r="B330" s="29" t="n"/>
      <c r="C330" s="35" t="n"/>
      <c r="D330" s="36" t="n"/>
      <c r="E330" s="147" t="n"/>
      <c r="F330" s="30" t="n"/>
      <c r="G330" s="30" t="n"/>
      <c r="H330" s="30" t="n"/>
      <c r="I330" s="30" t="n"/>
      <c r="J330" s="119" t="n"/>
      <c r="K330" s="34" t="n"/>
      <c r="L330" s="119" t="n"/>
      <c r="M330" s="34" t="n"/>
      <c r="N330" s="119" t="n"/>
      <c r="O330" s="34" t="n"/>
      <c r="P330" s="34" t="n"/>
      <c r="Q330" s="117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  <c r="AA330" s="34" t="n"/>
      <c r="AB330" s="34" t="n"/>
      <c r="AC330" s="34" t="n"/>
      <c r="AD330" s="34" t="n"/>
      <c r="AE330" s="34" t="n"/>
      <c r="AF330" s="34" t="n"/>
      <c r="AG330" s="34" t="n"/>
      <c r="AH330" s="34" t="n"/>
      <c r="AK330" s="34" t="n"/>
      <c r="AL330" s="34" t="n"/>
      <c r="AM330" s="39" t="n"/>
      <c r="AN330" s="34" t="n"/>
      <c r="AO330" s="34" t="n"/>
      <c r="AP330" s="34" t="n"/>
      <c r="AQ330" s="34" t="n"/>
      <c r="AR330" s="34" t="n"/>
      <c r="AS330" s="34" t="n"/>
      <c r="AU330" s="34" t="n"/>
      <c r="AV330" s="34" t="n"/>
      <c r="AW330" s="34" t="n"/>
      <c r="AX330" s="34" t="n"/>
      <c r="AY330" s="34" t="n"/>
      <c r="AZ330" s="34" t="n"/>
      <c r="BA330" s="34" t="n"/>
      <c r="BB330" s="34" t="n"/>
      <c r="BC330" s="34" t="n"/>
      <c r="BD330" s="34" t="n"/>
      <c r="BE330" s="34" t="n"/>
      <c r="BF330" s="34" t="n"/>
      <c r="BG330" s="34" t="n"/>
      <c r="BH330" s="34" t="n"/>
      <c r="BI330" s="34" t="n"/>
      <c r="BJ330" s="34" t="n"/>
      <c r="BK330" s="34" t="n"/>
      <c r="BL330" s="34" t="n"/>
      <c r="BM330" s="34" t="n"/>
      <c r="BN330" s="34" t="n"/>
      <c r="BO330" s="34" t="n"/>
      <c r="BP330" s="34" t="n"/>
      <c r="BQ330" s="34" t="n"/>
      <c r="BR330" s="82" t="n"/>
      <c r="BS330" s="34" t="n"/>
      <c r="BT330" s="34" t="n"/>
      <c r="BU330" s="34" t="n"/>
      <c r="BV330" s="34" t="n"/>
      <c r="BW330" s="34" t="n"/>
      <c r="BX330" s="34" t="n"/>
      <c r="BY330" s="34" t="n"/>
      <c r="BZ330" s="34" t="n"/>
      <c r="CA330" s="34" t="n"/>
      <c r="CB330" s="33" t="n"/>
      <c r="CC330" s="34" t="n"/>
      <c r="CD330" s="34" t="n"/>
      <c r="CE330" s="82" t="n"/>
      <c r="CF330" s="34" t="n"/>
      <c r="CG330" s="34" t="n"/>
      <c r="CH330" s="34" t="n"/>
      <c r="CI330" s="34" t="n"/>
      <c r="CJ330" s="34" t="n"/>
    </row>
    <row r="331">
      <c r="A331" s="29" t="n"/>
      <c r="B331" s="29" t="n"/>
      <c r="C331" s="35" t="n"/>
      <c r="D331" s="36" t="n"/>
      <c r="E331" s="147" t="n"/>
      <c r="F331" s="30" t="n"/>
      <c r="G331" s="30" t="n"/>
      <c r="H331" s="30" t="n"/>
      <c r="I331" s="30" t="n"/>
      <c r="J331" s="119" t="n"/>
      <c r="K331" s="34" t="n"/>
      <c r="L331" s="119" t="n"/>
      <c r="M331" s="34" t="n"/>
      <c r="N331" s="119" t="n"/>
      <c r="O331" s="34" t="n"/>
      <c r="P331" s="34" t="n"/>
      <c r="Q331" s="117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  <c r="AA331" s="34" t="n"/>
      <c r="AB331" s="34" t="n"/>
      <c r="AC331" s="34" t="n"/>
      <c r="AD331" s="34" t="n"/>
      <c r="AE331" s="34" t="n"/>
      <c r="AF331" s="34" t="n"/>
      <c r="AG331" s="34" t="n"/>
      <c r="AH331" s="34" t="n"/>
      <c r="AK331" s="34" t="n"/>
      <c r="AL331" s="34" t="n"/>
      <c r="AM331" s="39" t="n"/>
      <c r="AN331" s="34" t="n"/>
      <c r="AO331" s="34" t="n"/>
      <c r="AP331" s="34" t="n"/>
      <c r="AQ331" s="34" t="n"/>
      <c r="AR331" s="34" t="n"/>
      <c r="AS331" s="34" t="n"/>
      <c r="AU331" s="34" t="n"/>
      <c r="AV331" s="34" t="n"/>
      <c r="AW331" s="34" t="n"/>
      <c r="AX331" s="34" t="n"/>
      <c r="AY331" s="34" t="n"/>
      <c r="AZ331" s="34" t="n"/>
      <c r="BA331" s="34" t="n"/>
      <c r="BB331" s="34" t="n"/>
      <c r="BC331" s="34" t="n"/>
      <c r="BD331" s="34" t="n"/>
      <c r="BE331" s="34" t="n"/>
      <c r="BF331" s="34" t="n"/>
      <c r="BG331" s="34" t="n"/>
      <c r="BH331" s="34" t="n"/>
      <c r="BI331" s="34" t="n"/>
      <c r="BJ331" s="34" t="n"/>
      <c r="BK331" s="34" t="n"/>
      <c r="BL331" s="34" t="n"/>
      <c r="BM331" s="34" t="n"/>
      <c r="BN331" s="34" t="n"/>
      <c r="BO331" s="34" t="n"/>
      <c r="BP331" s="34" t="n"/>
      <c r="BQ331" s="34" t="n"/>
      <c r="BR331" s="82" t="n"/>
      <c r="BS331" s="34" t="n"/>
      <c r="BT331" s="34" t="n"/>
      <c r="BU331" s="34" t="n"/>
      <c r="BV331" s="34" t="n"/>
      <c r="BW331" s="34" t="n"/>
      <c r="BX331" s="34" t="n"/>
      <c r="BY331" s="34" t="n"/>
      <c r="BZ331" s="34" t="n"/>
      <c r="CA331" s="34" t="n"/>
      <c r="CB331" s="33" t="n"/>
      <c r="CC331" s="34" t="n"/>
      <c r="CD331" s="34" t="n"/>
      <c r="CE331" s="82" t="n"/>
      <c r="CF331" s="34" t="n"/>
      <c r="CG331" s="34" t="n"/>
      <c r="CH331" s="34" t="n"/>
      <c r="CI331" s="34" t="n"/>
      <c r="CJ331" s="34" t="n"/>
    </row>
    <row r="332">
      <c r="A332" s="29" t="n"/>
      <c r="B332" s="29" t="n"/>
      <c r="C332" s="35" t="n"/>
      <c r="D332" s="36" t="n"/>
      <c r="E332" s="147" t="n"/>
      <c r="F332" s="30" t="n"/>
      <c r="G332" s="30" t="n"/>
      <c r="H332" s="30" t="n"/>
      <c r="I332" s="30" t="n"/>
      <c r="J332" s="119" t="n"/>
      <c r="K332" s="34" t="n"/>
      <c r="L332" s="119" t="n"/>
      <c r="M332" s="34" t="n"/>
      <c r="N332" s="119" t="n"/>
      <c r="O332" s="34" t="n"/>
      <c r="P332" s="34" t="n"/>
      <c r="Q332" s="117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  <c r="AA332" s="34" t="n"/>
      <c r="AB332" s="34" t="n"/>
      <c r="AC332" s="34" t="n"/>
      <c r="AD332" s="34" t="n"/>
      <c r="AE332" s="34" t="n"/>
      <c r="AF332" s="34" t="n"/>
      <c r="AG332" s="34" t="n"/>
      <c r="AH332" s="34" t="n"/>
      <c r="AK332" s="34" t="n"/>
      <c r="AL332" s="34" t="n"/>
      <c r="AM332" s="39" t="n"/>
      <c r="AN332" s="34" t="n"/>
      <c r="AO332" s="34" t="n"/>
      <c r="AP332" s="34" t="n"/>
      <c r="AQ332" s="34" t="n"/>
      <c r="AR332" s="34" t="n"/>
      <c r="AS332" s="34" t="n"/>
      <c r="AU332" s="34" t="n"/>
      <c r="AV332" s="34" t="n"/>
      <c r="AW332" s="34" t="n"/>
      <c r="AX332" s="34" t="n"/>
      <c r="AY332" s="34" t="n"/>
      <c r="AZ332" s="34" t="n"/>
      <c r="BA332" s="34" t="n"/>
      <c r="BB332" s="34" t="n"/>
      <c r="BC332" s="34" t="n"/>
      <c r="BD332" s="34" t="n"/>
      <c r="BE332" s="34" t="n"/>
      <c r="BF332" s="34" t="n"/>
      <c r="BG332" s="34" t="n"/>
      <c r="BH332" s="34" t="n"/>
      <c r="BI332" s="34" t="n"/>
      <c r="BJ332" s="34" t="n"/>
      <c r="BK332" s="34" t="n"/>
      <c r="BL332" s="34" t="n"/>
      <c r="BM332" s="34" t="n"/>
      <c r="BN332" s="34" t="n"/>
      <c r="BO332" s="34" t="n"/>
      <c r="BP332" s="34" t="n"/>
      <c r="BQ332" s="34" t="n"/>
      <c r="BR332" s="82" t="n"/>
      <c r="BS332" s="34" t="n"/>
      <c r="BT332" s="34" t="n"/>
      <c r="BU332" s="34" t="n"/>
      <c r="BV332" s="34" t="n"/>
      <c r="BW332" s="34" t="n"/>
      <c r="BX332" s="34" t="n"/>
      <c r="BY332" s="34" t="n"/>
      <c r="BZ332" s="34" t="n"/>
      <c r="CA332" s="34" t="n"/>
      <c r="CB332" s="33" t="n"/>
      <c r="CC332" s="34" t="n"/>
      <c r="CD332" s="34" t="n"/>
      <c r="CE332" s="82" t="n"/>
      <c r="CF332" s="34" t="n"/>
      <c r="CG332" s="34" t="n"/>
      <c r="CH332" s="34" t="n"/>
      <c r="CI332" s="34" t="n"/>
      <c r="CJ332" s="34" t="n"/>
    </row>
    <row r="333">
      <c r="A333" s="29" t="n"/>
      <c r="B333" s="29" t="n"/>
      <c r="C333" s="35" t="n"/>
      <c r="D333" s="36" t="n"/>
      <c r="E333" s="147" t="n"/>
      <c r="F333" s="30" t="n"/>
      <c r="G333" s="30" t="n"/>
      <c r="H333" s="30" t="n"/>
      <c r="I333" s="30" t="n"/>
      <c r="J333" s="119" t="n"/>
      <c r="K333" s="34" t="n"/>
      <c r="L333" s="119" t="n"/>
      <c r="M333" s="34" t="n"/>
      <c r="N333" s="119" t="n"/>
      <c r="O333" s="34" t="n"/>
      <c r="P333" s="34" t="n"/>
      <c r="Q333" s="117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  <c r="AA333" s="34" t="n"/>
      <c r="AB333" s="34" t="n"/>
      <c r="AC333" s="34" t="n"/>
      <c r="AD333" s="34" t="n"/>
      <c r="AE333" s="34" t="n"/>
      <c r="AF333" s="34" t="n"/>
      <c r="AG333" s="34" t="n"/>
      <c r="AH333" s="34" t="n"/>
      <c r="AK333" s="34" t="n"/>
      <c r="AL333" s="34" t="n"/>
      <c r="AM333" s="39" t="n"/>
      <c r="AN333" s="34" t="n"/>
      <c r="AO333" s="34" t="n"/>
      <c r="AP333" s="34" t="n"/>
      <c r="AQ333" s="34" t="n"/>
      <c r="AR333" s="34" t="n"/>
      <c r="AS333" s="34" t="n"/>
      <c r="AU333" s="34" t="n"/>
      <c r="AV333" s="34" t="n"/>
      <c r="AW333" s="34" t="n"/>
      <c r="AX333" s="34" t="n"/>
      <c r="AY333" s="34" t="n"/>
      <c r="AZ333" s="34" t="n"/>
      <c r="BA333" s="34" t="n"/>
      <c r="BB333" s="34" t="n"/>
      <c r="BC333" s="34" t="n"/>
      <c r="BD333" s="34" t="n"/>
      <c r="BE333" s="34" t="n"/>
      <c r="BF333" s="34" t="n"/>
      <c r="BG333" s="34" t="n"/>
      <c r="BH333" s="34" t="n"/>
      <c r="BI333" s="34" t="n"/>
      <c r="BJ333" s="34" t="n"/>
      <c r="BK333" s="34" t="n"/>
      <c r="BL333" s="34" t="n"/>
      <c r="BM333" s="34" t="n"/>
      <c r="BN333" s="34" t="n"/>
      <c r="BO333" s="34" t="n"/>
      <c r="BP333" s="34" t="n"/>
      <c r="BQ333" s="34" t="n"/>
      <c r="BR333" s="82" t="n"/>
      <c r="BS333" s="34" t="n"/>
      <c r="BT333" s="34" t="n"/>
      <c r="BU333" s="34" t="n"/>
      <c r="BV333" s="34" t="n"/>
      <c r="BW333" s="34" t="n"/>
      <c r="BX333" s="34" t="n"/>
      <c r="BY333" s="34" t="n"/>
      <c r="BZ333" s="34" t="n"/>
      <c r="CA333" s="34" t="n"/>
      <c r="CB333" s="33" t="n"/>
      <c r="CC333" s="34" t="n"/>
      <c r="CD333" s="34" t="n"/>
      <c r="CE333" s="82" t="n"/>
      <c r="CF333" s="34" t="n"/>
      <c r="CG333" s="34" t="n"/>
      <c r="CH333" s="34" t="n"/>
      <c r="CI333" s="34" t="n"/>
      <c r="CJ333" s="34" t="n"/>
    </row>
    <row r="334">
      <c r="A334" s="29" t="n"/>
      <c r="B334" s="29" t="n"/>
      <c r="C334" s="35" t="n"/>
      <c r="D334" s="36" t="n"/>
      <c r="E334" s="147" t="n"/>
      <c r="F334" s="30" t="n"/>
      <c r="G334" s="30" t="n"/>
      <c r="H334" s="30" t="n"/>
      <c r="I334" s="30" t="n"/>
      <c r="J334" s="119" t="n"/>
      <c r="K334" s="34" t="n"/>
      <c r="L334" s="119" t="n"/>
      <c r="M334" s="34" t="n"/>
      <c r="N334" s="119" t="n"/>
      <c r="O334" s="34" t="n"/>
      <c r="P334" s="34" t="n"/>
      <c r="Q334" s="117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  <c r="AA334" s="34" t="n"/>
      <c r="AB334" s="34" t="n"/>
      <c r="AC334" s="34" t="n"/>
      <c r="AD334" s="34" t="n"/>
      <c r="AE334" s="34" t="n"/>
      <c r="AF334" s="34" t="n"/>
      <c r="AG334" s="34" t="n"/>
      <c r="AH334" s="34" t="n"/>
      <c r="AK334" s="34" t="n"/>
      <c r="AL334" s="34" t="n"/>
      <c r="AM334" s="39" t="n"/>
      <c r="AN334" s="34" t="n"/>
      <c r="AO334" s="34" t="n"/>
      <c r="AP334" s="34" t="n"/>
      <c r="AQ334" s="34" t="n"/>
      <c r="AR334" s="34" t="n"/>
      <c r="AS334" s="34" t="n"/>
      <c r="AU334" s="34" t="n"/>
      <c r="AV334" s="34" t="n"/>
      <c r="AW334" s="34" t="n"/>
      <c r="AX334" s="34" t="n"/>
      <c r="AY334" s="34" t="n"/>
      <c r="AZ334" s="34" t="n"/>
      <c r="BA334" s="34" t="n"/>
      <c r="BB334" s="34" t="n"/>
      <c r="BC334" s="34" t="n"/>
      <c r="BD334" s="34" t="n"/>
      <c r="BE334" s="34" t="n"/>
      <c r="BF334" s="34" t="n"/>
      <c r="BG334" s="34" t="n"/>
      <c r="BH334" s="34" t="n"/>
      <c r="BI334" s="34" t="n"/>
      <c r="BJ334" s="34" t="n"/>
      <c r="BK334" s="34" t="n"/>
      <c r="BL334" s="34" t="n"/>
      <c r="BM334" s="34" t="n"/>
      <c r="BN334" s="34" t="n"/>
      <c r="BO334" s="34" t="n"/>
      <c r="BP334" s="34" t="n"/>
      <c r="BQ334" s="34" t="n"/>
      <c r="BR334" s="82" t="n"/>
      <c r="BS334" s="34" t="n"/>
      <c r="BT334" s="34" t="n"/>
      <c r="BU334" s="34" t="n"/>
      <c r="BV334" s="34" t="n"/>
      <c r="BW334" s="34" t="n"/>
      <c r="BX334" s="34" t="n"/>
      <c r="BY334" s="34" t="n"/>
      <c r="BZ334" s="34" t="n"/>
      <c r="CA334" s="34" t="n"/>
      <c r="CB334" s="33" t="n"/>
      <c r="CC334" s="34" t="n"/>
      <c r="CD334" s="34" t="n"/>
      <c r="CE334" s="82" t="n"/>
      <c r="CF334" s="34" t="n"/>
      <c r="CG334" s="34" t="n"/>
      <c r="CH334" s="34" t="n"/>
      <c r="CI334" s="34" t="n"/>
      <c r="CJ334" s="34" t="n"/>
    </row>
    <row r="335">
      <c r="A335" s="29" t="n"/>
      <c r="B335" s="29" t="n"/>
      <c r="C335" s="35" t="n"/>
      <c r="D335" s="36" t="n"/>
      <c r="E335" s="147" t="n"/>
      <c r="F335" s="30" t="n"/>
      <c r="G335" s="30" t="n"/>
      <c r="H335" s="30" t="n"/>
      <c r="I335" s="30" t="n"/>
      <c r="J335" s="119" t="n"/>
      <c r="K335" s="34" t="n"/>
      <c r="L335" s="119" t="n"/>
      <c r="M335" s="34" t="n"/>
      <c r="N335" s="119" t="n"/>
      <c r="O335" s="34" t="n"/>
      <c r="P335" s="34" t="n"/>
      <c r="Q335" s="117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  <c r="AA335" s="34" t="n"/>
      <c r="AB335" s="34" t="n"/>
      <c r="AC335" s="34" t="n"/>
      <c r="AD335" s="34" t="n"/>
      <c r="AE335" s="34" t="n"/>
      <c r="AF335" s="34" t="n"/>
      <c r="AG335" s="34" t="n"/>
      <c r="AH335" s="34" t="n"/>
      <c r="AK335" s="34" t="n"/>
      <c r="AL335" s="34" t="n"/>
      <c r="AM335" s="39" t="n"/>
      <c r="AN335" s="34" t="n"/>
      <c r="AO335" s="34" t="n"/>
      <c r="AP335" s="34" t="n"/>
      <c r="AQ335" s="34" t="n"/>
      <c r="AR335" s="34" t="n"/>
      <c r="AS335" s="34" t="n"/>
      <c r="AU335" s="34" t="n"/>
      <c r="AV335" s="34" t="n"/>
      <c r="AW335" s="34" t="n"/>
      <c r="AX335" s="34" t="n"/>
      <c r="AY335" s="34" t="n"/>
      <c r="AZ335" s="34" t="n"/>
      <c r="BA335" s="34" t="n"/>
      <c r="BB335" s="34" t="n"/>
      <c r="BC335" s="34" t="n"/>
      <c r="BD335" s="34" t="n"/>
      <c r="BE335" s="34" t="n"/>
      <c r="BF335" s="34" t="n"/>
      <c r="BG335" s="34" t="n"/>
      <c r="BH335" s="34" t="n"/>
      <c r="BI335" s="34" t="n"/>
      <c r="BJ335" s="34" t="n"/>
      <c r="BK335" s="34" t="n"/>
      <c r="BL335" s="34" t="n"/>
      <c r="BM335" s="34" t="n"/>
      <c r="BN335" s="34" t="n"/>
      <c r="BO335" s="34" t="n"/>
      <c r="BP335" s="34" t="n"/>
      <c r="BQ335" s="34" t="n"/>
      <c r="BR335" s="82" t="n"/>
      <c r="BS335" s="34" t="n"/>
      <c r="BT335" s="34" t="n"/>
      <c r="BU335" s="34" t="n"/>
      <c r="BV335" s="34" t="n"/>
      <c r="BW335" s="34" t="n"/>
      <c r="BX335" s="34" t="n"/>
      <c r="BY335" s="34" t="n"/>
      <c r="BZ335" s="34" t="n"/>
      <c r="CA335" s="34" t="n"/>
      <c r="CB335" s="33" t="n"/>
      <c r="CC335" s="34" t="n"/>
      <c r="CD335" s="34" t="n"/>
      <c r="CE335" s="82" t="n"/>
      <c r="CF335" s="34" t="n"/>
      <c r="CG335" s="34" t="n"/>
      <c r="CH335" s="34" t="n"/>
      <c r="CI335" s="34" t="n"/>
      <c r="CJ335" s="34" t="n"/>
    </row>
    <row r="336">
      <c r="A336" s="29" t="n"/>
      <c r="B336" s="29" t="n"/>
      <c r="C336" s="35" t="n"/>
      <c r="D336" s="36" t="n"/>
      <c r="E336" s="147" t="n"/>
      <c r="F336" s="30" t="n"/>
      <c r="G336" s="30" t="n"/>
      <c r="H336" s="30" t="n"/>
      <c r="I336" s="30" t="n"/>
      <c r="J336" s="119" t="n"/>
      <c r="K336" s="34" t="n"/>
      <c r="L336" s="119" t="n"/>
      <c r="M336" s="34" t="n"/>
      <c r="N336" s="119" t="n"/>
      <c r="O336" s="34" t="n"/>
      <c r="P336" s="34" t="n"/>
      <c r="Q336" s="117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  <c r="AA336" s="34" t="n"/>
      <c r="AB336" s="34" t="n"/>
      <c r="AC336" s="34" t="n"/>
      <c r="AD336" s="34" t="n"/>
      <c r="AE336" s="34" t="n"/>
      <c r="AF336" s="34" t="n"/>
      <c r="AG336" s="34" t="n"/>
      <c r="AH336" s="34" t="n"/>
      <c r="AK336" s="34" t="n"/>
      <c r="AL336" s="34" t="n"/>
      <c r="AM336" s="39" t="n"/>
      <c r="AN336" s="34" t="n"/>
      <c r="AO336" s="34" t="n"/>
      <c r="AP336" s="34" t="n"/>
      <c r="AQ336" s="34" t="n"/>
      <c r="AR336" s="34" t="n"/>
      <c r="AS336" s="34" t="n"/>
      <c r="AU336" s="34" t="n"/>
      <c r="AV336" s="34" t="n"/>
      <c r="AW336" s="34" t="n"/>
      <c r="AX336" s="34" t="n"/>
      <c r="AY336" s="34" t="n"/>
      <c r="AZ336" s="34" t="n"/>
      <c r="BA336" s="34" t="n"/>
      <c r="BB336" s="34" t="n"/>
      <c r="BC336" s="34" t="n"/>
      <c r="BD336" s="34" t="n"/>
      <c r="BE336" s="34" t="n"/>
      <c r="BF336" s="34" t="n"/>
      <c r="BG336" s="34" t="n"/>
      <c r="BH336" s="34" t="n"/>
      <c r="BI336" s="34" t="n"/>
      <c r="BJ336" s="34" t="n"/>
      <c r="BK336" s="34" t="n"/>
      <c r="BL336" s="34" t="n"/>
      <c r="BM336" s="34" t="n"/>
      <c r="BN336" s="34" t="n"/>
      <c r="BO336" s="34" t="n"/>
      <c r="BP336" s="34" t="n"/>
      <c r="BQ336" s="34" t="n"/>
      <c r="BR336" s="82" t="n"/>
      <c r="BS336" s="34" t="n"/>
      <c r="BT336" s="34" t="n"/>
      <c r="BU336" s="34" t="n"/>
      <c r="BV336" s="34" t="n"/>
      <c r="BW336" s="34" t="n"/>
      <c r="BX336" s="34" t="n"/>
      <c r="BY336" s="34" t="n"/>
      <c r="BZ336" s="34" t="n"/>
      <c r="CA336" s="34" t="n"/>
      <c r="CB336" s="33" t="n"/>
      <c r="CC336" s="34" t="n"/>
      <c r="CD336" s="34" t="n"/>
      <c r="CE336" s="82" t="n"/>
      <c r="CF336" s="34" t="n"/>
      <c r="CG336" s="34" t="n"/>
      <c r="CH336" s="34" t="n"/>
      <c r="CI336" s="34" t="n"/>
      <c r="CJ336" s="34" t="n"/>
    </row>
    <row r="337">
      <c r="A337" s="29" t="n"/>
      <c r="B337" s="29" t="n"/>
      <c r="C337" s="35" t="n"/>
      <c r="D337" s="36" t="n"/>
      <c r="E337" s="147" t="n"/>
      <c r="F337" s="30" t="n"/>
      <c r="G337" s="30" t="n"/>
      <c r="H337" s="30" t="n"/>
      <c r="I337" s="30" t="n"/>
      <c r="J337" s="119" t="n"/>
      <c r="K337" s="34" t="n"/>
      <c r="L337" s="119" t="n"/>
      <c r="M337" s="34" t="n"/>
      <c r="N337" s="119" t="n"/>
      <c r="O337" s="34" t="n"/>
      <c r="P337" s="34" t="n"/>
      <c r="Q337" s="117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  <c r="AA337" s="34" t="n"/>
      <c r="AB337" s="34" t="n"/>
      <c r="AC337" s="34" t="n"/>
      <c r="AD337" s="34" t="n"/>
      <c r="AE337" s="34" t="n"/>
      <c r="AF337" s="34" t="n"/>
      <c r="AG337" s="34" t="n"/>
      <c r="AH337" s="34" t="n"/>
      <c r="AK337" s="34" t="n"/>
      <c r="AL337" s="34" t="n"/>
      <c r="AM337" s="39" t="n"/>
      <c r="AN337" s="34" t="n"/>
      <c r="AO337" s="34" t="n"/>
      <c r="AP337" s="34" t="n"/>
      <c r="AQ337" s="34" t="n"/>
      <c r="AR337" s="34" t="n"/>
      <c r="AS337" s="34" t="n"/>
      <c r="AU337" s="34" t="n"/>
      <c r="AV337" s="34" t="n"/>
      <c r="AW337" s="34" t="n"/>
      <c r="AX337" s="34" t="n"/>
      <c r="AY337" s="34" t="n"/>
      <c r="AZ337" s="34" t="n"/>
      <c r="BA337" s="34" t="n"/>
      <c r="BB337" s="34" t="n"/>
      <c r="BC337" s="34" t="n"/>
      <c r="BD337" s="34" t="n"/>
      <c r="BE337" s="34" t="n"/>
      <c r="BF337" s="34" t="n"/>
      <c r="BG337" s="34" t="n"/>
      <c r="BH337" s="34" t="n"/>
      <c r="BI337" s="34" t="n"/>
      <c r="BJ337" s="34" t="n"/>
      <c r="BK337" s="34" t="n"/>
      <c r="BL337" s="34" t="n"/>
      <c r="BM337" s="34" t="n"/>
      <c r="BN337" s="34" t="n"/>
      <c r="BO337" s="34" t="n"/>
      <c r="BP337" s="34" t="n"/>
      <c r="BQ337" s="34" t="n"/>
      <c r="BR337" s="82" t="n"/>
      <c r="BS337" s="34" t="n"/>
      <c r="BT337" s="34" t="n"/>
      <c r="BU337" s="34" t="n"/>
      <c r="BV337" s="34" t="n"/>
      <c r="BW337" s="34" t="n"/>
      <c r="BX337" s="34" t="n"/>
      <c r="BY337" s="34" t="n"/>
      <c r="BZ337" s="34" t="n"/>
      <c r="CA337" s="34" t="n"/>
      <c r="CB337" s="33" t="n"/>
      <c r="CC337" s="34" t="n"/>
      <c r="CD337" s="34" t="n"/>
      <c r="CE337" s="82" t="n"/>
      <c r="CF337" s="34" t="n"/>
      <c r="CG337" s="34" t="n"/>
      <c r="CH337" s="34" t="n"/>
      <c r="CI337" s="34" t="n"/>
      <c r="CJ337" s="34" t="n"/>
    </row>
    <row r="338">
      <c r="A338" s="29" t="n"/>
      <c r="B338" s="29" t="n"/>
      <c r="C338" s="35" t="n"/>
      <c r="D338" s="36" t="n"/>
      <c r="E338" s="147" t="n"/>
      <c r="F338" s="30" t="n"/>
      <c r="G338" s="30" t="n"/>
      <c r="H338" s="30" t="n"/>
      <c r="I338" s="30" t="n"/>
      <c r="J338" s="119" t="n"/>
      <c r="K338" s="34" t="n"/>
      <c r="L338" s="119" t="n"/>
      <c r="M338" s="34" t="n"/>
      <c r="N338" s="119" t="n"/>
      <c r="O338" s="34" t="n"/>
      <c r="P338" s="34" t="n"/>
      <c r="Q338" s="117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  <c r="AA338" s="34" t="n"/>
      <c r="AB338" s="34" t="n"/>
      <c r="AC338" s="34" t="n"/>
      <c r="AD338" s="34" t="n"/>
      <c r="AE338" s="34" t="n"/>
      <c r="AF338" s="34" t="n"/>
      <c r="AG338" s="34" t="n"/>
      <c r="AH338" s="34" t="n"/>
      <c r="AK338" s="34" t="n"/>
      <c r="AL338" s="34" t="n"/>
      <c r="AM338" s="39" t="n"/>
      <c r="AN338" s="34" t="n"/>
      <c r="AO338" s="34" t="n"/>
      <c r="AP338" s="34" t="n"/>
      <c r="AQ338" s="34" t="n"/>
      <c r="AR338" s="34" t="n"/>
      <c r="AS338" s="34" t="n"/>
      <c r="AU338" s="34" t="n"/>
      <c r="AV338" s="34" t="n"/>
      <c r="AW338" s="34" t="n"/>
      <c r="AX338" s="34" t="n"/>
      <c r="AY338" s="34" t="n"/>
      <c r="AZ338" s="34" t="n"/>
      <c r="BA338" s="34" t="n"/>
      <c r="BB338" s="34" t="n"/>
      <c r="BC338" s="34" t="n"/>
      <c r="BD338" s="34" t="n"/>
      <c r="BE338" s="34" t="n"/>
      <c r="BF338" s="34" t="n"/>
      <c r="BG338" s="34" t="n"/>
      <c r="BH338" s="34" t="n"/>
      <c r="BI338" s="34" t="n"/>
      <c r="BJ338" s="34" t="n"/>
      <c r="BK338" s="34" t="n"/>
      <c r="BL338" s="34" t="n"/>
      <c r="BM338" s="34" t="n"/>
      <c r="BN338" s="34" t="n"/>
      <c r="BO338" s="34" t="n"/>
      <c r="BP338" s="34" t="n"/>
      <c r="BQ338" s="34" t="n"/>
      <c r="BR338" s="82" t="n"/>
      <c r="BS338" s="34" t="n"/>
      <c r="BT338" s="34" t="n"/>
      <c r="BU338" s="34" t="n"/>
      <c r="BV338" s="34" t="n"/>
      <c r="BW338" s="34" t="n"/>
      <c r="BX338" s="34" t="n"/>
      <c r="BY338" s="34" t="n"/>
      <c r="BZ338" s="34" t="n"/>
      <c r="CA338" s="34" t="n"/>
      <c r="CB338" s="33" t="n"/>
      <c r="CC338" s="34" t="n"/>
      <c r="CD338" s="34" t="n"/>
      <c r="CE338" s="82" t="n"/>
      <c r="CF338" s="34" t="n"/>
      <c r="CG338" s="34" t="n"/>
      <c r="CH338" s="34" t="n"/>
      <c r="CI338" s="34" t="n"/>
      <c r="CJ338" s="34" t="n"/>
    </row>
    <row r="339">
      <c r="A339" s="29" t="n"/>
      <c r="B339" s="29" t="n"/>
      <c r="C339" s="35" t="n"/>
      <c r="D339" s="36" t="n"/>
      <c r="E339" s="147" t="n"/>
      <c r="F339" s="30" t="n"/>
      <c r="G339" s="30" t="n"/>
      <c r="H339" s="30" t="n"/>
      <c r="I339" s="30" t="n"/>
      <c r="J339" s="119" t="n"/>
      <c r="K339" s="34" t="n"/>
      <c r="L339" s="119" t="n"/>
      <c r="M339" s="34" t="n"/>
      <c r="N339" s="119" t="n"/>
      <c r="O339" s="34" t="n"/>
      <c r="P339" s="34" t="n"/>
      <c r="Q339" s="117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  <c r="AA339" s="34" t="n"/>
      <c r="AB339" s="34" t="n"/>
      <c r="AC339" s="34" t="n"/>
      <c r="AD339" s="34" t="n"/>
      <c r="AE339" s="34" t="n"/>
      <c r="AF339" s="34" t="n"/>
      <c r="AG339" s="34" t="n"/>
      <c r="AH339" s="34" t="n"/>
      <c r="AK339" s="34" t="n"/>
      <c r="AL339" s="34" t="n"/>
      <c r="AM339" s="39" t="n"/>
      <c r="AN339" s="34" t="n"/>
      <c r="AO339" s="34" t="n"/>
      <c r="AP339" s="34" t="n"/>
      <c r="AQ339" s="34" t="n"/>
      <c r="AR339" s="34" t="n"/>
      <c r="AS339" s="34" t="n"/>
      <c r="AU339" s="34" t="n"/>
      <c r="AV339" s="34" t="n"/>
      <c r="AW339" s="34" t="n"/>
      <c r="AX339" s="34" t="n"/>
      <c r="AY339" s="34" t="n"/>
      <c r="AZ339" s="34" t="n"/>
      <c r="BA339" s="34" t="n"/>
      <c r="BB339" s="34" t="n"/>
      <c r="BC339" s="34" t="n"/>
      <c r="BD339" s="34" t="n"/>
      <c r="BE339" s="34" t="n"/>
      <c r="BF339" s="34" t="n"/>
      <c r="BG339" s="34" t="n"/>
      <c r="BH339" s="34" t="n"/>
      <c r="BI339" s="34" t="n"/>
      <c r="BJ339" s="34" t="n"/>
      <c r="BK339" s="34" t="n"/>
      <c r="BL339" s="34" t="n"/>
      <c r="BM339" s="34" t="n"/>
      <c r="BN339" s="34" t="n"/>
      <c r="BO339" s="34" t="n"/>
      <c r="BP339" s="34" t="n"/>
      <c r="BQ339" s="34" t="n"/>
      <c r="BR339" s="82" t="n"/>
      <c r="BS339" s="34" t="n"/>
      <c r="BT339" s="34" t="n"/>
      <c r="BU339" s="34" t="n"/>
      <c r="BV339" s="34" t="n"/>
      <c r="BW339" s="34" t="n"/>
      <c r="BX339" s="34" t="n"/>
      <c r="BY339" s="34" t="n"/>
      <c r="BZ339" s="34" t="n"/>
      <c r="CA339" s="34" t="n"/>
      <c r="CB339" s="33" t="n"/>
      <c r="CC339" s="34" t="n"/>
      <c r="CD339" s="34" t="n"/>
      <c r="CE339" s="82" t="n"/>
      <c r="CF339" s="34" t="n"/>
      <c r="CG339" s="34" t="n"/>
      <c r="CH339" s="34" t="n"/>
      <c r="CI339" s="34" t="n"/>
      <c r="CJ339" s="34" t="n"/>
    </row>
    <row r="340">
      <c r="A340" s="29" t="n"/>
      <c r="B340" s="29" t="n"/>
      <c r="C340" s="35" t="n"/>
      <c r="D340" s="36" t="n"/>
      <c r="E340" s="147" t="n"/>
      <c r="F340" s="30" t="n"/>
      <c r="G340" s="30" t="n"/>
      <c r="H340" s="30" t="n"/>
      <c r="I340" s="30" t="n"/>
      <c r="J340" s="119" t="n"/>
      <c r="K340" s="34" t="n"/>
      <c r="L340" s="119" t="n"/>
      <c r="M340" s="34" t="n"/>
      <c r="N340" s="119" t="n"/>
      <c r="O340" s="34" t="n"/>
      <c r="P340" s="34" t="n"/>
      <c r="Q340" s="117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  <c r="AA340" s="34" t="n"/>
      <c r="AB340" s="34" t="n"/>
      <c r="AC340" s="34" t="n"/>
      <c r="AD340" s="34" t="n"/>
      <c r="AE340" s="34" t="n"/>
      <c r="AF340" s="34" t="n"/>
      <c r="AG340" s="34" t="n"/>
      <c r="AH340" s="34" t="n"/>
      <c r="AK340" s="34" t="n"/>
      <c r="AL340" s="34" t="n"/>
      <c r="AM340" s="39" t="n"/>
      <c r="AN340" s="34" t="n"/>
      <c r="AO340" s="34" t="n"/>
      <c r="AP340" s="34" t="n"/>
      <c r="AQ340" s="34" t="n"/>
      <c r="AR340" s="34" t="n"/>
      <c r="AS340" s="34" t="n"/>
      <c r="AU340" s="34" t="n"/>
      <c r="AV340" s="34" t="n"/>
      <c r="AW340" s="34" t="n"/>
      <c r="AX340" s="34" t="n"/>
      <c r="AY340" s="34" t="n"/>
      <c r="AZ340" s="34" t="n"/>
      <c r="BA340" s="34" t="n"/>
      <c r="BB340" s="34" t="n"/>
      <c r="BC340" s="34" t="n"/>
      <c r="BD340" s="34" t="n"/>
      <c r="BE340" s="34" t="n"/>
      <c r="BF340" s="34" t="n"/>
      <c r="BG340" s="34" t="n"/>
      <c r="BH340" s="34" t="n"/>
      <c r="BI340" s="34" t="n"/>
      <c r="BJ340" s="34" t="n"/>
      <c r="BK340" s="34" t="n"/>
      <c r="BL340" s="34" t="n"/>
      <c r="BM340" s="34" t="n"/>
      <c r="BN340" s="34" t="n"/>
      <c r="BO340" s="34" t="n"/>
      <c r="BP340" s="34" t="n"/>
      <c r="BQ340" s="34" t="n"/>
      <c r="BR340" s="82" t="n"/>
      <c r="BS340" s="34" t="n"/>
      <c r="BT340" s="34" t="n"/>
      <c r="BU340" s="34" t="n"/>
      <c r="BV340" s="34" t="n"/>
      <c r="BW340" s="34" t="n"/>
      <c r="BX340" s="34" t="n"/>
      <c r="BY340" s="34" t="n"/>
      <c r="BZ340" s="34" t="n"/>
      <c r="CA340" s="34" t="n"/>
      <c r="CB340" s="33" t="n"/>
      <c r="CC340" s="34" t="n"/>
      <c r="CD340" s="34" t="n"/>
      <c r="CE340" s="82" t="n"/>
      <c r="CF340" s="34" t="n"/>
      <c r="CG340" s="34" t="n"/>
      <c r="CH340" s="34" t="n"/>
      <c r="CI340" s="34" t="n"/>
      <c r="CJ340" s="34" t="n"/>
    </row>
    <row r="341">
      <c r="A341" s="29" t="n"/>
      <c r="B341" s="29" t="n"/>
      <c r="C341" s="35" t="n"/>
      <c r="D341" s="36" t="n"/>
      <c r="E341" s="147" t="n"/>
      <c r="F341" s="30" t="n"/>
      <c r="G341" s="30" t="n"/>
      <c r="H341" s="30" t="n"/>
      <c r="I341" s="30" t="n"/>
      <c r="J341" s="119" t="n"/>
      <c r="K341" s="34" t="n"/>
      <c r="L341" s="119" t="n"/>
      <c r="M341" s="34" t="n"/>
      <c r="N341" s="119" t="n"/>
      <c r="O341" s="34" t="n"/>
      <c r="P341" s="34" t="n"/>
      <c r="Q341" s="117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  <c r="AA341" s="34" t="n"/>
      <c r="AB341" s="34" t="n"/>
      <c r="AC341" s="34" t="n"/>
      <c r="AD341" s="34" t="n"/>
      <c r="AE341" s="34" t="n"/>
      <c r="AF341" s="34" t="n"/>
      <c r="AG341" s="34" t="n"/>
      <c r="AH341" s="34" t="n"/>
      <c r="AK341" s="34" t="n"/>
      <c r="AL341" s="34" t="n"/>
      <c r="AM341" s="39" t="n"/>
      <c r="AN341" s="34" t="n"/>
      <c r="AO341" s="34" t="n"/>
      <c r="AP341" s="34" t="n"/>
      <c r="AQ341" s="34" t="n"/>
      <c r="AR341" s="34" t="n"/>
      <c r="AS341" s="34" t="n"/>
      <c r="AU341" s="34" t="n"/>
      <c r="AV341" s="34" t="n"/>
      <c r="AW341" s="34" t="n"/>
      <c r="AX341" s="34" t="n"/>
      <c r="AY341" s="34" t="n"/>
      <c r="AZ341" s="34" t="n"/>
      <c r="BA341" s="34" t="n"/>
      <c r="BB341" s="34" t="n"/>
      <c r="BC341" s="34" t="n"/>
      <c r="BD341" s="34" t="n"/>
      <c r="BE341" s="34" t="n"/>
      <c r="BF341" s="34" t="n"/>
      <c r="BG341" s="34" t="n"/>
      <c r="BH341" s="34" t="n"/>
      <c r="BI341" s="34" t="n"/>
      <c r="BJ341" s="34" t="n"/>
      <c r="BK341" s="34" t="n"/>
      <c r="BL341" s="34" t="n"/>
      <c r="BM341" s="34" t="n"/>
      <c r="BN341" s="34" t="n"/>
      <c r="BO341" s="34" t="n"/>
      <c r="BP341" s="34" t="n"/>
      <c r="BQ341" s="34" t="n"/>
      <c r="BR341" s="82" t="n"/>
      <c r="BS341" s="34" t="n"/>
      <c r="BT341" s="34" t="n"/>
      <c r="BU341" s="34" t="n"/>
      <c r="BV341" s="34" t="n"/>
      <c r="BW341" s="34" t="n"/>
      <c r="BX341" s="34" t="n"/>
      <c r="BY341" s="34" t="n"/>
      <c r="BZ341" s="34" t="n"/>
      <c r="CA341" s="34" t="n"/>
      <c r="CB341" s="33" t="n"/>
      <c r="CC341" s="34" t="n"/>
      <c r="CD341" s="34" t="n"/>
      <c r="CE341" s="82" t="n"/>
      <c r="CF341" s="34" t="n"/>
      <c r="CG341" s="34" t="n"/>
      <c r="CH341" s="34" t="n"/>
      <c r="CI341" s="34" t="n"/>
      <c r="CJ341" s="34" t="n"/>
    </row>
    <row r="342">
      <c r="A342" s="29" t="n"/>
      <c r="B342" s="29" t="n"/>
      <c r="C342" s="35" t="n"/>
      <c r="D342" s="36" t="n"/>
      <c r="E342" s="147" t="n"/>
      <c r="F342" s="30" t="n"/>
      <c r="G342" s="30" t="n"/>
      <c r="H342" s="30" t="n"/>
      <c r="I342" s="30" t="n"/>
      <c r="J342" s="119" t="n"/>
      <c r="K342" s="34" t="n"/>
      <c r="L342" s="119" t="n"/>
      <c r="M342" s="34" t="n"/>
      <c r="N342" s="119" t="n"/>
      <c r="O342" s="34" t="n"/>
      <c r="P342" s="34" t="n"/>
      <c r="Q342" s="117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  <c r="AA342" s="34" t="n"/>
      <c r="AB342" s="34" t="n"/>
      <c r="AC342" s="34" t="n"/>
      <c r="AD342" s="34" t="n"/>
      <c r="AE342" s="34" t="n"/>
      <c r="AF342" s="34" t="n"/>
      <c r="AG342" s="34" t="n"/>
      <c r="AH342" s="34" t="n"/>
      <c r="AK342" s="34" t="n"/>
      <c r="AL342" s="34" t="n"/>
      <c r="AM342" s="39" t="n"/>
      <c r="AN342" s="34" t="n"/>
      <c r="AO342" s="34" t="n"/>
      <c r="AP342" s="34" t="n"/>
      <c r="AQ342" s="34" t="n"/>
      <c r="AR342" s="34" t="n"/>
      <c r="AS342" s="34" t="n"/>
      <c r="AU342" s="34" t="n"/>
      <c r="AV342" s="34" t="n"/>
      <c r="AW342" s="34" t="n"/>
      <c r="AX342" s="34" t="n"/>
      <c r="AY342" s="34" t="n"/>
      <c r="AZ342" s="34" t="n"/>
      <c r="BA342" s="34" t="n"/>
      <c r="BB342" s="34" t="n"/>
      <c r="BC342" s="34" t="n"/>
      <c r="BD342" s="34" t="n"/>
      <c r="BE342" s="34" t="n"/>
      <c r="BF342" s="34" t="n"/>
      <c r="BG342" s="34" t="n"/>
      <c r="BH342" s="34" t="n"/>
      <c r="BI342" s="34" t="n"/>
      <c r="BJ342" s="34" t="n"/>
      <c r="BK342" s="34" t="n"/>
      <c r="BL342" s="34" t="n"/>
      <c r="BM342" s="34" t="n"/>
      <c r="BN342" s="34" t="n"/>
      <c r="BO342" s="34" t="n"/>
      <c r="BP342" s="34" t="n"/>
      <c r="BQ342" s="34" t="n"/>
      <c r="BR342" s="82" t="n"/>
      <c r="BS342" s="34" t="n"/>
      <c r="BT342" s="34" t="n"/>
      <c r="BU342" s="34" t="n"/>
      <c r="BV342" s="34" t="n"/>
      <c r="BW342" s="34" t="n"/>
      <c r="BX342" s="34" t="n"/>
      <c r="BY342" s="34" t="n"/>
      <c r="BZ342" s="34" t="n"/>
      <c r="CA342" s="34" t="n"/>
      <c r="CB342" s="33" t="n"/>
      <c r="CC342" s="34" t="n"/>
      <c r="CD342" s="34" t="n"/>
      <c r="CE342" s="82" t="n"/>
      <c r="CF342" s="34" t="n"/>
      <c r="CG342" s="34" t="n"/>
      <c r="CH342" s="34" t="n"/>
      <c r="CI342" s="34" t="n"/>
      <c r="CJ342" s="34" t="n"/>
    </row>
    <row r="343">
      <c r="A343" s="29" t="n"/>
      <c r="B343" s="29" t="n"/>
      <c r="C343" s="35" t="n"/>
      <c r="D343" s="36" t="n"/>
      <c r="E343" s="147" t="n"/>
      <c r="F343" s="30" t="n"/>
      <c r="G343" s="30" t="n"/>
      <c r="H343" s="30" t="n"/>
      <c r="I343" s="30" t="n"/>
      <c r="J343" s="119" t="n"/>
      <c r="K343" s="34" t="n"/>
      <c r="L343" s="119" t="n"/>
      <c r="M343" s="34" t="n"/>
      <c r="N343" s="119" t="n"/>
      <c r="O343" s="34" t="n"/>
      <c r="P343" s="34" t="n"/>
      <c r="Q343" s="117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  <c r="AA343" s="34" t="n"/>
      <c r="AB343" s="34" t="n"/>
      <c r="AC343" s="34" t="n"/>
      <c r="AD343" s="34" t="n"/>
      <c r="AE343" s="34" t="n"/>
      <c r="AF343" s="34" t="n"/>
      <c r="AG343" s="34" t="n"/>
      <c r="AH343" s="34" t="n"/>
      <c r="AK343" s="34" t="n"/>
      <c r="AL343" s="34" t="n"/>
      <c r="AM343" s="39" t="n"/>
      <c r="AN343" s="34" t="n"/>
      <c r="AO343" s="34" t="n"/>
      <c r="AP343" s="34" t="n"/>
      <c r="AQ343" s="34" t="n"/>
      <c r="AR343" s="34" t="n"/>
      <c r="AS343" s="34" t="n"/>
      <c r="AU343" s="34" t="n"/>
      <c r="AV343" s="34" t="n"/>
      <c r="AW343" s="34" t="n"/>
      <c r="AX343" s="34" t="n"/>
      <c r="AY343" s="34" t="n"/>
      <c r="AZ343" s="34" t="n"/>
      <c r="BA343" s="34" t="n"/>
      <c r="BB343" s="34" t="n"/>
      <c r="BC343" s="34" t="n"/>
      <c r="BD343" s="34" t="n"/>
      <c r="BE343" s="34" t="n"/>
      <c r="BF343" s="34" t="n"/>
      <c r="BG343" s="34" t="n"/>
      <c r="BH343" s="34" t="n"/>
      <c r="BI343" s="34" t="n"/>
      <c r="BJ343" s="34" t="n"/>
      <c r="BK343" s="34" t="n"/>
      <c r="BL343" s="34" t="n"/>
      <c r="BM343" s="34" t="n"/>
      <c r="BN343" s="34" t="n"/>
      <c r="BO343" s="34" t="n"/>
      <c r="BP343" s="34" t="n"/>
      <c r="BQ343" s="34" t="n"/>
      <c r="BR343" s="82" t="n"/>
      <c r="BS343" s="34" t="n"/>
      <c r="BT343" s="34" t="n"/>
      <c r="BU343" s="34" t="n"/>
      <c r="BV343" s="34" t="n"/>
      <c r="BW343" s="34" t="n"/>
      <c r="BX343" s="34" t="n"/>
      <c r="BY343" s="34" t="n"/>
      <c r="BZ343" s="34" t="n"/>
      <c r="CA343" s="34" t="n"/>
      <c r="CB343" s="33" t="n"/>
      <c r="CC343" s="34" t="n"/>
      <c r="CD343" s="34" t="n"/>
      <c r="CE343" s="82" t="n"/>
      <c r="CF343" s="34" t="n"/>
      <c r="CG343" s="34" t="n"/>
      <c r="CH343" s="34" t="n"/>
      <c r="CI343" s="34" t="n"/>
      <c r="CJ343" s="34" t="n"/>
    </row>
    <row r="344">
      <c r="A344" s="29" t="n"/>
      <c r="B344" s="29" t="n"/>
      <c r="C344" s="35" t="n"/>
      <c r="D344" s="36" t="n"/>
      <c r="E344" s="147" t="n"/>
      <c r="F344" s="30" t="n"/>
      <c r="G344" s="30" t="n"/>
      <c r="H344" s="30" t="n"/>
      <c r="I344" s="30" t="n"/>
      <c r="J344" s="119" t="n"/>
      <c r="K344" s="34" t="n"/>
      <c r="L344" s="119" t="n"/>
      <c r="M344" s="34" t="n"/>
      <c r="N344" s="119" t="n"/>
      <c r="O344" s="34" t="n"/>
      <c r="P344" s="34" t="n"/>
      <c r="Q344" s="117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  <c r="AA344" s="34" t="n"/>
      <c r="AB344" s="34" t="n"/>
      <c r="AC344" s="34" t="n"/>
      <c r="AD344" s="34" t="n"/>
      <c r="AE344" s="34" t="n"/>
      <c r="AF344" s="34" t="n"/>
      <c r="AG344" s="34" t="n"/>
      <c r="AH344" s="34" t="n"/>
      <c r="AK344" s="34" t="n"/>
      <c r="AL344" s="34" t="n"/>
      <c r="AM344" s="39" t="n"/>
      <c r="AN344" s="34" t="n"/>
      <c r="AO344" s="34" t="n"/>
      <c r="AP344" s="34" t="n"/>
      <c r="AQ344" s="34" t="n"/>
      <c r="AR344" s="34" t="n"/>
      <c r="AS344" s="34" t="n"/>
      <c r="AU344" s="34" t="n"/>
      <c r="AV344" s="34" t="n"/>
      <c r="AW344" s="34" t="n"/>
      <c r="AX344" s="34" t="n"/>
      <c r="AY344" s="34" t="n"/>
      <c r="AZ344" s="34" t="n"/>
      <c r="BA344" s="34" t="n"/>
      <c r="BB344" s="34" t="n"/>
      <c r="BC344" s="34" t="n"/>
      <c r="BD344" s="34" t="n"/>
      <c r="BE344" s="34" t="n"/>
      <c r="BF344" s="34" t="n"/>
      <c r="BG344" s="34" t="n"/>
      <c r="BH344" s="34" t="n"/>
      <c r="BI344" s="34" t="n"/>
      <c r="BJ344" s="34" t="n"/>
      <c r="BK344" s="34" t="n"/>
      <c r="BL344" s="34" t="n"/>
      <c r="BM344" s="34" t="n"/>
      <c r="BN344" s="34" t="n"/>
      <c r="BO344" s="34" t="n"/>
      <c r="BP344" s="34" t="n"/>
      <c r="BQ344" s="34" t="n"/>
      <c r="BR344" s="82" t="n"/>
      <c r="BS344" s="34" t="n"/>
      <c r="BT344" s="34" t="n"/>
      <c r="BU344" s="34" t="n"/>
      <c r="BV344" s="34" t="n"/>
      <c r="BW344" s="34" t="n"/>
      <c r="BX344" s="34" t="n"/>
      <c r="BY344" s="34" t="n"/>
      <c r="BZ344" s="34" t="n"/>
      <c r="CA344" s="34" t="n"/>
      <c r="CB344" s="33" t="n"/>
      <c r="CC344" s="34" t="n"/>
      <c r="CD344" s="34" t="n"/>
      <c r="CE344" s="82" t="n"/>
      <c r="CF344" s="34" t="n"/>
      <c r="CG344" s="34" t="n"/>
      <c r="CH344" s="34" t="n"/>
      <c r="CI344" s="34" t="n"/>
      <c r="CJ344" s="34" t="n"/>
    </row>
    <row r="345">
      <c r="A345" s="29" t="n"/>
      <c r="B345" s="29" t="n"/>
      <c r="C345" s="35" t="n"/>
      <c r="D345" s="36" t="n"/>
      <c r="E345" s="147" t="n"/>
      <c r="F345" s="30" t="n"/>
      <c r="G345" s="30" t="n"/>
      <c r="H345" s="30" t="n"/>
      <c r="I345" s="30" t="n"/>
      <c r="J345" s="119" t="n"/>
      <c r="K345" s="34" t="n"/>
      <c r="L345" s="119" t="n"/>
      <c r="M345" s="34" t="n"/>
      <c r="N345" s="119" t="n"/>
      <c r="O345" s="34" t="n"/>
      <c r="P345" s="34" t="n"/>
      <c r="Q345" s="117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  <c r="AA345" s="34" t="n"/>
      <c r="AB345" s="34" t="n"/>
      <c r="AC345" s="34" t="n"/>
      <c r="AD345" s="34" t="n"/>
      <c r="AE345" s="34" t="n"/>
      <c r="AF345" s="34" t="n"/>
      <c r="AG345" s="34" t="n"/>
      <c r="AH345" s="34" t="n"/>
      <c r="AK345" s="34" t="n"/>
      <c r="AL345" s="34" t="n"/>
      <c r="AM345" s="39" t="n"/>
      <c r="AN345" s="34" t="n"/>
      <c r="AO345" s="34" t="n"/>
      <c r="AP345" s="34" t="n"/>
      <c r="AQ345" s="34" t="n"/>
      <c r="AR345" s="34" t="n"/>
      <c r="AS345" s="34" t="n"/>
      <c r="AU345" s="34" t="n"/>
      <c r="AV345" s="34" t="n"/>
      <c r="AW345" s="34" t="n"/>
      <c r="AX345" s="34" t="n"/>
      <c r="AY345" s="34" t="n"/>
      <c r="AZ345" s="34" t="n"/>
      <c r="BA345" s="34" t="n"/>
      <c r="BB345" s="34" t="n"/>
      <c r="BC345" s="34" t="n"/>
      <c r="BD345" s="34" t="n"/>
      <c r="BE345" s="34" t="n"/>
      <c r="BF345" s="34" t="n"/>
      <c r="BG345" s="34" t="n"/>
      <c r="BH345" s="34" t="n"/>
      <c r="BI345" s="34" t="n"/>
      <c r="BJ345" s="34" t="n"/>
      <c r="BK345" s="34" t="n"/>
      <c r="BL345" s="34" t="n"/>
      <c r="BM345" s="34" t="n"/>
      <c r="BN345" s="34" t="n"/>
      <c r="BO345" s="34" t="n"/>
      <c r="BP345" s="34" t="n"/>
      <c r="BQ345" s="34" t="n"/>
      <c r="BR345" s="82" t="n"/>
      <c r="BS345" s="34" t="n"/>
      <c r="BT345" s="34" t="n"/>
      <c r="BU345" s="34" t="n"/>
      <c r="BV345" s="34" t="n"/>
      <c r="BW345" s="34" t="n"/>
      <c r="BX345" s="34" t="n"/>
      <c r="BY345" s="34" t="n"/>
      <c r="BZ345" s="34" t="n"/>
      <c r="CA345" s="34" t="n"/>
      <c r="CB345" s="33" t="n"/>
      <c r="CC345" s="34" t="n"/>
      <c r="CD345" s="34" t="n"/>
      <c r="CE345" s="82" t="n"/>
      <c r="CF345" s="34" t="n"/>
      <c r="CG345" s="34" t="n"/>
      <c r="CH345" s="34" t="n"/>
      <c r="CI345" s="34" t="n"/>
      <c r="CJ345" s="34" t="n"/>
    </row>
    <row r="346">
      <c r="A346" s="29" t="n"/>
      <c r="B346" s="29" t="n"/>
      <c r="C346" s="35" t="n"/>
      <c r="D346" s="36" t="n"/>
      <c r="E346" s="147" t="n"/>
      <c r="F346" s="30" t="n"/>
      <c r="G346" s="30" t="n"/>
      <c r="H346" s="30" t="n"/>
      <c r="I346" s="30" t="n"/>
      <c r="J346" s="119" t="n"/>
      <c r="K346" s="34" t="n"/>
      <c r="L346" s="119" t="n"/>
      <c r="M346" s="34" t="n"/>
      <c r="N346" s="119" t="n"/>
      <c r="O346" s="34" t="n"/>
      <c r="P346" s="34" t="n"/>
      <c r="Q346" s="117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  <c r="AA346" s="34" t="n"/>
      <c r="AB346" s="34" t="n"/>
      <c r="AC346" s="34" t="n"/>
      <c r="AD346" s="34" t="n"/>
      <c r="AE346" s="34" t="n"/>
      <c r="AF346" s="34" t="n"/>
      <c r="AG346" s="34" t="n"/>
      <c r="AH346" s="34" t="n"/>
      <c r="AK346" s="34" t="n"/>
      <c r="AL346" s="34" t="n"/>
      <c r="AM346" s="39" t="n"/>
      <c r="AN346" s="34" t="n"/>
      <c r="AO346" s="34" t="n"/>
      <c r="AP346" s="34" t="n"/>
      <c r="AQ346" s="34" t="n"/>
      <c r="AR346" s="34" t="n"/>
      <c r="AS346" s="34" t="n"/>
      <c r="AU346" s="34" t="n"/>
      <c r="AV346" s="34" t="n"/>
      <c r="AW346" s="34" t="n"/>
      <c r="AX346" s="34" t="n"/>
      <c r="AY346" s="34" t="n"/>
      <c r="AZ346" s="34" t="n"/>
      <c r="BA346" s="34" t="n"/>
      <c r="BB346" s="34" t="n"/>
      <c r="BC346" s="34" t="n"/>
      <c r="BD346" s="34" t="n"/>
      <c r="BE346" s="34" t="n"/>
      <c r="BF346" s="34" t="n"/>
      <c r="BG346" s="34" t="n"/>
      <c r="BH346" s="34" t="n"/>
      <c r="BI346" s="34" t="n"/>
      <c r="BJ346" s="34" t="n"/>
      <c r="BK346" s="34" t="n"/>
      <c r="BL346" s="34" t="n"/>
      <c r="BM346" s="34" t="n"/>
      <c r="BN346" s="34" t="n"/>
      <c r="BO346" s="34" t="n"/>
      <c r="BP346" s="34" t="n"/>
      <c r="BQ346" s="34" t="n"/>
      <c r="BR346" s="82" t="n"/>
      <c r="BS346" s="34" t="n"/>
      <c r="BT346" s="34" t="n"/>
      <c r="BU346" s="34" t="n"/>
      <c r="BV346" s="34" t="n"/>
      <c r="BW346" s="34" t="n"/>
      <c r="BX346" s="34" t="n"/>
      <c r="BY346" s="34" t="n"/>
      <c r="BZ346" s="34" t="n"/>
      <c r="CA346" s="34" t="n"/>
      <c r="CB346" s="33" t="n"/>
      <c r="CC346" s="34" t="n"/>
      <c r="CD346" s="34" t="n"/>
      <c r="CE346" s="82" t="n"/>
      <c r="CF346" s="34" t="n"/>
      <c r="CG346" s="34" t="n"/>
      <c r="CH346" s="34" t="n"/>
      <c r="CI346" s="34" t="n"/>
      <c r="CJ346" s="34" t="n"/>
    </row>
    <row r="347">
      <c r="A347" s="29" t="n"/>
      <c r="B347" s="29" t="n"/>
      <c r="C347" s="35" t="n"/>
      <c r="D347" s="36" t="n"/>
      <c r="E347" s="147" t="n"/>
      <c r="F347" s="30" t="n"/>
      <c r="G347" s="30" t="n"/>
      <c r="H347" s="30" t="n"/>
      <c r="I347" s="30" t="n"/>
      <c r="J347" s="119" t="n"/>
      <c r="K347" s="34" t="n"/>
      <c r="L347" s="119" t="n"/>
      <c r="M347" s="34" t="n"/>
      <c r="N347" s="119" t="n"/>
      <c r="O347" s="34" t="n"/>
      <c r="P347" s="34" t="n"/>
      <c r="Q347" s="117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  <c r="AA347" s="34" t="n"/>
      <c r="AB347" s="34" t="n"/>
      <c r="AC347" s="34" t="n"/>
      <c r="AD347" s="34" t="n"/>
      <c r="AE347" s="34" t="n"/>
      <c r="AF347" s="34" t="n"/>
      <c r="AG347" s="34" t="n"/>
      <c r="AH347" s="34" t="n"/>
      <c r="AK347" s="34" t="n"/>
      <c r="AL347" s="34" t="n"/>
      <c r="AM347" s="39" t="n"/>
      <c r="AN347" s="34" t="n"/>
      <c r="AO347" s="34" t="n"/>
      <c r="AP347" s="34" t="n"/>
      <c r="AQ347" s="34" t="n"/>
      <c r="AR347" s="34" t="n"/>
      <c r="AS347" s="34" t="n"/>
      <c r="AU347" s="34" t="n"/>
      <c r="AV347" s="34" t="n"/>
      <c r="AW347" s="34" t="n"/>
      <c r="AX347" s="34" t="n"/>
      <c r="AY347" s="34" t="n"/>
      <c r="AZ347" s="34" t="n"/>
      <c r="BA347" s="34" t="n"/>
      <c r="BB347" s="34" t="n"/>
      <c r="BC347" s="34" t="n"/>
      <c r="BD347" s="34" t="n"/>
      <c r="BE347" s="34" t="n"/>
      <c r="BF347" s="34" t="n"/>
      <c r="BG347" s="34" t="n"/>
      <c r="BH347" s="34" t="n"/>
      <c r="BI347" s="34" t="n"/>
      <c r="BJ347" s="34" t="n"/>
      <c r="BK347" s="34" t="n"/>
      <c r="BL347" s="34" t="n"/>
      <c r="BM347" s="34" t="n"/>
      <c r="BN347" s="34" t="n"/>
      <c r="BO347" s="34" t="n"/>
      <c r="BP347" s="34" t="n"/>
      <c r="BQ347" s="34" t="n"/>
      <c r="BR347" s="82" t="n"/>
      <c r="BS347" s="34" t="n"/>
      <c r="BT347" s="34" t="n"/>
      <c r="BU347" s="34" t="n"/>
      <c r="BV347" s="34" t="n"/>
      <c r="BW347" s="34" t="n"/>
      <c r="BX347" s="34" t="n"/>
      <c r="BY347" s="34" t="n"/>
      <c r="BZ347" s="34" t="n"/>
      <c r="CA347" s="34" t="n"/>
      <c r="CB347" s="33" t="n"/>
      <c r="CC347" s="34" t="n"/>
      <c r="CD347" s="34" t="n"/>
      <c r="CE347" s="82" t="n"/>
      <c r="CF347" s="34" t="n"/>
      <c r="CG347" s="34" t="n"/>
      <c r="CH347" s="34" t="n"/>
      <c r="CI347" s="34" t="n"/>
      <c r="CJ347" s="34" t="n"/>
    </row>
    <row r="348">
      <c r="A348" s="29" t="n"/>
      <c r="B348" s="29" t="n"/>
      <c r="C348" s="35" t="n"/>
      <c r="D348" s="36" t="n"/>
      <c r="E348" s="147" t="n"/>
      <c r="F348" s="30" t="n"/>
      <c r="G348" s="30" t="n"/>
      <c r="H348" s="30" t="n"/>
      <c r="I348" s="30" t="n"/>
      <c r="J348" s="119" t="n"/>
      <c r="K348" s="34" t="n"/>
      <c r="L348" s="119" t="n"/>
      <c r="M348" s="34" t="n"/>
      <c r="N348" s="119" t="n"/>
      <c r="O348" s="34" t="n"/>
      <c r="P348" s="34" t="n"/>
      <c r="Q348" s="117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  <c r="AA348" s="34" t="n"/>
      <c r="AB348" s="34" t="n"/>
      <c r="AC348" s="34" t="n"/>
      <c r="AD348" s="34" t="n"/>
      <c r="AE348" s="34" t="n"/>
      <c r="AF348" s="34" t="n"/>
      <c r="AG348" s="34" t="n"/>
      <c r="AH348" s="34" t="n"/>
      <c r="AK348" s="34" t="n"/>
      <c r="AL348" s="34" t="n"/>
      <c r="AM348" s="39" t="n"/>
      <c r="AN348" s="34" t="n"/>
      <c r="AO348" s="34" t="n"/>
      <c r="AP348" s="34" t="n"/>
      <c r="AQ348" s="34" t="n"/>
      <c r="AR348" s="34" t="n"/>
      <c r="AS348" s="34" t="n"/>
      <c r="AU348" s="34" t="n"/>
      <c r="AV348" s="34" t="n"/>
      <c r="AW348" s="34" t="n"/>
      <c r="AX348" s="34" t="n"/>
      <c r="AY348" s="34" t="n"/>
      <c r="AZ348" s="34" t="n"/>
      <c r="BA348" s="34" t="n"/>
      <c r="BB348" s="34" t="n"/>
      <c r="BC348" s="34" t="n"/>
      <c r="BD348" s="34" t="n"/>
      <c r="BE348" s="34" t="n"/>
      <c r="BF348" s="34" t="n"/>
      <c r="BG348" s="34" t="n"/>
      <c r="BH348" s="34" t="n"/>
      <c r="BI348" s="34" t="n"/>
      <c r="BJ348" s="34" t="n"/>
      <c r="BK348" s="34" t="n"/>
      <c r="BL348" s="34" t="n"/>
      <c r="BM348" s="34" t="n"/>
      <c r="BN348" s="34" t="n"/>
      <c r="BO348" s="34" t="n"/>
      <c r="BP348" s="34" t="n"/>
      <c r="BQ348" s="34" t="n"/>
      <c r="BR348" s="82" t="n"/>
      <c r="BS348" s="34" t="n"/>
      <c r="BT348" s="34" t="n"/>
      <c r="BU348" s="34" t="n"/>
      <c r="BV348" s="34" t="n"/>
      <c r="BW348" s="34" t="n"/>
      <c r="BX348" s="34" t="n"/>
      <c r="BY348" s="34" t="n"/>
      <c r="BZ348" s="34" t="n"/>
      <c r="CA348" s="34" t="n"/>
      <c r="CB348" s="33" t="n"/>
      <c r="CC348" s="34" t="n"/>
      <c r="CD348" s="34" t="n"/>
      <c r="CE348" s="82" t="n"/>
      <c r="CF348" s="34" t="n"/>
      <c r="CG348" s="34" t="n"/>
      <c r="CH348" s="34" t="n"/>
      <c r="CI348" s="34" t="n"/>
      <c r="CJ348" s="34" t="n"/>
    </row>
    <row r="349">
      <c r="A349" s="29" t="n"/>
      <c r="B349" s="29" t="n"/>
      <c r="C349" s="35" t="n"/>
      <c r="D349" s="36" t="n"/>
      <c r="E349" s="147" t="n"/>
      <c r="F349" s="30" t="n"/>
      <c r="G349" s="30" t="n"/>
      <c r="H349" s="30" t="n"/>
      <c r="I349" s="30" t="n"/>
      <c r="J349" s="119" t="n"/>
      <c r="K349" s="34" t="n"/>
      <c r="L349" s="119" t="n"/>
      <c r="M349" s="34" t="n"/>
      <c r="N349" s="119" t="n"/>
      <c r="O349" s="34" t="n"/>
      <c r="P349" s="34" t="n"/>
      <c r="Q349" s="117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  <c r="AA349" s="34" t="n"/>
      <c r="AB349" s="34" t="n"/>
      <c r="AC349" s="34" t="n"/>
      <c r="AD349" s="34" t="n"/>
      <c r="AE349" s="34" t="n"/>
      <c r="AF349" s="34" t="n"/>
      <c r="AG349" s="34" t="n"/>
      <c r="AH349" s="34" t="n"/>
      <c r="AK349" s="34" t="n"/>
      <c r="AL349" s="34" t="n"/>
      <c r="AM349" s="39" t="n"/>
      <c r="AN349" s="34" t="n"/>
      <c r="AO349" s="34" t="n"/>
      <c r="AP349" s="34" t="n"/>
      <c r="AQ349" s="34" t="n"/>
      <c r="AR349" s="34" t="n"/>
      <c r="AS349" s="34" t="n"/>
      <c r="AU349" s="34" t="n"/>
      <c r="AV349" s="34" t="n"/>
      <c r="AW349" s="34" t="n"/>
      <c r="AX349" s="34" t="n"/>
      <c r="AY349" s="34" t="n"/>
      <c r="AZ349" s="34" t="n"/>
      <c r="BA349" s="34" t="n"/>
      <c r="BB349" s="34" t="n"/>
      <c r="BC349" s="34" t="n"/>
      <c r="BD349" s="34" t="n"/>
      <c r="BE349" s="34" t="n"/>
      <c r="BF349" s="34" t="n"/>
      <c r="BG349" s="34" t="n"/>
      <c r="BH349" s="34" t="n"/>
      <c r="BI349" s="34" t="n"/>
      <c r="BJ349" s="34" t="n"/>
      <c r="BK349" s="34" t="n"/>
      <c r="BL349" s="34" t="n"/>
      <c r="BM349" s="34" t="n"/>
      <c r="BN349" s="34" t="n"/>
      <c r="BO349" s="34" t="n"/>
      <c r="BP349" s="34" t="n"/>
      <c r="BQ349" s="34" t="n"/>
      <c r="BR349" s="82" t="n"/>
      <c r="BS349" s="34" t="n"/>
      <c r="BT349" s="34" t="n"/>
      <c r="BU349" s="34" t="n"/>
      <c r="BV349" s="34" t="n"/>
      <c r="BW349" s="34" t="n"/>
      <c r="BX349" s="34" t="n"/>
      <c r="BY349" s="34" t="n"/>
      <c r="BZ349" s="34" t="n"/>
      <c r="CA349" s="34" t="n"/>
      <c r="CB349" s="33" t="n"/>
      <c r="CC349" s="34" t="n"/>
      <c r="CD349" s="34" t="n"/>
      <c r="CE349" s="82" t="n"/>
      <c r="CF349" s="34" t="n"/>
      <c r="CG349" s="34" t="n"/>
      <c r="CH349" s="34" t="n"/>
      <c r="CI349" s="34" t="n"/>
      <c r="CJ349" s="34" t="n"/>
    </row>
    <row r="350">
      <c r="A350" s="29" t="n"/>
      <c r="B350" s="29" t="n"/>
      <c r="C350" s="35" t="n"/>
      <c r="D350" s="36" t="n"/>
      <c r="E350" s="147" t="n"/>
      <c r="F350" s="30" t="n"/>
      <c r="G350" s="30" t="n"/>
      <c r="H350" s="30" t="n"/>
      <c r="I350" s="30" t="n"/>
      <c r="J350" s="119" t="n"/>
      <c r="K350" s="34" t="n"/>
      <c r="L350" s="119" t="n"/>
      <c r="M350" s="34" t="n"/>
      <c r="N350" s="119" t="n"/>
      <c r="O350" s="34" t="n"/>
      <c r="P350" s="34" t="n"/>
      <c r="Q350" s="117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  <c r="AA350" s="34" t="n"/>
      <c r="AB350" s="34" t="n"/>
      <c r="AC350" s="34" t="n"/>
      <c r="AD350" s="34" t="n"/>
      <c r="AE350" s="34" t="n"/>
      <c r="AF350" s="34" t="n"/>
      <c r="AG350" s="34" t="n"/>
      <c r="AH350" s="34" t="n"/>
      <c r="AK350" s="34" t="n"/>
      <c r="AL350" s="34" t="n"/>
      <c r="AM350" s="39" t="n"/>
      <c r="AN350" s="34" t="n"/>
      <c r="AO350" s="34" t="n"/>
      <c r="AP350" s="34" t="n"/>
      <c r="AQ350" s="34" t="n"/>
      <c r="AR350" s="34" t="n"/>
      <c r="AS350" s="34" t="n"/>
      <c r="AU350" s="34" t="n"/>
      <c r="AV350" s="34" t="n"/>
      <c r="AW350" s="34" t="n"/>
      <c r="AX350" s="34" t="n"/>
      <c r="AY350" s="34" t="n"/>
      <c r="AZ350" s="34" t="n"/>
      <c r="BA350" s="34" t="n"/>
      <c r="BB350" s="34" t="n"/>
      <c r="BC350" s="34" t="n"/>
      <c r="BD350" s="34" t="n"/>
      <c r="BE350" s="34" t="n"/>
      <c r="BF350" s="34" t="n"/>
      <c r="BG350" s="34" t="n"/>
      <c r="BH350" s="34" t="n"/>
      <c r="BI350" s="34" t="n"/>
      <c r="BJ350" s="34" t="n"/>
      <c r="BK350" s="34" t="n"/>
      <c r="BL350" s="34" t="n"/>
      <c r="BM350" s="34" t="n"/>
      <c r="BN350" s="34" t="n"/>
      <c r="BO350" s="34" t="n"/>
      <c r="BP350" s="34" t="n"/>
      <c r="BQ350" s="34" t="n"/>
      <c r="BR350" s="82" t="n"/>
      <c r="BS350" s="34" t="n"/>
      <c r="BT350" s="34" t="n"/>
      <c r="BU350" s="34" t="n"/>
      <c r="BV350" s="34" t="n"/>
      <c r="BW350" s="34" t="n"/>
      <c r="BX350" s="34" t="n"/>
      <c r="BY350" s="34" t="n"/>
      <c r="BZ350" s="34" t="n"/>
      <c r="CA350" s="34" t="n"/>
      <c r="CB350" s="33" t="n"/>
      <c r="CC350" s="34" t="n"/>
      <c r="CD350" s="34" t="n"/>
      <c r="CE350" s="82" t="n"/>
      <c r="CF350" s="34" t="n"/>
      <c r="CG350" s="34" t="n"/>
      <c r="CH350" s="34" t="n"/>
      <c r="CI350" s="34" t="n"/>
      <c r="CJ350" s="34" t="n"/>
    </row>
    <row r="351">
      <c r="A351" s="29" t="n"/>
      <c r="B351" s="29" t="n"/>
      <c r="C351" s="35" t="n"/>
      <c r="D351" s="36" t="n"/>
      <c r="E351" s="147" t="n"/>
      <c r="F351" s="30" t="n"/>
      <c r="G351" s="30" t="n"/>
      <c r="H351" s="30" t="n"/>
      <c r="I351" s="30" t="n"/>
      <c r="J351" s="119" t="n"/>
      <c r="K351" s="34" t="n"/>
      <c r="L351" s="119" t="n"/>
      <c r="M351" s="34" t="n"/>
      <c r="N351" s="119" t="n"/>
      <c r="O351" s="34" t="n"/>
      <c r="P351" s="34" t="n"/>
      <c r="Q351" s="117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  <c r="AA351" s="34" t="n"/>
      <c r="AB351" s="34" t="n"/>
      <c r="AC351" s="34" t="n"/>
      <c r="AD351" s="34" t="n"/>
      <c r="AE351" s="34" t="n"/>
      <c r="AF351" s="34" t="n"/>
      <c r="AG351" s="34" t="n"/>
      <c r="AH351" s="34" t="n"/>
      <c r="AK351" s="34" t="n"/>
      <c r="AL351" s="34" t="n"/>
      <c r="AM351" s="39" t="n"/>
      <c r="AN351" s="34" t="n"/>
      <c r="AO351" s="34" t="n"/>
      <c r="AP351" s="34" t="n"/>
      <c r="AQ351" s="34" t="n"/>
      <c r="AR351" s="34" t="n"/>
      <c r="AS351" s="34" t="n"/>
      <c r="AU351" s="34" t="n"/>
      <c r="AV351" s="34" t="n"/>
      <c r="AW351" s="34" t="n"/>
      <c r="AX351" s="34" t="n"/>
      <c r="AY351" s="34" t="n"/>
      <c r="AZ351" s="34" t="n"/>
      <c r="BA351" s="34" t="n"/>
      <c r="BB351" s="34" t="n"/>
      <c r="BC351" s="34" t="n"/>
      <c r="BD351" s="34" t="n"/>
      <c r="BE351" s="34" t="n"/>
      <c r="BF351" s="34" t="n"/>
      <c r="BG351" s="34" t="n"/>
      <c r="BH351" s="34" t="n"/>
      <c r="BI351" s="34" t="n"/>
      <c r="BJ351" s="34" t="n"/>
      <c r="BK351" s="34" t="n"/>
      <c r="BL351" s="34" t="n"/>
      <c r="BM351" s="34" t="n"/>
      <c r="BN351" s="34" t="n"/>
      <c r="BO351" s="34" t="n"/>
      <c r="BP351" s="34" t="n"/>
      <c r="BQ351" s="34" t="n"/>
      <c r="BR351" s="82" t="n"/>
      <c r="BS351" s="34" t="n"/>
      <c r="BT351" s="34" t="n"/>
      <c r="BU351" s="34" t="n"/>
      <c r="BV351" s="34" t="n"/>
      <c r="BW351" s="34" t="n"/>
      <c r="BX351" s="34" t="n"/>
      <c r="BY351" s="34" t="n"/>
      <c r="BZ351" s="34" t="n"/>
      <c r="CA351" s="34" t="n"/>
      <c r="CB351" s="33" t="n"/>
      <c r="CC351" s="34" t="n"/>
      <c r="CD351" s="34" t="n"/>
      <c r="CE351" s="82" t="n"/>
      <c r="CF351" s="34" t="n"/>
      <c r="CG351" s="34" t="n"/>
      <c r="CH351" s="34" t="n"/>
      <c r="CI351" s="34" t="n"/>
      <c r="CJ351" s="34" t="n"/>
    </row>
    <row r="352">
      <c r="A352" s="29" t="n"/>
      <c r="B352" s="29" t="n"/>
      <c r="C352" s="35" t="n"/>
      <c r="D352" s="36" t="n"/>
      <c r="E352" s="147" t="n"/>
      <c r="F352" s="30" t="n"/>
      <c r="G352" s="30" t="n"/>
      <c r="H352" s="30" t="n"/>
      <c r="I352" s="30" t="n"/>
      <c r="J352" s="119" t="n"/>
      <c r="K352" s="34" t="n"/>
      <c r="L352" s="119" t="n"/>
      <c r="M352" s="34" t="n"/>
      <c r="N352" s="119" t="n"/>
      <c r="O352" s="34" t="n"/>
      <c r="P352" s="34" t="n"/>
      <c r="Q352" s="117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  <c r="AA352" s="34" t="n"/>
      <c r="AB352" s="34" t="n"/>
      <c r="AC352" s="34" t="n"/>
      <c r="AD352" s="34" t="n"/>
      <c r="AE352" s="34" t="n"/>
      <c r="AF352" s="34" t="n"/>
      <c r="AG352" s="34" t="n"/>
      <c r="AH352" s="34" t="n"/>
      <c r="AK352" s="34" t="n"/>
      <c r="AL352" s="34" t="n"/>
      <c r="AM352" s="39" t="n"/>
      <c r="AN352" s="34" t="n"/>
      <c r="AO352" s="34" t="n"/>
      <c r="AP352" s="34" t="n"/>
      <c r="AQ352" s="34" t="n"/>
      <c r="AR352" s="34" t="n"/>
      <c r="AS352" s="34" t="n"/>
      <c r="AU352" s="34" t="n"/>
      <c r="AV352" s="34" t="n"/>
      <c r="AW352" s="34" t="n"/>
      <c r="AX352" s="34" t="n"/>
      <c r="AY352" s="34" t="n"/>
      <c r="AZ352" s="34" t="n"/>
      <c r="BA352" s="34" t="n"/>
      <c r="BB352" s="34" t="n"/>
      <c r="BC352" s="34" t="n"/>
      <c r="BD352" s="34" t="n"/>
      <c r="BE352" s="34" t="n"/>
      <c r="BF352" s="34" t="n"/>
      <c r="BG352" s="34" t="n"/>
      <c r="BH352" s="34" t="n"/>
      <c r="BI352" s="34" t="n"/>
      <c r="BJ352" s="34" t="n"/>
      <c r="BK352" s="34" t="n"/>
      <c r="BL352" s="34" t="n"/>
      <c r="BM352" s="34" t="n"/>
      <c r="BN352" s="34" t="n"/>
      <c r="BO352" s="34" t="n"/>
      <c r="BP352" s="34" t="n"/>
      <c r="BQ352" s="34" t="n"/>
      <c r="BR352" s="82" t="n"/>
      <c r="BS352" s="34" t="n"/>
      <c r="BT352" s="34" t="n"/>
      <c r="BU352" s="34" t="n"/>
      <c r="BV352" s="34" t="n"/>
      <c r="BW352" s="34" t="n"/>
      <c r="BX352" s="34" t="n"/>
      <c r="BY352" s="34" t="n"/>
      <c r="BZ352" s="34" t="n"/>
      <c r="CA352" s="34" t="n"/>
      <c r="CB352" s="33" t="n"/>
      <c r="CC352" s="34" t="n"/>
      <c r="CD352" s="34" t="n"/>
      <c r="CE352" s="82" t="n"/>
      <c r="CF352" s="34" t="n"/>
      <c r="CG352" s="34" t="n"/>
      <c r="CH352" s="34" t="n"/>
      <c r="CI352" s="34" t="n"/>
      <c r="CJ352" s="34" t="n"/>
    </row>
    <row r="353">
      <c r="A353" s="29" t="n"/>
      <c r="B353" s="29" t="n"/>
      <c r="C353" s="35" t="n"/>
      <c r="D353" s="36" t="n"/>
      <c r="E353" s="147" t="n"/>
      <c r="F353" s="30" t="n"/>
      <c r="G353" s="30" t="n"/>
      <c r="H353" s="30" t="n"/>
      <c r="I353" s="30" t="n"/>
      <c r="J353" s="119" t="n"/>
      <c r="K353" s="34" t="n"/>
      <c r="L353" s="119" t="n"/>
      <c r="M353" s="34" t="n"/>
      <c r="N353" s="119" t="n"/>
      <c r="O353" s="34" t="n"/>
      <c r="P353" s="34" t="n"/>
      <c r="Q353" s="117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  <c r="AA353" s="34" t="n"/>
      <c r="AB353" s="34" t="n"/>
      <c r="AC353" s="34" t="n"/>
      <c r="AD353" s="34" t="n"/>
      <c r="AE353" s="34" t="n"/>
      <c r="AF353" s="34" t="n"/>
      <c r="AG353" s="34" t="n"/>
      <c r="AH353" s="34" t="n"/>
      <c r="AK353" s="34" t="n"/>
      <c r="AL353" s="34" t="n"/>
      <c r="AM353" s="39" t="n"/>
      <c r="AN353" s="34" t="n"/>
      <c r="AO353" s="34" t="n"/>
      <c r="AP353" s="34" t="n"/>
      <c r="AQ353" s="34" t="n"/>
      <c r="AR353" s="34" t="n"/>
      <c r="AS353" s="34" t="n"/>
      <c r="AU353" s="34" t="n"/>
      <c r="AV353" s="34" t="n"/>
      <c r="AW353" s="34" t="n"/>
      <c r="AX353" s="34" t="n"/>
      <c r="AY353" s="34" t="n"/>
      <c r="AZ353" s="34" t="n"/>
      <c r="BA353" s="34" t="n"/>
      <c r="BB353" s="34" t="n"/>
      <c r="BC353" s="34" t="n"/>
      <c r="BD353" s="34" t="n"/>
      <c r="BE353" s="34" t="n"/>
      <c r="BF353" s="34" t="n"/>
      <c r="BG353" s="34" t="n"/>
      <c r="BH353" s="34" t="n"/>
      <c r="BI353" s="34" t="n"/>
      <c r="BJ353" s="34" t="n"/>
      <c r="BK353" s="34" t="n"/>
      <c r="BL353" s="34" t="n"/>
      <c r="BM353" s="34" t="n"/>
      <c r="BN353" s="34" t="n"/>
      <c r="BO353" s="34" t="n"/>
      <c r="BP353" s="34" t="n"/>
      <c r="BQ353" s="34" t="n"/>
      <c r="BR353" s="82" t="n"/>
      <c r="BS353" s="34" t="n"/>
      <c r="BT353" s="34" t="n"/>
      <c r="BU353" s="34" t="n"/>
      <c r="BV353" s="34" t="n"/>
      <c r="BW353" s="34" t="n"/>
      <c r="BX353" s="34" t="n"/>
      <c r="BY353" s="34" t="n"/>
      <c r="BZ353" s="34" t="n"/>
      <c r="CA353" s="34" t="n"/>
      <c r="CB353" s="33" t="n"/>
      <c r="CC353" s="34" t="n"/>
      <c r="CD353" s="34" t="n"/>
      <c r="CE353" s="82" t="n"/>
      <c r="CF353" s="34" t="n"/>
      <c r="CG353" s="34" t="n"/>
      <c r="CH353" s="34" t="n"/>
      <c r="CI353" s="34" t="n"/>
      <c r="CJ353" s="34" t="n"/>
    </row>
    <row r="354">
      <c r="A354" s="29" t="n"/>
      <c r="B354" s="29" t="n"/>
      <c r="C354" s="35" t="n"/>
      <c r="D354" s="36" t="n"/>
      <c r="E354" s="147" t="n"/>
      <c r="F354" s="30" t="n"/>
      <c r="G354" s="30" t="n"/>
      <c r="H354" s="30" t="n"/>
      <c r="I354" s="30" t="n"/>
      <c r="J354" s="119" t="n"/>
      <c r="K354" s="34" t="n"/>
      <c r="L354" s="119" t="n"/>
      <c r="M354" s="34" t="n"/>
      <c r="N354" s="119" t="n"/>
      <c r="O354" s="34" t="n"/>
      <c r="P354" s="34" t="n"/>
      <c r="Q354" s="117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  <c r="AA354" s="34" t="n"/>
      <c r="AB354" s="34" t="n"/>
      <c r="AC354" s="34" t="n"/>
      <c r="AD354" s="34" t="n"/>
      <c r="AE354" s="34" t="n"/>
      <c r="AF354" s="34" t="n"/>
      <c r="AG354" s="34" t="n"/>
      <c r="AH354" s="34" t="n"/>
      <c r="AK354" s="34" t="n"/>
      <c r="AL354" s="34" t="n"/>
      <c r="AM354" s="39" t="n"/>
      <c r="AN354" s="34" t="n"/>
      <c r="AO354" s="34" t="n"/>
      <c r="AP354" s="34" t="n"/>
      <c r="AQ354" s="34" t="n"/>
      <c r="AR354" s="34" t="n"/>
      <c r="AS354" s="34" t="n"/>
      <c r="AU354" s="34" t="n"/>
      <c r="AV354" s="34" t="n"/>
      <c r="AW354" s="34" t="n"/>
      <c r="AX354" s="34" t="n"/>
      <c r="AY354" s="34" t="n"/>
      <c r="AZ354" s="34" t="n"/>
      <c r="BA354" s="34" t="n"/>
      <c r="BB354" s="34" t="n"/>
      <c r="BC354" s="34" t="n"/>
      <c r="BD354" s="34" t="n"/>
      <c r="BE354" s="34" t="n"/>
      <c r="BF354" s="34" t="n"/>
      <c r="BG354" s="34" t="n"/>
      <c r="BH354" s="34" t="n"/>
      <c r="BI354" s="34" t="n"/>
      <c r="BJ354" s="34" t="n"/>
      <c r="BK354" s="34" t="n"/>
      <c r="BL354" s="34" t="n"/>
      <c r="BM354" s="34" t="n"/>
      <c r="BN354" s="34" t="n"/>
      <c r="BO354" s="34" t="n"/>
      <c r="BP354" s="34" t="n"/>
      <c r="BQ354" s="34" t="n"/>
      <c r="BR354" s="82" t="n"/>
      <c r="BS354" s="34" t="n"/>
      <c r="BT354" s="34" t="n"/>
      <c r="BU354" s="34" t="n"/>
      <c r="BV354" s="34" t="n"/>
      <c r="BW354" s="34" t="n"/>
      <c r="BX354" s="34" t="n"/>
      <c r="BY354" s="34" t="n"/>
      <c r="BZ354" s="34" t="n"/>
      <c r="CA354" s="34" t="n"/>
      <c r="CB354" s="33" t="n"/>
      <c r="CC354" s="34" t="n"/>
      <c r="CD354" s="34" t="n"/>
      <c r="CE354" s="82" t="n"/>
      <c r="CF354" s="34" t="n"/>
      <c r="CG354" s="34" t="n"/>
      <c r="CH354" s="34" t="n"/>
      <c r="CI354" s="34" t="n"/>
      <c r="CJ354" s="34" t="n"/>
    </row>
    <row r="355">
      <c r="A355" s="29" t="n"/>
      <c r="B355" s="29" t="n"/>
      <c r="C355" s="35" t="n"/>
      <c r="D355" s="36" t="n"/>
      <c r="E355" s="147" t="n"/>
      <c r="F355" s="30" t="n"/>
      <c r="G355" s="30" t="n"/>
      <c r="H355" s="30" t="n"/>
      <c r="I355" s="30" t="n"/>
      <c r="J355" s="119" t="n"/>
      <c r="K355" s="34" t="n"/>
      <c r="L355" s="119" t="n"/>
      <c r="M355" s="34" t="n"/>
      <c r="N355" s="119" t="n"/>
      <c r="O355" s="34" t="n"/>
      <c r="P355" s="34" t="n"/>
      <c r="Q355" s="117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  <c r="AA355" s="34" t="n"/>
      <c r="AB355" s="34" t="n"/>
      <c r="AC355" s="34" t="n"/>
      <c r="AD355" s="34" t="n"/>
      <c r="AE355" s="34" t="n"/>
      <c r="AF355" s="34" t="n"/>
      <c r="AG355" s="34" t="n"/>
      <c r="AH355" s="34" t="n"/>
      <c r="AK355" s="34" t="n"/>
      <c r="AL355" s="34" t="n"/>
      <c r="AM355" s="39" t="n"/>
      <c r="AN355" s="34" t="n"/>
      <c r="AO355" s="34" t="n"/>
      <c r="AP355" s="34" t="n"/>
      <c r="AQ355" s="34" t="n"/>
      <c r="AR355" s="34" t="n"/>
      <c r="AS355" s="34" t="n"/>
      <c r="AU355" s="34" t="n"/>
      <c r="AV355" s="34" t="n"/>
      <c r="AW355" s="34" t="n"/>
      <c r="AX355" s="34" t="n"/>
      <c r="AY355" s="34" t="n"/>
      <c r="AZ355" s="34" t="n"/>
      <c r="BA355" s="34" t="n"/>
      <c r="BB355" s="34" t="n"/>
      <c r="BC355" s="34" t="n"/>
      <c r="BD355" s="34" t="n"/>
      <c r="BE355" s="34" t="n"/>
      <c r="BF355" s="34" t="n"/>
      <c r="BG355" s="34" t="n"/>
      <c r="BH355" s="34" t="n"/>
      <c r="BI355" s="34" t="n"/>
      <c r="BJ355" s="34" t="n"/>
      <c r="BK355" s="34" t="n"/>
      <c r="BL355" s="34" t="n"/>
      <c r="BM355" s="34" t="n"/>
      <c r="BN355" s="34" t="n"/>
      <c r="BO355" s="34" t="n"/>
      <c r="BP355" s="34" t="n"/>
      <c r="BQ355" s="34" t="n"/>
      <c r="BR355" s="82" t="n"/>
      <c r="BS355" s="34" t="n"/>
      <c r="BT355" s="34" t="n"/>
      <c r="BU355" s="34" t="n"/>
      <c r="BV355" s="34" t="n"/>
      <c r="BW355" s="34" t="n"/>
      <c r="BX355" s="34" t="n"/>
      <c r="BY355" s="34" t="n"/>
      <c r="BZ355" s="34" t="n"/>
      <c r="CA355" s="34" t="n"/>
      <c r="CB355" s="33" t="n"/>
      <c r="CC355" s="34" t="n"/>
      <c r="CD355" s="34" t="n"/>
      <c r="CE355" s="82" t="n"/>
      <c r="CF355" s="34" t="n"/>
      <c r="CG355" s="34" t="n"/>
      <c r="CH355" s="34" t="n"/>
      <c r="CI355" s="34" t="n"/>
      <c r="CJ355" s="34" t="n"/>
    </row>
    <row r="356">
      <c r="A356" s="29" t="n"/>
      <c r="B356" s="29" t="n"/>
      <c r="C356" s="35" t="n"/>
      <c r="D356" s="36" t="n"/>
      <c r="E356" s="147" t="n"/>
      <c r="F356" s="30" t="n"/>
      <c r="G356" s="30" t="n"/>
      <c r="H356" s="30" t="n"/>
      <c r="I356" s="30" t="n"/>
      <c r="J356" s="119" t="n"/>
      <c r="K356" s="34" t="n"/>
      <c r="L356" s="119" t="n"/>
      <c r="M356" s="34" t="n"/>
      <c r="N356" s="119" t="n"/>
      <c r="O356" s="34" t="n"/>
      <c r="P356" s="34" t="n"/>
      <c r="Q356" s="117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  <c r="AA356" s="34" t="n"/>
      <c r="AB356" s="34" t="n"/>
      <c r="AC356" s="34" t="n"/>
      <c r="AD356" s="34" t="n"/>
      <c r="AE356" s="34" t="n"/>
      <c r="AF356" s="34" t="n"/>
      <c r="AG356" s="34" t="n"/>
      <c r="AH356" s="34" t="n"/>
      <c r="AK356" s="34" t="n"/>
      <c r="AL356" s="34" t="n"/>
      <c r="AM356" s="39" t="n"/>
      <c r="AN356" s="34" t="n"/>
      <c r="AO356" s="34" t="n"/>
      <c r="AP356" s="34" t="n"/>
      <c r="AQ356" s="34" t="n"/>
      <c r="AR356" s="34" t="n"/>
      <c r="AS356" s="34" t="n"/>
      <c r="AU356" s="34" t="n"/>
      <c r="AV356" s="34" t="n"/>
      <c r="AW356" s="34" t="n"/>
      <c r="AX356" s="34" t="n"/>
      <c r="AY356" s="34" t="n"/>
      <c r="AZ356" s="34" t="n"/>
      <c r="BA356" s="34" t="n"/>
      <c r="BB356" s="34" t="n"/>
      <c r="BC356" s="34" t="n"/>
      <c r="BD356" s="34" t="n"/>
      <c r="BE356" s="34" t="n"/>
      <c r="BF356" s="34" t="n"/>
      <c r="BG356" s="34" t="n"/>
      <c r="BH356" s="34" t="n"/>
      <c r="BI356" s="34" t="n"/>
      <c r="BJ356" s="34" t="n"/>
      <c r="BK356" s="34" t="n"/>
      <c r="BL356" s="34" t="n"/>
      <c r="BM356" s="34" t="n"/>
      <c r="BN356" s="34" t="n"/>
      <c r="BO356" s="34" t="n"/>
      <c r="BP356" s="34" t="n"/>
      <c r="BQ356" s="34" t="n"/>
      <c r="BR356" s="82" t="n"/>
      <c r="BS356" s="34" t="n"/>
      <c r="BT356" s="34" t="n"/>
      <c r="BU356" s="34" t="n"/>
      <c r="BV356" s="34" t="n"/>
      <c r="BW356" s="34" t="n"/>
      <c r="BX356" s="34" t="n"/>
      <c r="BY356" s="34" t="n"/>
      <c r="BZ356" s="34" t="n"/>
      <c r="CA356" s="34" t="n"/>
      <c r="CB356" s="33" t="n"/>
      <c r="CC356" s="34" t="n"/>
      <c r="CD356" s="34" t="n"/>
      <c r="CE356" s="82" t="n"/>
      <c r="CF356" s="34" t="n"/>
      <c r="CG356" s="34" t="n"/>
      <c r="CH356" s="34" t="n"/>
      <c r="CI356" s="34" t="n"/>
      <c r="CJ356" s="34" t="n"/>
    </row>
    <row r="357">
      <c r="A357" s="29" t="n"/>
      <c r="B357" s="29" t="n"/>
      <c r="C357" s="35" t="n"/>
      <c r="D357" s="36" t="n"/>
      <c r="E357" s="147" t="n"/>
      <c r="F357" s="30" t="n"/>
      <c r="G357" s="30" t="n"/>
      <c r="H357" s="30" t="n"/>
      <c r="I357" s="30" t="n"/>
      <c r="J357" s="119" t="n"/>
      <c r="K357" s="34" t="n"/>
      <c r="L357" s="119" t="n"/>
      <c r="M357" s="34" t="n"/>
      <c r="N357" s="119" t="n"/>
      <c r="O357" s="34" t="n"/>
      <c r="P357" s="34" t="n"/>
      <c r="Q357" s="117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  <c r="AA357" s="34" t="n"/>
      <c r="AB357" s="34" t="n"/>
      <c r="AC357" s="34" t="n"/>
      <c r="AD357" s="34" t="n"/>
      <c r="AE357" s="34" t="n"/>
      <c r="AF357" s="34" t="n"/>
      <c r="AG357" s="34" t="n"/>
      <c r="AH357" s="34" t="n"/>
      <c r="AK357" s="34" t="n"/>
      <c r="AL357" s="34" t="n"/>
      <c r="AM357" s="39" t="n"/>
      <c r="AN357" s="34" t="n"/>
      <c r="AO357" s="34" t="n"/>
      <c r="AP357" s="34" t="n"/>
      <c r="AQ357" s="34" t="n"/>
      <c r="AR357" s="34" t="n"/>
      <c r="AS357" s="34" t="n"/>
      <c r="AU357" s="34" t="n"/>
      <c r="AV357" s="34" t="n"/>
      <c r="AW357" s="34" t="n"/>
      <c r="AX357" s="34" t="n"/>
      <c r="AY357" s="34" t="n"/>
      <c r="AZ357" s="34" t="n"/>
      <c r="BA357" s="34" t="n"/>
      <c r="BB357" s="34" t="n"/>
      <c r="BC357" s="34" t="n"/>
      <c r="BD357" s="34" t="n"/>
      <c r="BE357" s="34" t="n"/>
      <c r="BF357" s="34" t="n"/>
      <c r="BG357" s="34" t="n"/>
      <c r="BH357" s="34" t="n"/>
      <c r="BI357" s="34" t="n"/>
      <c r="BJ357" s="34" t="n"/>
      <c r="BK357" s="34" t="n"/>
      <c r="BL357" s="34" t="n"/>
      <c r="BM357" s="34" t="n"/>
      <c r="BN357" s="34" t="n"/>
      <c r="BO357" s="34" t="n"/>
      <c r="BP357" s="34" t="n"/>
      <c r="BQ357" s="34" t="n"/>
      <c r="BR357" s="82" t="n"/>
      <c r="BS357" s="34" t="n"/>
      <c r="BT357" s="34" t="n"/>
      <c r="BU357" s="34" t="n"/>
      <c r="BV357" s="34" t="n"/>
      <c r="BW357" s="34" t="n"/>
      <c r="BX357" s="34" t="n"/>
      <c r="BY357" s="34" t="n"/>
      <c r="BZ357" s="34" t="n"/>
      <c r="CA357" s="34" t="n"/>
      <c r="CB357" s="33" t="n"/>
      <c r="CC357" s="34" t="n"/>
      <c r="CD357" s="34" t="n"/>
      <c r="CE357" s="82" t="n"/>
      <c r="CF357" s="34" t="n"/>
      <c r="CG357" s="34" t="n"/>
      <c r="CH357" s="34" t="n"/>
      <c r="CI357" s="34" t="n"/>
      <c r="CJ357" s="34" t="n"/>
    </row>
    <row r="358">
      <c r="A358" s="29" t="n"/>
      <c r="B358" s="29" t="n"/>
      <c r="C358" s="35" t="n"/>
      <c r="D358" s="36" t="n"/>
      <c r="E358" s="147" t="n"/>
      <c r="F358" s="30" t="n"/>
      <c r="G358" s="30" t="n"/>
      <c r="H358" s="30" t="n"/>
      <c r="I358" s="30" t="n"/>
      <c r="J358" s="119" t="n"/>
      <c r="K358" s="34" t="n"/>
      <c r="L358" s="119" t="n"/>
      <c r="M358" s="34" t="n"/>
      <c r="N358" s="119" t="n"/>
      <c r="O358" s="34" t="n"/>
      <c r="P358" s="34" t="n"/>
      <c r="Q358" s="117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  <c r="AA358" s="34" t="n"/>
      <c r="AB358" s="34" t="n"/>
      <c r="AC358" s="34" t="n"/>
      <c r="AD358" s="34" t="n"/>
      <c r="AE358" s="34" t="n"/>
      <c r="AF358" s="34" t="n"/>
      <c r="AG358" s="34" t="n"/>
      <c r="AH358" s="34" t="n"/>
      <c r="AK358" s="34" t="n"/>
      <c r="AL358" s="34" t="n"/>
      <c r="AM358" s="39" t="n"/>
      <c r="AN358" s="34" t="n"/>
      <c r="AO358" s="34" t="n"/>
      <c r="AP358" s="34" t="n"/>
      <c r="AQ358" s="34" t="n"/>
      <c r="AR358" s="34" t="n"/>
      <c r="AS358" s="34" t="n"/>
      <c r="AU358" s="34" t="n"/>
      <c r="AV358" s="34" t="n"/>
      <c r="AW358" s="34" t="n"/>
      <c r="AX358" s="34" t="n"/>
      <c r="AY358" s="34" t="n"/>
      <c r="AZ358" s="34" t="n"/>
      <c r="BA358" s="34" t="n"/>
      <c r="BB358" s="34" t="n"/>
      <c r="BC358" s="34" t="n"/>
      <c r="BD358" s="34" t="n"/>
      <c r="BE358" s="34" t="n"/>
      <c r="BF358" s="34" t="n"/>
      <c r="BG358" s="34" t="n"/>
      <c r="BH358" s="34" t="n"/>
      <c r="BI358" s="34" t="n"/>
      <c r="BJ358" s="34" t="n"/>
      <c r="BK358" s="34" t="n"/>
      <c r="BL358" s="34" t="n"/>
      <c r="BM358" s="34" t="n"/>
      <c r="BN358" s="34" t="n"/>
      <c r="BO358" s="34" t="n"/>
      <c r="BP358" s="34" t="n"/>
      <c r="BQ358" s="34" t="n"/>
      <c r="BR358" s="82" t="n"/>
      <c r="BS358" s="34" t="n"/>
      <c r="BT358" s="34" t="n"/>
      <c r="BU358" s="34" t="n"/>
      <c r="BV358" s="34" t="n"/>
      <c r="BW358" s="34" t="n"/>
      <c r="BX358" s="34" t="n"/>
      <c r="BY358" s="34" t="n"/>
      <c r="BZ358" s="34" t="n"/>
      <c r="CA358" s="34" t="n"/>
      <c r="CB358" s="33" t="n"/>
      <c r="CC358" s="34" t="n"/>
      <c r="CD358" s="34" t="n"/>
      <c r="CE358" s="82" t="n"/>
      <c r="CF358" s="34" t="n"/>
      <c r="CG358" s="34" t="n"/>
      <c r="CH358" s="34" t="n"/>
      <c r="CI358" s="34" t="n"/>
      <c r="CJ358" s="34" t="n"/>
    </row>
    <row r="359">
      <c r="A359" s="29" t="n"/>
      <c r="B359" s="29" t="n"/>
      <c r="C359" s="35" t="n"/>
      <c r="D359" s="36" t="n"/>
      <c r="E359" s="147" t="n"/>
      <c r="F359" s="30" t="n"/>
      <c r="G359" s="30" t="n"/>
      <c r="H359" s="30" t="n"/>
      <c r="I359" s="30" t="n"/>
      <c r="J359" s="119" t="n"/>
      <c r="K359" s="34" t="n"/>
      <c r="L359" s="119" t="n"/>
      <c r="M359" s="34" t="n"/>
      <c r="N359" s="119" t="n"/>
      <c r="O359" s="34" t="n"/>
      <c r="P359" s="34" t="n"/>
      <c r="Q359" s="117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  <c r="AA359" s="34" t="n"/>
      <c r="AB359" s="34" t="n"/>
      <c r="AC359" s="34" t="n"/>
      <c r="AD359" s="34" t="n"/>
      <c r="AE359" s="34" t="n"/>
      <c r="AF359" s="34" t="n"/>
      <c r="AG359" s="34" t="n"/>
      <c r="AH359" s="34" t="n"/>
      <c r="AK359" s="34" t="n"/>
      <c r="AL359" s="34" t="n"/>
      <c r="AM359" s="39" t="n"/>
      <c r="AN359" s="34" t="n"/>
      <c r="AO359" s="34" t="n"/>
      <c r="AP359" s="34" t="n"/>
      <c r="AQ359" s="34" t="n"/>
      <c r="AR359" s="34" t="n"/>
      <c r="AS359" s="34" t="n"/>
      <c r="AU359" s="34" t="n"/>
      <c r="AV359" s="34" t="n"/>
      <c r="AW359" s="34" t="n"/>
      <c r="AX359" s="34" t="n"/>
      <c r="AY359" s="34" t="n"/>
      <c r="AZ359" s="34" t="n"/>
      <c r="BA359" s="34" t="n"/>
      <c r="BB359" s="34" t="n"/>
      <c r="BC359" s="34" t="n"/>
      <c r="BD359" s="34" t="n"/>
      <c r="BE359" s="34" t="n"/>
      <c r="BF359" s="34" t="n"/>
      <c r="BG359" s="34" t="n"/>
      <c r="BH359" s="34" t="n"/>
      <c r="BI359" s="34" t="n"/>
      <c r="BJ359" s="34" t="n"/>
      <c r="BK359" s="34" t="n"/>
      <c r="BL359" s="34" t="n"/>
      <c r="BM359" s="34" t="n"/>
      <c r="BN359" s="34" t="n"/>
      <c r="BO359" s="34" t="n"/>
      <c r="BP359" s="34" t="n"/>
      <c r="BQ359" s="34" t="n"/>
      <c r="BR359" s="82" t="n"/>
      <c r="BS359" s="34" t="n"/>
      <c r="BT359" s="34" t="n"/>
      <c r="BU359" s="34" t="n"/>
      <c r="BV359" s="34" t="n"/>
      <c r="BW359" s="34" t="n"/>
      <c r="BX359" s="34" t="n"/>
      <c r="BY359" s="34" t="n"/>
      <c r="BZ359" s="34" t="n"/>
      <c r="CA359" s="34" t="n"/>
      <c r="CB359" s="33" t="n"/>
      <c r="CC359" s="34" t="n"/>
      <c r="CD359" s="34" t="n"/>
      <c r="CE359" s="82" t="n"/>
      <c r="CF359" s="34" t="n"/>
      <c r="CG359" s="34" t="n"/>
      <c r="CH359" s="34" t="n"/>
      <c r="CI359" s="34" t="n"/>
      <c r="CJ359" s="34" t="n"/>
    </row>
    <row r="360">
      <c r="A360" s="29" t="n"/>
      <c r="B360" s="29" t="n"/>
      <c r="C360" s="35" t="n"/>
      <c r="D360" s="36" t="n"/>
      <c r="E360" s="147" t="n"/>
      <c r="F360" s="30" t="n"/>
      <c r="G360" s="30" t="n"/>
      <c r="H360" s="30" t="n"/>
      <c r="I360" s="30" t="n"/>
      <c r="J360" s="119" t="n"/>
      <c r="K360" s="34" t="n"/>
      <c r="L360" s="119" t="n"/>
      <c r="M360" s="34" t="n"/>
      <c r="N360" s="119" t="n"/>
      <c r="O360" s="34" t="n"/>
      <c r="P360" s="34" t="n"/>
      <c r="Q360" s="117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  <c r="AA360" s="34" t="n"/>
      <c r="AB360" s="34" t="n"/>
      <c r="AC360" s="34" t="n"/>
      <c r="AD360" s="34" t="n"/>
      <c r="AE360" s="34" t="n"/>
      <c r="AF360" s="34" t="n"/>
      <c r="AG360" s="34" t="n"/>
      <c r="AH360" s="34" t="n"/>
      <c r="AK360" s="34" t="n"/>
      <c r="AL360" s="34" t="n"/>
      <c r="AM360" s="39" t="n"/>
      <c r="AN360" s="34" t="n"/>
      <c r="AO360" s="34" t="n"/>
      <c r="AP360" s="34" t="n"/>
      <c r="AQ360" s="34" t="n"/>
      <c r="AR360" s="34" t="n"/>
      <c r="AS360" s="34" t="n"/>
      <c r="AU360" s="34" t="n"/>
      <c r="AV360" s="34" t="n"/>
      <c r="AW360" s="34" t="n"/>
      <c r="AX360" s="34" t="n"/>
      <c r="AY360" s="34" t="n"/>
      <c r="AZ360" s="34" t="n"/>
      <c r="BA360" s="34" t="n"/>
      <c r="BB360" s="34" t="n"/>
      <c r="BC360" s="34" t="n"/>
      <c r="BD360" s="34" t="n"/>
      <c r="BE360" s="34" t="n"/>
      <c r="BF360" s="34" t="n"/>
      <c r="BG360" s="34" t="n"/>
      <c r="BH360" s="34" t="n"/>
      <c r="BI360" s="34" t="n"/>
      <c r="BJ360" s="34" t="n"/>
      <c r="BK360" s="34" t="n"/>
      <c r="BL360" s="34" t="n"/>
      <c r="BM360" s="34" t="n"/>
      <c r="BN360" s="34" t="n"/>
      <c r="BO360" s="34" t="n"/>
      <c r="BP360" s="34" t="n"/>
      <c r="BQ360" s="34" t="n"/>
      <c r="BR360" s="82" t="n"/>
      <c r="BS360" s="34" t="n"/>
      <c r="BT360" s="34" t="n"/>
      <c r="BU360" s="34" t="n"/>
      <c r="BV360" s="34" t="n"/>
      <c r="BW360" s="34" t="n"/>
      <c r="BX360" s="34" t="n"/>
      <c r="BY360" s="34" t="n"/>
      <c r="BZ360" s="34" t="n"/>
      <c r="CA360" s="34" t="n"/>
      <c r="CB360" s="33" t="n"/>
      <c r="CC360" s="34" t="n"/>
      <c r="CD360" s="34" t="n"/>
      <c r="CE360" s="82" t="n"/>
      <c r="CF360" s="34" t="n"/>
      <c r="CG360" s="34" t="n"/>
      <c r="CH360" s="34" t="n"/>
      <c r="CI360" s="34" t="n"/>
      <c r="CJ360" s="34" t="n"/>
    </row>
    <row r="361">
      <c r="A361" s="29" t="n"/>
      <c r="B361" s="29" t="n"/>
      <c r="C361" s="35" t="n"/>
      <c r="D361" s="36" t="n"/>
      <c r="E361" s="147" t="n"/>
      <c r="F361" s="30" t="n"/>
      <c r="G361" s="30" t="n"/>
      <c r="H361" s="30" t="n"/>
      <c r="I361" s="30" t="n"/>
      <c r="J361" s="119" t="n"/>
      <c r="K361" s="34" t="n"/>
      <c r="L361" s="119" t="n"/>
      <c r="M361" s="34" t="n"/>
      <c r="N361" s="119" t="n"/>
      <c r="O361" s="34" t="n"/>
      <c r="P361" s="34" t="n"/>
      <c r="Q361" s="117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  <c r="AA361" s="34" t="n"/>
      <c r="AB361" s="34" t="n"/>
      <c r="AC361" s="34" t="n"/>
      <c r="AD361" s="34" t="n"/>
      <c r="AE361" s="34" t="n"/>
      <c r="AF361" s="34" t="n"/>
      <c r="AG361" s="34" t="n"/>
      <c r="AH361" s="34" t="n"/>
      <c r="AK361" s="34" t="n"/>
      <c r="AL361" s="34" t="n"/>
      <c r="AM361" s="39" t="n"/>
      <c r="AN361" s="34" t="n"/>
      <c r="AO361" s="34" t="n"/>
      <c r="AP361" s="34" t="n"/>
      <c r="AQ361" s="34" t="n"/>
      <c r="AR361" s="34" t="n"/>
      <c r="AS361" s="34" t="n"/>
      <c r="AU361" s="34" t="n"/>
      <c r="AV361" s="34" t="n"/>
      <c r="AW361" s="34" t="n"/>
      <c r="AX361" s="34" t="n"/>
      <c r="AY361" s="34" t="n"/>
      <c r="AZ361" s="34" t="n"/>
      <c r="BA361" s="34" t="n"/>
      <c r="BB361" s="34" t="n"/>
      <c r="BC361" s="34" t="n"/>
      <c r="BD361" s="34" t="n"/>
      <c r="BE361" s="34" t="n"/>
      <c r="BF361" s="34" t="n"/>
      <c r="BG361" s="34" t="n"/>
      <c r="BH361" s="34" t="n"/>
      <c r="BI361" s="34" t="n"/>
      <c r="BJ361" s="34" t="n"/>
      <c r="BK361" s="34" t="n"/>
      <c r="BL361" s="34" t="n"/>
      <c r="BM361" s="34" t="n"/>
      <c r="BN361" s="34" t="n"/>
      <c r="BO361" s="34" t="n"/>
      <c r="BP361" s="34" t="n"/>
      <c r="BQ361" s="34" t="n"/>
      <c r="BR361" s="82" t="n"/>
      <c r="BS361" s="34" t="n"/>
      <c r="BT361" s="34" t="n"/>
      <c r="BU361" s="34" t="n"/>
      <c r="BV361" s="34" t="n"/>
      <c r="BW361" s="34" t="n"/>
      <c r="BX361" s="34" t="n"/>
      <c r="BY361" s="34" t="n"/>
      <c r="BZ361" s="34" t="n"/>
      <c r="CA361" s="34" t="n"/>
      <c r="CB361" s="33" t="n"/>
      <c r="CC361" s="34" t="n"/>
      <c r="CD361" s="34" t="n"/>
      <c r="CE361" s="82" t="n"/>
      <c r="CF361" s="34" t="n"/>
      <c r="CG361" s="34" t="n"/>
      <c r="CH361" s="34" t="n"/>
      <c r="CI361" s="34" t="n"/>
      <c r="CJ361" s="34" t="n"/>
    </row>
    <row r="362">
      <c r="A362" s="29" t="n"/>
      <c r="B362" s="29" t="n"/>
      <c r="C362" s="35" t="n"/>
      <c r="D362" s="36" t="n"/>
      <c r="E362" s="147" t="n"/>
      <c r="F362" s="30" t="n"/>
      <c r="G362" s="30" t="n"/>
      <c r="H362" s="30" t="n"/>
      <c r="I362" s="30" t="n"/>
      <c r="J362" s="119" t="n"/>
      <c r="K362" s="34" t="n"/>
      <c r="L362" s="119" t="n"/>
      <c r="M362" s="34" t="n"/>
      <c r="N362" s="119" t="n"/>
      <c r="O362" s="34" t="n"/>
      <c r="P362" s="34" t="n"/>
      <c r="Q362" s="117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  <c r="AA362" s="34" t="n"/>
      <c r="AB362" s="34" t="n"/>
      <c r="AC362" s="34" t="n"/>
      <c r="AD362" s="34" t="n"/>
      <c r="AE362" s="34" t="n"/>
      <c r="AF362" s="34" t="n"/>
      <c r="AG362" s="34" t="n"/>
      <c r="AH362" s="34" t="n"/>
      <c r="AK362" s="34" t="n"/>
      <c r="AL362" s="34" t="n"/>
      <c r="AM362" s="39" t="n"/>
      <c r="AN362" s="34" t="n"/>
      <c r="AO362" s="34" t="n"/>
      <c r="AP362" s="34" t="n"/>
      <c r="AQ362" s="34" t="n"/>
      <c r="AR362" s="34" t="n"/>
      <c r="AS362" s="34" t="n"/>
      <c r="AU362" s="34" t="n"/>
      <c r="AV362" s="34" t="n"/>
      <c r="AW362" s="34" t="n"/>
      <c r="AX362" s="34" t="n"/>
      <c r="AY362" s="34" t="n"/>
      <c r="AZ362" s="34" t="n"/>
      <c r="BA362" s="34" t="n"/>
      <c r="BB362" s="34" t="n"/>
      <c r="BC362" s="34" t="n"/>
      <c r="BD362" s="34" t="n"/>
      <c r="BE362" s="34" t="n"/>
      <c r="BF362" s="34" t="n"/>
      <c r="BG362" s="34" t="n"/>
      <c r="BH362" s="34" t="n"/>
      <c r="BI362" s="34" t="n"/>
      <c r="BJ362" s="34" t="n"/>
      <c r="BK362" s="34" t="n"/>
      <c r="BL362" s="34" t="n"/>
      <c r="BM362" s="34" t="n"/>
      <c r="BN362" s="34" t="n"/>
      <c r="BO362" s="34" t="n"/>
      <c r="BP362" s="34" t="n"/>
      <c r="BQ362" s="34" t="n"/>
      <c r="BR362" s="82" t="n"/>
      <c r="BS362" s="34" t="n"/>
      <c r="BT362" s="34" t="n"/>
      <c r="BU362" s="34" t="n"/>
      <c r="BV362" s="34" t="n"/>
      <c r="BW362" s="34" t="n"/>
      <c r="BX362" s="34" t="n"/>
      <c r="BY362" s="34" t="n"/>
      <c r="BZ362" s="34" t="n"/>
      <c r="CA362" s="34" t="n"/>
      <c r="CB362" s="33" t="n"/>
      <c r="CC362" s="34" t="n"/>
      <c r="CD362" s="34" t="n"/>
      <c r="CE362" s="82" t="n"/>
      <c r="CF362" s="34" t="n"/>
      <c r="CG362" s="34" t="n"/>
      <c r="CH362" s="34" t="n"/>
      <c r="CI362" s="34" t="n"/>
      <c r="CJ362" s="34" t="n"/>
    </row>
    <row r="363">
      <c r="A363" s="29" t="n"/>
      <c r="B363" s="29" t="n"/>
      <c r="C363" s="35" t="n"/>
      <c r="D363" s="36" t="n"/>
      <c r="E363" s="147" t="n"/>
      <c r="F363" s="30" t="n"/>
      <c r="G363" s="30" t="n"/>
      <c r="H363" s="30" t="n"/>
      <c r="I363" s="30" t="n"/>
      <c r="J363" s="119" t="n"/>
      <c r="K363" s="34" t="n"/>
      <c r="L363" s="119" t="n"/>
      <c r="M363" s="34" t="n"/>
      <c r="N363" s="119" t="n"/>
      <c r="O363" s="34" t="n"/>
      <c r="P363" s="34" t="n"/>
      <c r="Q363" s="117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  <c r="AA363" s="34" t="n"/>
      <c r="AB363" s="34" t="n"/>
      <c r="AC363" s="34" t="n"/>
      <c r="AD363" s="34" t="n"/>
      <c r="AE363" s="34" t="n"/>
      <c r="AF363" s="34" t="n"/>
      <c r="AG363" s="34" t="n"/>
      <c r="AH363" s="34" t="n"/>
      <c r="AK363" s="34" t="n"/>
      <c r="AL363" s="34" t="n"/>
      <c r="AM363" s="39" t="n"/>
      <c r="AN363" s="34" t="n"/>
      <c r="AO363" s="34" t="n"/>
      <c r="AP363" s="34" t="n"/>
      <c r="AQ363" s="34" t="n"/>
      <c r="AR363" s="34" t="n"/>
      <c r="AS363" s="34" t="n"/>
      <c r="AU363" s="34" t="n"/>
      <c r="AV363" s="34" t="n"/>
      <c r="AW363" s="34" t="n"/>
      <c r="AX363" s="34" t="n"/>
      <c r="AY363" s="34" t="n"/>
      <c r="AZ363" s="34" t="n"/>
      <c r="BA363" s="34" t="n"/>
      <c r="BB363" s="34" t="n"/>
      <c r="BC363" s="34" t="n"/>
      <c r="BD363" s="34" t="n"/>
      <c r="BE363" s="34" t="n"/>
      <c r="BF363" s="34" t="n"/>
      <c r="BG363" s="34" t="n"/>
      <c r="BH363" s="34" t="n"/>
      <c r="BI363" s="34" t="n"/>
      <c r="BJ363" s="34" t="n"/>
      <c r="BK363" s="34" t="n"/>
      <c r="BL363" s="34" t="n"/>
      <c r="BM363" s="34" t="n"/>
      <c r="BN363" s="34" t="n"/>
      <c r="BO363" s="34" t="n"/>
      <c r="BP363" s="34" t="n"/>
      <c r="BQ363" s="34" t="n"/>
      <c r="BR363" s="82" t="n"/>
      <c r="BS363" s="34" t="n"/>
      <c r="BT363" s="34" t="n"/>
      <c r="BU363" s="34" t="n"/>
      <c r="BV363" s="34" t="n"/>
      <c r="BW363" s="34" t="n"/>
      <c r="BX363" s="34" t="n"/>
      <c r="BY363" s="34" t="n"/>
      <c r="BZ363" s="34" t="n"/>
      <c r="CA363" s="34" t="n"/>
      <c r="CB363" s="33" t="n"/>
      <c r="CC363" s="34" t="n"/>
      <c r="CD363" s="34" t="n"/>
      <c r="CE363" s="82" t="n"/>
      <c r="CF363" s="34" t="n"/>
      <c r="CG363" s="34" t="n"/>
      <c r="CH363" s="34" t="n"/>
      <c r="CI363" s="34" t="n"/>
      <c r="CJ363" s="34" t="n"/>
    </row>
    <row r="364">
      <c r="A364" s="29" t="n"/>
      <c r="B364" s="29" t="n"/>
      <c r="C364" s="35" t="n"/>
      <c r="D364" s="36" t="n"/>
      <c r="E364" s="147" t="n"/>
      <c r="F364" s="30" t="n"/>
      <c r="G364" s="30" t="n"/>
      <c r="H364" s="30" t="n"/>
      <c r="I364" s="30" t="n"/>
      <c r="J364" s="119" t="n"/>
      <c r="K364" s="34" t="n"/>
      <c r="L364" s="119" t="n"/>
      <c r="M364" s="34" t="n"/>
      <c r="N364" s="119" t="n"/>
      <c r="O364" s="34" t="n"/>
      <c r="P364" s="34" t="n"/>
      <c r="Q364" s="117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  <c r="AA364" s="34" t="n"/>
      <c r="AB364" s="34" t="n"/>
      <c r="AC364" s="34" t="n"/>
      <c r="AD364" s="34" t="n"/>
      <c r="AE364" s="34" t="n"/>
      <c r="AF364" s="34" t="n"/>
      <c r="AG364" s="34" t="n"/>
      <c r="AH364" s="34" t="n"/>
      <c r="AK364" s="34" t="n"/>
      <c r="AL364" s="34" t="n"/>
      <c r="AM364" s="39" t="n"/>
      <c r="AN364" s="34" t="n"/>
      <c r="AO364" s="34" t="n"/>
      <c r="AP364" s="34" t="n"/>
      <c r="AQ364" s="34" t="n"/>
      <c r="AR364" s="34" t="n"/>
      <c r="AS364" s="34" t="n"/>
      <c r="AU364" s="34" t="n"/>
      <c r="AV364" s="34" t="n"/>
      <c r="AW364" s="34" t="n"/>
      <c r="AX364" s="34" t="n"/>
      <c r="AY364" s="34" t="n"/>
      <c r="AZ364" s="34" t="n"/>
      <c r="BA364" s="34" t="n"/>
      <c r="BB364" s="34" t="n"/>
      <c r="BC364" s="34" t="n"/>
      <c r="BD364" s="34" t="n"/>
      <c r="BE364" s="34" t="n"/>
      <c r="BF364" s="34" t="n"/>
      <c r="BG364" s="34" t="n"/>
      <c r="BH364" s="34" t="n"/>
      <c r="BI364" s="34" t="n"/>
      <c r="BJ364" s="34" t="n"/>
      <c r="BK364" s="34" t="n"/>
      <c r="BL364" s="34" t="n"/>
      <c r="BM364" s="34" t="n"/>
      <c r="BN364" s="34" t="n"/>
      <c r="BO364" s="34" t="n"/>
      <c r="BP364" s="34" t="n"/>
      <c r="BQ364" s="34" t="n"/>
      <c r="BR364" s="82" t="n"/>
      <c r="BS364" s="34" t="n"/>
      <c r="BT364" s="34" t="n"/>
      <c r="BU364" s="34" t="n"/>
      <c r="BV364" s="34" t="n"/>
      <c r="BW364" s="34" t="n"/>
      <c r="BX364" s="34" t="n"/>
      <c r="BY364" s="34" t="n"/>
      <c r="BZ364" s="34" t="n"/>
      <c r="CA364" s="34" t="n"/>
      <c r="CB364" s="33" t="n"/>
      <c r="CC364" s="34" t="n"/>
      <c r="CD364" s="34" t="n"/>
      <c r="CE364" s="82" t="n"/>
      <c r="CF364" s="34" t="n"/>
      <c r="CG364" s="34" t="n"/>
      <c r="CH364" s="34" t="n"/>
      <c r="CI364" s="34" t="n"/>
      <c r="CJ364" s="34" t="n"/>
    </row>
    <row r="365">
      <c r="A365" s="29" t="n"/>
      <c r="B365" s="29" t="n"/>
      <c r="C365" s="35" t="n"/>
      <c r="D365" s="36" t="n"/>
      <c r="E365" s="147" t="n"/>
      <c r="F365" s="30" t="n"/>
      <c r="G365" s="30" t="n"/>
      <c r="H365" s="30" t="n"/>
      <c r="I365" s="30" t="n"/>
      <c r="J365" s="119" t="n"/>
      <c r="K365" s="34" t="n"/>
      <c r="L365" s="119" t="n"/>
      <c r="M365" s="34" t="n"/>
      <c r="N365" s="119" t="n"/>
      <c r="O365" s="34" t="n"/>
      <c r="P365" s="34" t="n"/>
      <c r="Q365" s="117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  <c r="AA365" s="34" t="n"/>
      <c r="AB365" s="34" t="n"/>
      <c r="AC365" s="34" t="n"/>
      <c r="AD365" s="34" t="n"/>
      <c r="AE365" s="34" t="n"/>
      <c r="AF365" s="34" t="n"/>
      <c r="AG365" s="34" t="n"/>
      <c r="AH365" s="34" t="n"/>
      <c r="AK365" s="34" t="n"/>
      <c r="AL365" s="34" t="n"/>
      <c r="AM365" s="39" t="n"/>
      <c r="AN365" s="34" t="n"/>
      <c r="AO365" s="34" t="n"/>
      <c r="AP365" s="34" t="n"/>
      <c r="AQ365" s="34" t="n"/>
      <c r="AR365" s="34" t="n"/>
      <c r="AS365" s="34" t="n"/>
      <c r="AU365" s="34" t="n"/>
      <c r="AV365" s="34" t="n"/>
      <c r="AW365" s="34" t="n"/>
      <c r="AX365" s="34" t="n"/>
      <c r="AY365" s="34" t="n"/>
      <c r="AZ365" s="34" t="n"/>
      <c r="BA365" s="34" t="n"/>
      <c r="BB365" s="34" t="n"/>
      <c r="BC365" s="34" t="n"/>
      <c r="BD365" s="34" t="n"/>
      <c r="BE365" s="34" t="n"/>
      <c r="BF365" s="34" t="n"/>
      <c r="BG365" s="34" t="n"/>
      <c r="BH365" s="34" t="n"/>
      <c r="BI365" s="34" t="n"/>
      <c r="BJ365" s="34" t="n"/>
      <c r="BK365" s="34" t="n"/>
      <c r="BL365" s="34" t="n"/>
      <c r="BM365" s="34" t="n"/>
      <c r="BN365" s="34" t="n"/>
      <c r="BO365" s="34" t="n"/>
      <c r="BP365" s="34" t="n"/>
      <c r="BQ365" s="34" t="n"/>
      <c r="BR365" s="82" t="n"/>
      <c r="BS365" s="34" t="n"/>
      <c r="BT365" s="34" t="n"/>
      <c r="BU365" s="34" t="n"/>
      <c r="BV365" s="34" t="n"/>
      <c r="BW365" s="34" t="n"/>
      <c r="BX365" s="34" t="n"/>
      <c r="BY365" s="34" t="n"/>
      <c r="BZ365" s="34" t="n"/>
      <c r="CA365" s="34" t="n"/>
      <c r="CB365" s="33" t="n"/>
      <c r="CC365" s="34" t="n"/>
      <c r="CD365" s="34" t="n"/>
      <c r="CE365" s="82" t="n"/>
      <c r="CF365" s="34" t="n"/>
      <c r="CG365" s="34" t="n"/>
      <c r="CH365" s="34" t="n"/>
      <c r="CI365" s="34" t="n"/>
      <c r="CJ365" s="34" t="n"/>
    </row>
    <row r="366">
      <c r="A366" s="29" t="n"/>
      <c r="B366" s="29" t="n"/>
      <c r="C366" s="35" t="n"/>
      <c r="D366" s="36" t="n"/>
      <c r="E366" s="147" t="n"/>
      <c r="F366" s="30" t="n"/>
      <c r="G366" s="30" t="n"/>
      <c r="H366" s="30" t="n"/>
      <c r="I366" s="30" t="n"/>
      <c r="J366" s="119" t="n"/>
      <c r="K366" s="34" t="n"/>
      <c r="L366" s="119" t="n"/>
      <c r="M366" s="34" t="n"/>
      <c r="N366" s="119" t="n"/>
      <c r="O366" s="34" t="n"/>
      <c r="P366" s="34" t="n"/>
      <c r="Q366" s="117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  <c r="AA366" s="34" t="n"/>
      <c r="AB366" s="34" t="n"/>
      <c r="AC366" s="34" t="n"/>
      <c r="AD366" s="34" t="n"/>
      <c r="AE366" s="34" t="n"/>
      <c r="AF366" s="34" t="n"/>
      <c r="AG366" s="34" t="n"/>
      <c r="AH366" s="34" t="n"/>
      <c r="AK366" s="34" t="n"/>
      <c r="AL366" s="34" t="n"/>
      <c r="AM366" s="39" t="n"/>
      <c r="AN366" s="34" t="n"/>
      <c r="AO366" s="34" t="n"/>
      <c r="AP366" s="34" t="n"/>
      <c r="AQ366" s="34" t="n"/>
      <c r="AR366" s="34" t="n"/>
      <c r="AS366" s="34" t="n"/>
      <c r="AU366" s="34" t="n"/>
      <c r="AV366" s="34" t="n"/>
      <c r="AW366" s="34" t="n"/>
      <c r="AX366" s="34" t="n"/>
      <c r="AY366" s="34" t="n"/>
      <c r="AZ366" s="34" t="n"/>
      <c r="BA366" s="34" t="n"/>
      <c r="BB366" s="34" t="n"/>
      <c r="BC366" s="34" t="n"/>
      <c r="BD366" s="34" t="n"/>
      <c r="BE366" s="34" t="n"/>
      <c r="BF366" s="34" t="n"/>
      <c r="BG366" s="34" t="n"/>
      <c r="BH366" s="34" t="n"/>
      <c r="BI366" s="34" t="n"/>
      <c r="BJ366" s="34" t="n"/>
      <c r="BK366" s="34" t="n"/>
      <c r="BL366" s="34" t="n"/>
      <c r="BM366" s="34" t="n"/>
      <c r="BN366" s="34" t="n"/>
      <c r="BO366" s="34" t="n"/>
      <c r="BP366" s="34" t="n"/>
      <c r="BQ366" s="34" t="n"/>
      <c r="BR366" s="82" t="n"/>
      <c r="BS366" s="34" t="n"/>
      <c r="BT366" s="34" t="n"/>
      <c r="BU366" s="34" t="n"/>
      <c r="BV366" s="34" t="n"/>
      <c r="BW366" s="34" t="n"/>
      <c r="BX366" s="34" t="n"/>
      <c r="BY366" s="34" t="n"/>
      <c r="BZ366" s="34" t="n"/>
      <c r="CA366" s="34" t="n"/>
      <c r="CB366" s="33" t="n"/>
      <c r="CC366" s="34" t="n"/>
      <c r="CD366" s="34" t="n"/>
      <c r="CE366" s="82" t="n"/>
      <c r="CF366" s="34" t="n"/>
      <c r="CG366" s="34" t="n"/>
      <c r="CH366" s="34" t="n"/>
      <c r="CI366" s="34" t="n"/>
      <c r="CJ366" s="34" t="n"/>
    </row>
    <row r="367">
      <c r="A367" s="29" t="n"/>
      <c r="B367" s="29" t="n"/>
      <c r="C367" s="35" t="n"/>
      <c r="D367" s="36" t="n"/>
      <c r="E367" s="147" t="n"/>
      <c r="F367" s="30" t="n"/>
      <c r="G367" s="30" t="n"/>
      <c r="H367" s="30" t="n"/>
      <c r="I367" s="30" t="n"/>
      <c r="J367" s="119" t="n"/>
      <c r="K367" s="34" t="n"/>
      <c r="L367" s="119" t="n"/>
      <c r="M367" s="34" t="n"/>
      <c r="N367" s="119" t="n"/>
      <c r="O367" s="34" t="n"/>
      <c r="P367" s="34" t="n"/>
      <c r="Q367" s="117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  <c r="AA367" s="34" t="n"/>
      <c r="AB367" s="34" t="n"/>
      <c r="AC367" s="34" t="n"/>
      <c r="AD367" s="34" t="n"/>
      <c r="AE367" s="34" t="n"/>
      <c r="AF367" s="34" t="n"/>
      <c r="AG367" s="34" t="n"/>
      <c r="AH367" s="34" t="n"/>
      <c r="AK367" s="34" t="n"/>
      <c r="AL367" s="34" t="n"/>
      <c r="AM367" s="39" t="n"/>
      <c r="AN367" s="34" t="n"/>
      <c r="AO367" s="34" t="n"/>
      <c r="AP367" s="34" t="n"/>
      <c r="AQ367" s="34" t="n"/>
      <c r="AR367" s="34" t="n"/>
      <c r="AS367" s="34" t="n"/>
      <c r="AU367" s="34" t="n"/>
      <c r="AV367" s="34" t="n"/>
      <c r="AW367" s="34" t="n"/>
      <c r="AX367" s="34" t="n"/>
      <c r="AY367" s="34" t="n"/>
      <c r="AZ367" s="34" t="n"/>
      <c r="BA367" s="34" t="n"/>
      <c r="BB367" s="34" t="n"/>
      <c r="BC367" s="34" t="n"/>
      <c r="BD367" s="34" t="n"/>
      <c r="BE367" s="34" t="n"/>
      <c r="BF367" s="34" t="n"/>
      <c r="BG367" s="34" t="n"/>
      <c r="BH367" s="34" t="n"/>
      <c r="BI367" s="34" t="n"/>
      <c r="BJ367" s="34" t="n"/>
      <c r="BK367" s="34" t="n"/>
      <c r="BL367" s="34" t="n"/>
      <c r="BM367" s="34" t="n"/>
      <c r="BN367" s="34" t="n"/>
      <c r="BO367" s="34" t="n"/>
      <c r="BP367" s="34" t="n"/>
      <c r="BQ367" s="34" t="n"/>
      <c r="BR367" s="82" t="n"/>
      <c r="BS367" s="34" t="n"/>
      <c r="BT367" s="34" t="n"/>
      <c r="BU367" s="34" t="n"/>
      <c r="BV367" s="34" t="n"/>
      <c r="BW367" s="34" t="n"/>
      <c r="BX367" s="34" t="n"/>
      <c r="BY367" s="34" t="n"/>
      <c r="BZ367" s="34" t="n"/>
      <c r="CA367" s="34" t="n"/>
      <c r="CB367" s="33" t="n"/>
      <c r="CC367" s="34" t="n"/>
      <c r="CD367" s="34" t="n"/>
      <c r="CE367" s="82" t="n"/>
      <c r="CF367" s="34" t="n"/>
      <c r="CG367" s="34" t="n"/>
      <c r="CH367" s="34" t="n"/>
      <c r="CI367" s="34" t="n"/>
      <c r="CJ367" s="34" t="n"/>
    </row>
    <row r="368">
      <c r="A368" s="29" t="n"/>
      <c r="B368" s="29" t="n"/>
      <c r="C368" s="35" t="n"/>
      <c r="D368" s="36" t="n"/>
      <c r="E368" s="147" t="n"/>
      <c r="F368" s="30" t="n"/>
      <c r="G368" s="30" t="n"/>
      <c r="H368" s="30" t="n"/>
      <c r="I368" s="30" t="n"/>
      <c r="J368" s="119" t="n"/>
      <c r="K368" s="34" t="n"/>
      <c r="L368" s="119" t="n"/>
      <c r="M368" s="34" t="n"/>
      <c r="N368" s="119" t="n"/>
      <c r="O368" s="34" t="n"/>
      <c r="P368" s="34" t="n"/>
      <c r="Q368" s="117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  <c r="AA368" s="34" t="n"/>
      <c r="AB368" s="34" t="n"/>
      <c r="AC368" s="34" t="n"/>
      <c r="AD368" s="34" t="n"/>
      <c r="AE368" s="34" t="n"/>
      <c r="AF368" s="34" t="n"/>
      <c r="AG368" s="34" t="n"/>
      <c r="AH368" s="34" t="n"/>
      <c r="AK368" s="34" t="n"/>
      <c r="AL368" s="34" t="n"/>
      <c r="AM368" s="39" t="n"/>
      <c r="AN368" s="34" t="n"/>
      <c r="AO368" s="34" t="n"/>
      <c r="AP368" s="34" t="n"/>
      <c r="AQ368" s="34" t="n"/>
      <c r="AR368" s="34" t="n"/>
      <c r="AS368" s="34" t="n"/>
      <c r="AU368" s="34" t="n"/>
      <c r="AV368" s="34" t="n"/>
      <c r="AW368" s="34" t="n"/>
      <c r="AX368" s="34" t="n"/>
      <c r="AY368" s="34" t="n"/>
      <c r="AZ368" s="34" t="n"/>
      <c r="BA368" s="34" t="n"/>
      <c r="BB368" s="34" t="n"/>
      <c r="BC368" s="34" t="n"/>
      <c r="BD368" s="34" t="n"/>
      <c r="BE368" s="34" t="n"/>
      <c r="BF368" s="34" t="n"/>
      <c r="BG368" s="34" t="n"/>
      <c r="BH368" s="34" t="n"/>
      <c r="BI368" s="34" t="n"/>
      <c r="BJ368" s="34" t="n"/>
      <c r="BK368" s="34" t="n"/>
      <c r="BL368" s="34" t="n"/>
      <c r="BM368" s="34" t="n"/>
      <c r="BN368" s="34" t="n"/>
      <c r="BO368" s="34" t="n"/>
      <c r="BP368" s="34" t="n"/>
      <c r="BQ368" s="34" t="n"/>
      <c r="BR368" s="82" t="n"/>
      <c r="BS368" s="34" t="n"/>
      <c r="BT368" s="34" t="n"/>
      <c r="BU368" s="34" t="n"/>
      <c r="BV368" s="34" t="n"/>
      <c r="BW368" s="34" t="n"/>
      <c r="BX368" s="34" t="n"/>
      <c r="BY368" s="34" t="n"/>
      <c r="BZ368" s="34" t="n"/>
      <c r="CA368" s="34" t="n"/>
      <c r="CB368" s="33" t="n"/>
      <c r="CC368" s="34" t="n"/>
      <c r="CD368" s="34" t="n"/>
      <c r="CE368" s="82" t="n"/>
      <c r="CF368" s="34" t="n"/>
      <c r="CG368" s="34" t="n"/>
      <c r="CH368" s="34" t="n"/>
      <c r="CI368" s="34" t="n"/>
      <c r="CJ368" s="34" t="n"/>
    </row>
    <row r="369">
      <c r="A369" s="29" t="n"/>
      <c r="B369" s="29" t="n"/>
      <c r="C369" s="35" t="n"/>
      <c r="D369" s="36" t="n"/>
      <c r="E369" s="147" t="n"/>
      <c r="F369" s="30" t="n"/>
      <c r="G369" s="30" t="n"/>
      <c r="H369" s="30" t="n"/>
      <c r="I369" s="30" t="n"/>
      <c r="J369" s="119" t="n"/>
      <c r="K369" s="34" t="n"/>
      <c r="L369" s="119" t="n"/>
      <c r="M369" s="34" t="n"/>
      <c r="N369" s="119" t="n"/>
      <c r="O369" s="34" t="n"/>
      <c r="P369" s="34" t="n"/>
      <c r="Q369" s="117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  <c r="AA369" s="34" t="n"/>
      <c r="AB369" s="34" t="n"/>
      <c r="AC369" s="34" t="n"/>
      <c r="AD369" s="34" t="n"/>
      <c r="AE369" s="34" t="n"/>
      <c r="AF369" s="34" t="n"/>
      <c r="AG369" s="34" t="n"/>
      <c r="AH369" s="34" t="n"/>
      <c r="AK369" s="34" t="n"/>
      <c r="AL369" s="34" t="n"/>
      <c r="AM369" s="39" t="n"/>
      <c r="AN369" s="34" t="n"/>
      <c r="AO369" s="34" t="n"/>
      <c r="AP369" s="34" t="n"/>
      <c r="AQ369" s="34" t="n"/>
      <c r="AR369" s="34" t="n"/>
      <c r="AS369" s="34" t="n"/>
      <c r="AU369" s="34" t="n"/>
      <c r="AV369" s="34" t="n"/>
      <c r="AW369" s="34" t="n"/>
      <c r="AX369" s="34" t="n"/>
      <c r="AY369" s="34" t="n"/>
      <c r="AZ369" s="34" t="n"/>
      <c r="BA369" s="34" t="n"/>
      <c r="BB369" s="34" t="n"/>
      <c r="BC369" s="34" t="n"/>
      <c r="BD369" s="34" t="n"/>
      <c r="BE369" s="34" t="n"/>
      <c r="BF369" s="34" t="n"/>
      <c r="BG369" s="34" t="n"/>
      <c r="BH369" s="34" t="n"/>
      <c r="BI369" s="34" t="n"/>
      <c r="BJ369" s="34" t="n"/>
      <c r="BK369" s="34" t="n"/>
      <c r="BL369" s="34" t="n"/>
      <c r="BM369" s="34" t="n"/>
      <c r="BN369" s="34" t="n"/>
      <c r="BO369" s="34" t="n"/>
      <c r="BP369" s="34" t="n"/>
      <c r="BQ369" s="34" t="n"/>
      <c r="BR369" s="82" t="n"/>
      <c r="BS369" s="34" t="n"/>
      <c r="BT369" s="34" t="n"/>
      <c r="BU369" s="34" t="n"/>
      <c r="BV369" s="34" t="n"/>
      <c r="BW369" s="34" t="n"/>
      <c r="BX369" s="34" t="n"/>
      <c r="BY369" s="34" t="n"/>
      <c r="BZ369" s="34" t="n"/>
      <c r="CA369" s="34" t="n"/>
      <c r="CB369" s="33" t="n"/>
      <c r="CC369" s="34" t="n"/>
      <c r="CD369" s="34" t="n"/>
      <c r="CE369" s="82" t="n"/>
      <c r="CF369" s="34" t="n"/>
      <c r="CG369" s="34" t="n"/>
      <c r="CH369" s="34" t="n"/>
      <c r="CI369" s="34" t="n"/>
      <c r="CJ369" s="34" t="n"/>
    </row>
    <row r="370">
      <c r="A370" s="29" t="n"/>
      <c r="B370" s="29" t="n"/>
      <c r="C370" s="35" t="n"/>
      <c r="D370" s="36" t="n"/>
      <c r="E370" s="147" t="n"/>
      <c r="F370" s="30" t="n"/>
      <c r="G370" s="30" t="n"/>
      <c r="H370" s="30" t="n"/>
      <c r="I370" s="30" t="n"/>
      <c r="J370" s="119" t="n"/>
      <c r="K370" s="34" t="n"/>
      <c r="L370" s="119" t="n"/>
      <c r="M370" s="34" t="n"/>
      <c r="N370" s="119" t="n"/>
      <c r="O370" s="34" t="n"/>
      <c r="P370" s="34" t="n"/>
      <c r="Q370" s="117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  <c r="AA370" s="34" t="n"/>
      <c r="AB370" s="34" t="n"/>
      <c r="AC370" s="34" t="n"/>
      <c r="AD370" s="34" t="n"/>
      <c r="AE370" s="34" t="n"/>
      <c r="AF370" s="34" t="n"/>
      <c r="AG370" s="34" t="n"/>
      <c r="AH370" s="34" t="n"/>
      <c r="AK370" s="34" t="n"/>
      <c r="AL370" s="34" t="n"/>
      <c r="AM370" s="39" t="n"/>
      <c r="AN370" s="34" t="n"/>
      <c r="AO370" s="34" t="n"/>
      <c r="AP370" s="34" t="n"/>
      <c r="AQ370" s="34" t="n"/>
      <c r="AR370" s="34" t="n"/>
      <c r="AS370" s="34" t="n"/>
      <c r="AU370" s="34" t="n"/>
      <c r="AV370" s="34" t="n"/>
      <c r="AW370" s="34" t="n"/>
      <c r="AX370" s="34" t="n"/>
      <c r="AY370" s="34" t="n"/>
      <c r="AZ370" s="34" t="n"/>
      <c r="BA370" s="34" t="n"/>
      <c r="BB370" s="34" t="n"/>
      <c r="BC370" s="34" t="n"/>
      <c r="BD370" s="34" t="n"/>
      <c r="BE370" s="34" t="n"/>
      <c r="BF370" s="34" t="n"/>
      <c r="BG370" s="34" t="n"/>
      <c r="BH370" s="34" t="n"/>
      <c r="BI370" s="34" t="n"/>
      <c r="BJ370" s="34" t="n"/>
      <c r="BK370" s="34" t="n"/>
      <c r="BL370" s="34" t="n"/>
      <c r="BM370" s="34" t="n"/>
      <c r="BN370" s="34" t="n"/>
      <c r="BO370" s="34" t="n"/>
      <c r="BP370" s="34" t="n"/>
      <c r="BQ370" s="34" t="n"/>
      <c r="BR370" s="82" t="n"/>
      <c r="BS370" s="34" t="n"/>
      <c r="BT370" s="34" t="n"/>
      <c r="BU370" s="34" t="n"/>
      <c r="BV370" s="34" t="n"/>
      <c r="BW370" s="34" t="n"/>
      <c r="BX370" s="34" t="n"/>
      <c r="BY370" s="34" t="n"/>
      <c r="BZ370" s="34" t="n"/>
      <c r="CA370" s="34" t="n"/>
      <c r="CB370" s="33" t="n"/>
      <c r="CC370" s="34" t="n"/>
      <c r="CD370" s="34" t="n"/>
      <c r="CE370" s="82" t="n"/>
      <c r="CF370" s="34" t="n"/>
      <c r="CG370" s="34" t="n"/>
      <c r="CH370" s="34" t="n"/>
      <c r="CI370" s="34" t="n"/>
      <c r="CJ370" s="34" t="n"/>
    </row>
    <row r="371">
      <c r="A371" s="29" t="n"/>
      <c r="B371" s="29" t="n"/>
      <c r="C371" s="35" t="n"/>
      <c r="D371" s="36" t="n"/>
      <c r="E371" s="147" t="n"/>
      <c r="F371" s="30" t="n"/>
      <c r="G371" s="30" t="n"/>
      <c r="H371" s="30" t="n"/>
      <c r="I371" s="30" t="n"/>
      <c r="J371" s="119" t="n"/>
      <c r="K371" s="34" t="n"/>
      <c r="L371" s="119" t="n"/>
      <c r="M371" s="34" t="n"/>
      <c r="N371" s="119" t="n"/>
      <c r="O371" s="34" t="n"/>
      <c r="P371" s="34" t="n"/>
      <c r="Q371" s="117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  <c r="AA371" s="34" t="n"/>
      <c r="AB371" s="34" t="n"/>
      <c r="AC371" s="34" t="n"/>
      <c r="AD371" s="34" t="n"/>
      <c r="AE371" s="34" t="n"/>
      <c r="AF371" s="34" t="n"/>
      <c r="AG371" s="34" t="n"/>
      <c r="AH371" s="34" t="n"/>
      <c r="AK371" s="34" t="n"/>
      <c r="AL371" s="34" t="n"/>
      <c r="AM371" s="39" t="n"/>
      <c r="AN371" s="34" t="n"/>
      <c r="AO371" s="34" t="n"/>
      <c r="AP371" s="34" t="n"/>
      <c r="AQ371" s="34" t="n"/>
      <c r="AR371" s="34" t="n"/>
      <c r="AS371" s="34" t="n"/>
      <c r="AU371" s="34" t="n"/>
      <c r="AV371" s="34" t="n"/>
      <c r="AW371" s="34" t="n"/>
      <c r="AX371" s="34" t="n"/>
      <c r="AY371" s="34" t="n"/>
      <c r="AZ371" s="34" t="n"/>
      <c r="BA371" s="34" t="n"/>
      <c r="BB371" s="34" t="n"/>
      <c r="BC371" s="34" t="n"/>
      <c r="BD371" s="34" t="n"/>
      <c r="BE371" s="34" t="n"/>
      <c r="BF371" s="34" t="n"/>
      <c r="BG371" s="34" t="n"/>
      <c r="BH371" s="34" t="n"/>
      <c r="BI371" s="34" t="n"/>
      <c r="BJ371" s="34" t="n"/>
      <c r="BK371" s="34" t="n"/>
      <c r="BL371" s="34" t="n"/>
      <c r="BM371" s="34" t="n"/>
      <c r="BN371" s="34" t="n"/>
      <c r="BO371" s="34" t="n"/>
      <c r="BP371" s="34" t="n"/>
      <c r="BQ371" s="34" t="n"/>
      <c r="BR371" s="82" t="n"/>
      <c r="BS371" s="34" t="n"/>
      <c r="BT371" s="34" t="n"/>
      <c r="BU371" s="34" t="n"/>
      <c r="BV371" s="34" t="n"/>
      <c r="BW371" s="34" t="n"/>
      <c r="BX371" s="34" t="n"/>
      <c r="BY371" s="34" t="n"/>
      <c r="BZ371" s="34" t="n"/>
      <c r="CA371" s="34" t="n"/>
      <c r="CB371" s="33" t="n"/>
      <c r="CC371" s="34" t="n"/>
      <c r="CD371" s="34" t="n"/>
      <c r="CE371" s="82" t="n"/>
      <c r="CF371" s="34" t="n"/>
      <c r="CG371" s="34" t="n"/>
      <c r="CH371" s="34" t="n"/>
      <c r="CI371" s="34" t="n"/>
      <c r="CJ371" s="34" t="n"/>
    </row>
    <row r="372">
      <c r="A372" s="29" t="n"/>
      <c r="B372" s="29" t="n"/>
      <c r="C372" s="35" t="n"/>
      <c r="D372" s="36" t="n"/>
      <c r="E372" s="147" t="n"/>
      <c r="F372" s="30" t="n"/>
      <c r="G372" s="30" t="n"/>
      <c r="H372" s="30" t="n"/>
      <c r="I372" s="30" t="n"/>
      <c r="J372" s="119" t="n"/>
      <c r="K372" s="34" t="n"/>
      <c r="L372" s="119" t="n"/>
      <c r="M372" s="34" t="n"/>
      <c r="N372" s="119" t="n"/>
      <c r="O372" s="34" t="n"/>
      <c r="P372" s="34" t="n"/>
      <c r="Q372" s="117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  <c r="AA372" s="34" t="n"/>
      <c r="AB372" s="34" t="n"/>
      <c r="AC372" s="34" t="n"/>
      <c r="AD372" s="34" t="n"/>
      <c r="AE372" s="34" t="n"/>
      <c r="AF372" s="34" t="n"/>
      <c r="AG372" s="34" t="n"/>
      <c r="AH372" s="34" t="n"/>
      <c r="AK372" s="34" t="n"/>
      <c r="AL372" s="34" t="n"/>
      <c r="AM372" s="39" t="n"/>
      <c r="AN372" s="34" t="n"/>
      <c r="AO372" s="34" t="n"/>
      <c r="AP372" s="34" t="n"/>
      <c r="AQ372" s="34" t="n"/>
      <c r="AR372" s="34" t="n"/>
      <c r="AS372" s="34" t="n"/>
      <c r="AU372" s="34" t="n"/>
      <c r="AV372" s="34" t="n"/>
      <c r="AW372" s="34" t="n"/>
      <c r="AX372" s="34" t="n"/>
      <c r="AY372" s="34" t="n"/>
      <c r="AZ372" s="34" t="n"/>
      <c r="BA372" s="34" t="n"/>
      <c r="BB372" s="34" t="n"/>
      <c r="BC372" s="34" t="n"/>
      <c r="BD372" s="34" t="n"/>
      <c r="BE372" s="34" t="n"/>
      <c r="BF372" s="34" t="n"/>
      <c r="BG372" s="34" t="n"/>
      <c r="BH372" s="34" t="n"/>
      <c r="BI372" s="34" t="n"/>
      <c r="BJ372" s="34" t="n"/>
      <c r="BK372" s="34" t="n"/>
      <c r="BL372" s="34" t="n"/>
      <c r="BM372" s="34" t="n"/>
      <c r="BN372" s="34" t="n"/>
      <c r="BO372" s="34" t="n"/>
      <c r="BP372" s="34" t="n"/>
      <c r="BQ372" s="34" t="n"/>
      <c r="BR372" s="82" t="n"/>
      <c r="BS372" s="34" t="n"/>
      <c r="BT372" s="34" t="n"/>
      <c r="BU372" s="34" t="n"/>
      <c r="BV372" s="34" t="n"/>
      <c r="BW372" s="34" t="n"/>
      <c r="BX372" s="34" t="n"/>
      <c r="BY372" s="34" t="n"/>
      <c r="BZ372" s="34" t="n"/>
      <c r="CA372" s="34" t="n"/>
      <c r="CB372" s="33" t="n"/>
      <c r="CC372" s="34" t="n"/>
      <c r="CD372" s="34" t="n"/>
      <c r="CE372" s="82" t="n"/>
      <c r="CF372" s="34" t="n"/>
      <c r="CG372" s="34" t="n"/>
      <c r="CH372" s="34" t="n"/>
      <c r="CI372" s="34" t="n"/>
      <c r="CJ372" s="34" t="n"/>
    </row>
    <row r="373">
      <c r="A373" s="29" t="n"/>
      <c r="B373" s="29" t="n"/>
      <c r="C373" s="35" t="n"/>
      <c r="D373" s="36" t="n"/>
      <c r="E373" s="147" t="n"/>
      <c r="F373" s="30" t="n"/>
      <c r="G373" s="30" t="n"/>
      <c r="H373" s="30" t="n"/>
      <c r="I373" s="30" t="n"/>
      <c r="J373" s="119" t="n"/>
      <c r="K373" s="34" t="n"/>
      <c r="L373" s="119" t="n"/>
      <c r="M373" s="34" t="n"/>
      <c r="N373" s="119" t="n"/>
      <c r="O373" s="34" t="n"/>
      <c r="P373" s="34" t="n"/>
      <c r="Q373" s="117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  <c r="AA373" s="34" t="n"/>
      <c r="AB373" s="34" t="n"/>
      <c r="AC373" s="34" t="n"/>
      <c r="AD373" s="34" t="n"/>
      <c r="AE373" s="34" t="n"/>
      <c r="AF373" s="34" t="n"/>
      <c r="AG373" s="34" t="n"/>
      <c r="AH373" s="34" t="n"/>
      <c r="AK373" s="34" t="n"/>
      <c r="AL373" s="34" t="n"/>
      <c r="AM373" s="39" t="n"/>
      <c r="AN373" s="34" t="n"/>
      <c r="AO373" s="34" t="n"/>
      <c r="AP373" s="34" t="n"/>
      <c r="AQ373" s="34" t="n"/>
      <c r="AR373" s="34" t="n"/>
      <c r="AS373" s="34" t="n"/>
      <c r="AU373" s="34" t="n"/>
      <c r="AV373" s="34" t="n"/>
      <c r="AW373" s="34" t="n"/>
      <c r="AX373" s="34" t="n"/>
      <c r="AY373" s="34" t="n"/>
      <c r="AZ373" s="34" t="n"/>
      <c r="BA373" s="34" t="n"/>
      <c r="BB373" s="34" t="n"/>
      <c r="BC373" s="34" t="n"/>
      <c r="BD373" s="34" t="n"/>
      <c r="BE373" s="34" t="n"/>
      <c r="BF373" s="34" t="n"/>
      <c r="BG373" s="34" t="n"/>
      <c r="BH373" s="34" t="n"/>
      <c r="BI373" s="34" t="n"/>
      <c r="BJ373" s="34" t="n"/>
      <c r="BK373" s="34" t="n"/>
      <c r="BL373" s="34" t="n"/>
      <c r="BM373" s="34" t="n"/>
      <c r="BN373" s="34" t="n"/>
      <c r="BO373" s="34" t="n"/>
      <c r="BP373" s="34" t="n"/>
      <c r="BQ373" s="34" t="n"/>
      <c r="BR373" s="82" t="n"/>
      <c r="BS373" s="34" t="n"/>
      <c r="BT373" s="34" t="n"/>
      <c r="BU373" s="34" t="n"/>
      <c r="BV373" s="34" t="n"/>
      <c r="BW373" s="34" t="n"/>
      <c r="BX373" s="34" t="n"/>
      <c r="BY373" s="34" t="n"/>
      <c r="BZ373" s="34" t="n"/>
      <c r="CA373" s="34" t="n"/>
      <c r="CB373" s="33" t="n"/>
      <c r="CC373" s="34" t="n"/>
      <c r="CD373" s="34" t="n"/>
      <c r="CE373" s="82" t="n"/>
      <c r="CF373" s="34" t="n"/>
      <c r="CG373" s="34" t="n"/>
      <c r="CH373" s="34" t="n"/>
      <c r="CI373" s="34" t="n"/>
      <c r="CJ373" s="34" t="n"/>
    </row>
    <row r="374">
      <c r="A374" s="29" t="n"/>
      <c r="B374" s="29" t="n"/>
      <c r="C374" s="35" t="n"/>
      <c r="D374" s="36" t="n"/>
      <c r="E374" s="147" t="n"/>
      <c r="F374" s="30" t="n"/>
      <c r="G374" s="30" t="n"/>
      <c r="H374" s="30" t="n"/>
      <c r="I374" s="30" t="n"/>
      <c r="J374" s="119" t="n"/>
      <c r="K374" s="34" t="n"/>
      <c r="L374" s="119" t="n"/>
      <c r="M374" s="34" t="n"/>
      <c r="N374" s="119" t="n"/>
      <c r="O374" s="34" t="n"/>
      <c r="P374" s="34" t="n"/>
      <c r="Q374" s="117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  <c r="AA374" s="34" t="n"/>
      <c r="AB374" s="34" t="n"/>
      <c r="AC374" s="34" t="n"/>
      <c r="AD374" s="34" t="n"/>
      <c r="AE374" s="34" t="n"/>
      <c r="AF374" s="34" t="n"/>
      <c r="AG374" s="34" t="n"/>
      <c r="AH374" s="34" t="n"/>
      <c r="AK374" s="34" t="n"/>
      <c r="AL374" s="34" t="n"/>
      <c r="AM374" s="39" t="n"/>
      <c r="AN374" s="34" t="n"/>
      <c r="AO374" s="34" t="n"/>
      <c r="AP374" s="34" t="n"/>
      <c r="AQ374" s="34" t="n"/>
      <c r="AR374" s="34" t="n"/>
      <c r="AS374" s="34" t="n"/>
      <c r="AU374" s="34" t="n"/>
      <c r="AV374" s="34" t="n"/>
      <c r="AW374" s="34" t="n"/>
      <c r="AX374" s="34" t="n"/>
      <c r="AY374" s="34" t="n"/>
      <c r="AZ374" s="34" t="n"/>
      <c r="BA374" s="34" t="n"/>
      <c r="BB374" s="34" t="n"/>
      <c r="BC374" s="34" t="n"/>
      <c r="BD374" s="34" t="n"/>
      <c r="BE374" s="34" t="n"/>
      <c r="BF374" s="34" t="n"/>
      <c r="BG374" s="34" t="n"/>
      <c r="BH374" s="34" t="n"/>
      <c r="BI374" s="34" t="n"/>
      <c r="BJ374" s="34" t="n"/>
      <c r="BK374" s="34" t="n"/>
      <c r="BL374" s="34" t="n"/>
      <c r="BM374" s="34" t="n"/>
      <c r="BN374" s="34" t="n"/>
      <c r="BO374" s="34" t="n"/>
      <c r="BP374" s="34" t="n"/>
      <c r="BQ374" s="34" t="n"/>
      <c r="BR374" s="82" t="n"/>
      <c r="BS374" s="34" t="n"/>
      <c r="BT374" s="34" t="n"/>
      <c r="BU374" s="34" t="n"/>
      <c r="BV374" s="34" t="n"/>
      <c r="BW374" s="34" t="n"/>
      <c r="BX374" s="34" t="n"/>
      <c r="BY374" s="34" t="n"/>
      <c r="BZ374" s="34" t="n"/>
      <c r="CA374" s="34" t="n"/>
      <c r="CB374" s="33" t="n"/>
      <c r="CC374" s="34" t="n"/>
      <c r="CD374" s="34" t="n"/>
      <c r="CE374" s="82" t="n"/>
      <c r="CF374" s="34" t="n"/>
      <c r="CG374" s="34" t="n"/>
      <c r="CH374" s="34" t="n"/>
      <c r="CI374" s="34" t="n"/>
      <c r="CJ374" s="34" t="n"/>
    </row>
    <row r="375">
      <c r="A375" s="29" t="n"/>
      <c r="B375" s="29" t="n"/>
      <c r="C375" s="35" t="n"/>
      <c r="D375" s="36" t="n"/>
      <c r="E375" s="147" t="n"/>
      <c r="F375" s="30" t="n"/>
      <c r="G375" s="30" t="n"/>
      <c r="H375" s="30" t="n"/>
      <c r="I375" s="30" t="n"/>
      <c r="J375" s="119" t="n"/>
      <c r="K375" s="34" t="n"/>
      <c r="L375" s="119" t="n"/>
      <c r="M375" s="34" t="n"/>
      <c r="N375" s="119" t="n"/>
      <c r="O375" s="34" t="n"/>
      <c r="P375" s="34" t="n"/>
      <c r="Q375" s="117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  <c r="AA375" s="34" t="n"/>
      <c r="AB375" s="34" t="n"/>
      <c r="AC375" s="34" t="n"/>
      <c r="AD375" s="34" t="n"/>
      <c r="AE375" s="34" t="n"/>
      <c r="AF375" s="34" t="n"/>
      <c r="AG375" s="34" t="n"/>
      <c r="AH375" s="34" t="n"/>
      <c r="AK375" s="34" t="n"/>
      <c r="AL375" s="34" t="n"/>
      <c r="AM375" s="39" t="n"/>
      <c r="AN375" s="34" t="n"/>
      <c r="AO375" s="34" t="n"/>
      <c r="AP375" s="34" t="n"/>
      <c r="AQ375" s="34" t="n"/>
      <c r="AR375" s="34" t="n"/>
      <c r="AS375" s="34" t="n"/>
      <c r="AU375" s="34" t="n"/>
      <c r="AV375" s="34" t="n"/>
      <c r="AW375" s="34" t="n"/>
      <c r="AX375" s="34" t="n"/>
      <c r="AY375" s="34" t="n"/>
      <c r="AZ375" s="34" t="n"/>
      <c r="BA375" s="34" t="n"/>
      <c r="BB375" s="34" t="n"/>
      <c r="BC375" s="34" t="n"/>
      <c r="BD375" s="34" t="n"/>
      <c r="BE375" s="34" t="n"/>
      <c r="BF375" s="34" t="n"/>
      <c r="BG375" s="34" t="n"/>
      <c r="BH375" s="34" t="n"/>
      <c r="BI375" s="34" t="n"/>
      <c r="BJ375" s="34" t="n"/>
      <c r="BK375" s="34" t="n"/>
      <c r="BL375" s="34" t="n"/>
      <c r="BM375" s="34" t="n"/>
      <c r="BN375" s="34" t="n"/>
      <c r="BO375" s="34" t="n"/>
      <c r="BP375" s="34" t="n"/>
      <c r="BQ375" s="34" t="n"/>
      <c r="BR375" s="82" t="n"/>
      <c r="BS375" s="34" t="n"/>
      <c r="BT375" s="34" t="n"/>
      <c r="BU375" s="34" t="n"/>
      <c r="BV375" s="34" t="n"/>
      <c r="BW375" s="34" t="n"/>
      <c r="BX375" s="34" t="n"/>
      <c r="BY375" s="34" t="n"/>
      <c r="BZ375" s="34" t="n"/>
      <c r="CA375" s="34" t="n"/>
      <c r="CB375" s="33" t="n"/>
      <c r="CC375" s="34" t="n"/>
      <c r="CD375" s="34" t="n"/>
      <c r="CE375" s="82" t="n"/>
      <c r="CF375" s="34" t="n"/>
      <c r="CG375" s="34" t="n"/>
      <c r="CH375" s="34" t="n"/>
      <c r="CI375" s="34" t="n"/>
      <c r="CJ375" s="34" t="n"/>
    </row>
    <row r="376">
      <c r="A376" s="29" t="n"/>
      <c r="B376" s="29" t="n"/>
      <c r="C376" s="35" t="n"/>
      <c r="D376" s="36" t="n"/>
      <c r="E376" s="147" t="n"/>
      <c r="F376" s="30" t="n"/>
      <c r="G376" s="30" t="n"/>
      <c r="H376" s="30" t="n"/>
      <c r="I376" s="30" t="n"/>
      <c r="J376" s="119" t="n"/>
      <c r="K376" s="34" t="n"/>
      <c r="L376" s="119" t="n"/>
      <c r="M376" s="34" t="n"/>
      <c r="N376" s="119" t="n"/>
      <c r="O376" s="34" t="n"/>
      <c r="P376" s="34" t="n"/>
      <c r="Q376" s="117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  <c r="AA376" s="34" t="n"/>
      <c r="AB376" s="34" t="n"/>
      <c r="AC376" s="34" t="n"/>
      <c r="AD376" s="34" t="n"/>
      <c r="AE376" s="34" t="n"/>
      <c r="AF376" s="34" t="n"/>
      <c r="AG376" s="34" t="n"/>
      <c r="AH376" s="34" t="n"/>
      <c r="AK376" s="34" t="n"/>
      <c r="AL376" s="34" t="n"/>
      <c r="AM376" s="39" t="n"/>
      <c r="AN376" s="34" t="n"/>
      <c r="AO376" s="34" t="n"/>
      <c r="AP376" s="34" t="n"/>
      <c r="AQ376" s="34" t="n"/>
      <c r="AR376" s="34" t="n"/>
      <c r="AS376" s="34" t="n"/>
      <c r="AU376" s="34" t="n"/>
      <c r="AV376" s="34" t="n"/>
      <c r="AW376" s="34" t="n"/>
      <c r="AX376" s="34" t="n"/>
      <c r="AY376" s="34" t="n"/>
      <c r="AZ376" s="34" t="n"/>
      <c r="BA376" s="34" t="n"/>
      <c r="BB376" s="34" t="n"/>
      <c r="BC376" s="34" t="n"/>
      <c r="BD376" s="34" t="n"/>
      <c r="BE376" s="34" t="n"/>
      <c r="BF376" s="34" t="n"/>
      <c r="BG376" s="34" t="n"/>
      <c r="BH376" s="34" t="n"/>
      <c r="BI376" s="34" t="n"/>
      <c r="BJ376" s="34" t="n"/>
      <c r="BK376" s="34" t="n"/>
      <c r="BL376" s="34" t="n"/>
      <c r="BM376" s="34" t="n"/>
      <c r="BN376" s="34" t="n"/>
      <c r="BO376" s="34" t="n"/>
      <c r="BP376" s="34" t="n"/>
      <c r="BQ376" s="34" t="n"/>
      <c r="BR376" s="82" t="n"/>
      <c r="BS376" s="34" t="n"/>
      <c r="BT376" s="34" t="n"/>
      <c r="BU376" s="34" t="n"/>
      <c r="BV376" s="34" t="n"/>
      <c r="BW376" s="34" t="n"/>
      <c r="BX376" s="34" t="n"/>
      <c r="BY376" s="34" t="n"/>
      <c r="BZ376" s="34" t="n"/>
      <c r="CA376" s="34" t="n"/>
      <c r="CB376" s="33" t="n"/>
      <c r="CC376" s="34" t="n"/>
      <c r="CD376" s="34" t="n"/>
      <c r="CE376" s="82" t="n"/>
      <c r="CF376" s="34" t="n"/>
      <c r="CG376" s="34" t="n"/>
      <c r="CH376" s="34" t="n"/>
      <c r="CI376" s="34" t="n"/>
      <c r="CJ376" s="34" t="n"/>
    </row>
    <row r="377">
      <c r="A377" s="29" t="n"/>
      <c r="B377" s="29" t="n"/>
      <c r="C377" s="35" t="n"/>
      <c r="D377" s="36" t="n"/>
      <c r="E377" s="147" t="n"/>
      <c r="F377" s="30" t="n"/>
      <c r="G377" s="30" t="n"/>
      <c r="H377" s="30" t="n"/>
      <c r="I377" s="30" t="n"/>
      <c r="J377" s="119" t="n"/>
      <c r="K377" s="34" t="n"/>
      <c r="L377" s="119" t="n"/>
      <c r="M377" s="34" t="n"/>
      <c r="N377" s="119" t="n"/>
      <c r="O377" s="34" t="n"/>
      <c r="P377" s="34" t="n"/>
      <c r="Q377" s="117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  <c r="AA377" s="34" t="n"/>
      <c r="AB377" s="34" t="n"/>
      <c r="AC377" s="34" t="n"/>
      <c r="AD377" s="34" t="n"/>
      <c r="AE377" s="34" t="n"/>
      <c r="AF377" s="34" t="n"/>
      <c r="AG377" s="34" t="n"/>
      <c r="AH377" s="34" t="n"/>
      <c r="AK377" s="34" t="n"/>
      <c r="AL377" s="34" t="n"/>
      <c r="AM377" s="39" t="n"/>
      <c r="AN377" s="34" t="n"/>
      <c r="AO377" s="34" t="n"/>
      <c r="AP377" s="34" t="n"/>
      <c r="AQ377" s="34" t="n"/>
      <c r="AR377" s="34" t="n"/>
      <c r="AS377" s="34" t="n"/>
      <c r="AU377" s="34" t="n"/>
      <c r="AV377" s="34" t="n"/>
      <c r="AW377" s="34" t="n"/>
      <c r="AX377" s="34" t="n"/>
      <c r="AY377" s="34" t="n"/>
      <c r="AZ377" s="34" t="n"/>
      <c r="BA377" s="34" t="n"/>
      <c r="BB377" s="34" t="n"/>
      <c r="BC377" s="34" t="n"/>
      <c r="BD377" s="34" t="n"/>
      <c r="BE377" s="34" t="n"/>
      <c r="BF377" s="34" t="n"/>
      <c r="BG377" s="34" t="n"/>
      <c r="BH377" s="34" t="n"/>
      <c r="BI377" s="34" t="n"/>
      <c r="BJ377" s="34" t="n"/>
      <c r="BK377" s="34" t="n"/>
      <c r="BL377" s="34" t="n"/>
      <c r="BM377" s="34" t="n"/>
      <c r="BN377" s="34" t="n"/>
      <c r="BO377" s="34" t="n"/>
      <c r="BP377" s="34" t="n"/>
      <c r="BQ377" s="34" t="n"/>
      <c r="BR377" s="82" t="n"/>
      <c r="BS377" s="34" t="n"/>
      <c r="BT377" s="34" t="n"/>
      <c r="BU377" s="34" t="n"/>
      <c r="BV377" s="34" t="n"/>
      <c r="BW377" s="34" t="n"/>
      <c r="BX377" s="34" t="n"/>
      <c r="BY377" s="34" t="n"/>
      <c r="BZ377" s="34" t="n"/>
      <c r="CA377" s="34" t="n"/>
      <c r="CB377" s="33" t="n"/>
      <c r="CC377" s="34" t="n"/>
      <c r="CD377" s="34" t="n"/>
      <c r="CE377" s="82" t="n"/>
      <c r="CF377" s="34" t="n"/>
      <c r="CG377" s="34" t="n"/>
      <c r="CH377" s="34" t="n"/>
      <c r="CI377" s="34" t="n"/>
      <c r="CJ377" s="34" t="n"/>
    </row>
    <row r="378">
      <c r="A378" s="29" t="n"/>
      <c r="B378" s="29" t="n"/>
      <c r="C378" s="35" t="n"/>
      <c r="D378" s="36" t="n"/>
      <c r="E378" s="147" t="n"/>
      <c r="F378" s="30" t="n"/>
      <c r="G378" s="30" t="n"/>
      <c r="H378" s="30" t="n"/>
      <c r="I378" s="30" t="n"/>
      <c r="J378" s="119" t="n"/>
      <c r="K378" s="34" t="n"/>
      <c r="L378" s="119" t="n"/>
      <c r="M378" s="34" t="n"/>
      <c r="N378" s="119" t="n"/>
      <c r="O378" s="34" t="n"/>
      <c r="P378" s="34" t="n"/>
      <c r="Q378" s="117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  <c r="AA378" s="34" t="n"/>
      <c r="AB378" s="34" t="n"/>
      <c r="AC378" s="34" t="n"/>
      <c r="AD378" s="34" t="n"/>
      <c r="AE378" s="34" t="n"/>
      <c r="AF378" s="34" t="n"/>
      <c r="AG378" s="34" t="n"/>
      <c r="AH378" s="34" t="n"/>
      <c r="AK378" s="34" t="n"/>
      <c r="AL378" s="34" t="n"/>
      <c r="AM378" s="39" t="n"/>
      <c r="AN378" s="34" t="n"/>
      <c r="AO378" s="34" t="n"/>
      <c r="AP378" s="34" t="n"/>
      <c r="AQ378" s="34" t="n"/>
      <c r="AR378" s="34" t="n"/>
      <c r="AS378" s="34" t="n"/>
      <c r="AU378" s="34" t="n"/>
      <c r="AV378" s="34" t="n"/>
      <c r="AW378" s="34" t="n"/>
      <c r="AX378" s="34" t="n"/>
      <c r="AY378" s="34" t="n"/>
      <c r="AZ378" s="34" t="n"/>
      <c r="BA378" s="34" t="n"/>
      <c r="BB378" s="34" t="n"/>
      <c r="BC378" s="34" t="n"/>
      <c r="BD378" s="34" t="n"/>
      <c r="BE378" s="34" t="n"/>
      <c r="BF378" s="34" t="n"/>
      <c r="BG378" s="34" t="n"/>
      <c r="BH378" s="34" t="n"/>
      <c r="BI378" s="34" t="n"/>
      <c r="BJ378" s="34" t="n"/>
      <c r="BK378" s="34" t="n"/>
      <c r="BL378" s="34" t="n"/>
      <c r="BM378" s="34" t="n"/>
      <c r="BN378" s="34" t="n"/>
      <c r="BO378" s="34" t="n"/>
      <c r="BP378" s="34" t="n"/>
      <c r="BQ378" s="34" t="n"/>
      <c r="BR378" s="82" t="n"/>
      <c r="BS378" s="34" t="n"/>
      <c r="BT378" s="34" t="n"/>
      <c r="BU378" s="34" t="n"/>
      <c r="BV378" s="34" t="n"/>
      <c r="BW378" s="34" t="n"/>
      <c r="BX378" s="34" t="n"/>
      <c r="BY378" s="34" t="n"/>
      <c r="BZ378" s="34" t="n"/>
      <c r="CA378" s="34" t="n"/>
      <c r="CB378" s="33" t="n"/>
      <c r="CC378" s="34" t="n"/>
      <c r="CD378" s="34" t="n"/>
      <c r="CE378" s="82" t="n"/>
      <c r="CF378" s="34" t="n"/>
      <c r="CG378" s="34" t="n"/>
      <c r="CH378" s="34" t="n"/>
      <c r="CI378" s="34" t="n"/>
      <c r="CJ378" s="34" t="n"/>
    </row>
    <row r="379">
      <c r="A379" s="29" t="n"/>
      <c r="B379" s="29" t="n"/>
      <c r="C379" s="35" t="n"/>
      <c r="D379" s="36" t="n"/>
      <c r="E379" s="147" t="n"/>
      <c r="F379" s="30" t="n"/>
      <c r="G379" s="30" t="n"/>
      <c r="H379" s="30" t="n"/>
      <c r="I379" s="30" t="n"/>
      <c r="J379" s="119" t="n"/>
      <c r="K379" s="34" t="n"/>
      <c r="L379" s="119" t="n"/>
      <c r="M379" s="34" t="n"/>
      <c r="N379" s="119" t="n"/>
      <c r="O379" s="34" t="n"/>
      <c r="P379" s="34" t="n"/>
      <c r="Q379" s="117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  <c r="AA379" s="34" t="n"/>
      <c r="AB379" s="34" t="n"/>
      <c r="AC379" s="34" t="n"/>
      <c r="AD379" s="34" t="n"/>
      <c r="AE379" s="34" t="n"/>
      <c r="AF379" s="34" t="n"/>
      <c r="AG379" s="34" t="n"/>
      <c r="AH379" s="34" t="n"/>
      <c r="AK379" s="34" t="n"/>
      <c r="AL379" s="34" t="n"/>
      <c r="AM379" s="39" t="n"/>
      <c r="AN379" s="34" t="n"/>
      <c r="AO379" s="34" t="n"/>
      <c r="AP379" s="34" t="n"/>
      <c r="AQ379" s="34" t="n"/>
      <c r="AR379" s="34" t="n"/>
      <c r="AS379" s="34" t="n"/>
      <c r="AU379" s="34" t="n"/>
      <c r="AV379" s="34" t="n"/>
      <c r="AW379" s="34" t="n"/>
      <c r="AX379" s="34" t="n"/>
      <c r="AY379" s="34" t="n"/>
      <c r="AZ379" s="34" t="n"/>
      <c r="BA379" s="34" t="n"/>
      <c r="BB379" s="34" t="n"/>
      <c r="BC379" s="34" t="n"/>
      <c r="BD379" s="34" t="n"/>
      <c r="BE379" s="34" t="n"/>
      <c r="BF379" s="34" t="n"/>
      <c r="BG379" s="34" t="n"/>
      <c r="BH379" s="34" t="n"/>
      <c r="BI379" s="34" t="n"/>
      <c r="BJ379" s="34" t="n"/>
      <c r="BK379" s="34" t="n"/>
      <c r="BL379" s="34" t="n"/>
      <c r="BM379" s="34" t="n"/>
      <c r="BN379" s="34" t="n"/>
      <c r="BO379" s="34" t="n"/>
      <c r="BP379" s="34" t="n"/>
      <c r="BQ379" s="34" t="n"/>
      <c r="BR379" s="82" t="n"/>
      <c r="BS379" s="34" t="n"/>
      <c r="BT379" s="34" t="n"/>
      <c r="BU379" s="34" t="n"/>
      <c r="BV379" s="34" t="n"/>
      <c r="BW379" s="34" t="n"/>
      <c r="BX379" s="34" t="n"/>
      <c r="BY379" s="34" t="n"/>
      <c r="BZ379" s="34" t="n"/>
      <c r="CA379" s="34" t="n"/>
      <c r="CB379" s="33" t="n"/>
      <c r="CC379" s="34" t="n"/>
      <c r="CD379" s="34" t="n"/>
      <c r="CE379" s="82" t="n"/>
      <c r="CF379" s="34" t="n"/>
      <c r="CG379" s="34" t="n"/>
      <c r="CH379" s="34" t="n"/>
      <c r="CI379" s="34" t="n"/>
      <c r="CJ379" s="34" t="n"/>
    </row>
    <row r="380">
      <c r="A380" s="29" t="n"/>
      <c r="B380" s="29" t="n"/>
      <c r="C380" s="35" t="n"/>
      <c r="D380" s="36" t="n"/>
      <c r="E380" s="147" t="n"/>
      <c r="F380" s="30" t="n"/>
      <c r="G380" s="30" t="n"/>
      <c r="H380" s="30" t="n"/>
      <c r="I380" s="30" t="n"/>
      <c r="J380" s="119" t="n"/>
      <c r="K380" s="34" t="n"/>
      <c r="L380" s="119" t="n"/>
      <c r="M380" s="34" t="n"/>
      <c r="N380" s="119" t="n"/>
      <c r="O380" s="34" t="n"/>
      <c r="P380" s="34" t="n"/>
      <c r="Q380" s="117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  <c r="AA380" s="34" t="n"/>
      <c r="AB380" s="34" t="n"/>
      <c r="AC380" s="34" t="n"/>
      <c r="AD380" s="34" t="n"/>
      <c r="AE380" s="34" t="n"/>
      <c r="AF380" s="34" t="n"/>
      <c r="AG380" s="34" t="n"/>
      <c r="AH380" s="34" t="n"/>
      <c r="AK380" s="34" t="n"/>
      <c r="AL380" s="34" t="n"/>
      <c r="AM380" s="39" t="n"/>
      <c r="AN380" s="34" t="n"/>
      <c r="AO380" s="34" t="n"/>
      <c r="AP380" s="34" t="n"/>
      <c r="AQ380" s="34" t="n"/>
      <c r="AR380" s="34" t="n"/>
      <c r="AS380" s="34" t="n"/>
      <c r="AU380" s="34" t="n"/>
      <c r="AV380" s="34" t="n"/>
      <c r="AW380" s="34" t="n"/>
      <c r="AX380" s="34" t="n"/>
      <c r="AY380" s="34" t="n"/>
      <c r="AZ380" s="34" t="n"/>
      <c r="BA380" s="34" t="n"/>
      <c r="BB380" s="34" t="n"/>
      <c r="BC380" s="34" t="n"/>
      <c r="BD380" s="34" t="n"/>
      <c r="BE380" s="34" t="n"/>
      <c r="BF380" s="34" t="n"/>
      <c r="BG380" s="34" t="n"/>
      <c r="BH380" s="34" t="n"/>
      <c r="BI380" s="34" t="n"/>
      <c r="BJ380" s="34" t="n"/>
      <c r="BK380" s="34" t="n"/>
      <c r="BL380" s="34" t="n"/>
      <c r="BM380" s="34" t="n"/>
      <c r="BN380" s="34" t="n"/>
      <c r="BO380" s="34" t="n"/>
      <c r="BP380" s="34" t="n"/>
      <c r="BQ380" s="34" t="n"/>
      <c r="BR380" s="82" t="n"/>
      <c r="BS380" s="34" t="n"/>
      <c r="BT380" s="34" t="n"/>
      <c r="BU380" s="34" t="n"/>
      <c r="BV380" s="34" t="n"/>
      <c r="BW380" s="34" t="n"/>
      <c r="BX380" s="34" t="n"/>
      <c r="BY380" s="34" t="n"/>
      <c r="BZ380" s="34" t="n"/>
      <c r="CA380" s="34" t="n"/>
      <c r="CB380" s="33" t="n"/>
      <c r="CC380" s="34" t="n"/>
      <c r="CD380" s="34" t="n"/>
      <c r="CE380" s="82" t="n"/>
      <c r="CF380" s="34" t="n"/>
      <c r="CG380" s="34" t="n"/>
      <c r="CH380" s="34" t="n"/>
      <c r="CI380" s="34" t="n"/>
      <c r="CJ380" s="34" t="n"/>
    </row>
    <row r="381">
      <c r="A381" s="29" t="n"/>
      <c r="B381" s="29" t="n"/>
      <c r="C381" s="35" t="n"/>
      <c r="D381" s="36" t="n"/>
      <c r="E381" s="147" t="n"/>
      <c r="F381" s="30" t="n"/>
      <c r="G381" s="30" t="n"/>
      <c r="H381" s="30" t="n"/>
      <c r="I381" s="30" t="n"/>
      <c r="J381" s="119" t="n"/>
      <c r="K381" s="34" t="n"/>
      <c r="L381" s="119" t="n"/>
      <c r="M381" s="34" t="n"/>
      <c r="N381" s="119" t="n"/>
      <c r="O381" s="34" t="n"/>
      <c r="P381" s="34" t="n"/>
      <c r="Q381" s="117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  <c r="AA381" s="34" t="n"/>
      <c r="AB381" s="34" t="n"/>
      <c r="AC381" s="34" t="n"/>
      <c r="AD381" s="34" t="n"/>
      <c r="AE381" s="34" t="n"/>
      <c r="AF381" s="34" t="n"/>
      <c r="AG381" s="34" t="n"/>
      <c r="AH381" s="34" t="n"/>
      <c r="AK381" s="34" t="n"/>
      <c r="AL381" s="34" t="n"/>
      <c r="AM381" s="39" t="n"/>
      <c r="AN381" s="34" t="n"/>
      <c r="AO381" s="34" t="n"/>
      <c r="AP381" s="34" t="n"/>
      <c r="AQ381" s="34" t="n"/>
      <c r="AR381" s="34" t="n"/>
      <c r="AS381" s="34" t="n"/>
      <c r="AU381" s="34" t="n"/>
      <c r="AV381" s="34" t="n"/>
      <c r="AW381" s="34" t="n"/>
      <c r="AX381" s="34" t="n"/>
      <c r="AY381" s="34" t="n"/>
      <c r="AZ381" s="34" t="n"/>
      <c r="BA381" s="34" t="n"/>
      <c r="BB381" s="34" t="n"/>
      <c r="BC381" s="34" t="n"/>
      <c r="BD381" s="34" t="n"/>
      <c r="BE381" s="34" t="n"/>
      <c r="BF381" s="34" t="n"/>
      <c r="BG381" s="34" t="n"/>
      <c r="BH381" s="34" t="n"/>
      <c r="BI381" s="34" t="n"/>
      <c r="BJ381" s="34" t="n"/>
      <c r="BK381" s="34" t="n"/>
      <c r="BL381" s="34" t="n"/>
      <c r="BM381" s="34" t="n"/>
      <c r="BN381" s="34" t="n"/>
      <c r="BO381" s="34" t="n"/>
      <c r="BP381" s="34" t="n"/>
      <c r="BQ381" s="34" t="n"/>
      <c r="BR381" s="82" t="n"/>
      <c r="BS381" s="34" t="n"/>
      <c r="BT381" s="34" t="n"/>
      <c r="BU381" s="34" t="n"/>
      <c r="BV381" s="34" t="n"/>
      <c r="BW381" s="34" t="n"/>
      <c r="BX381" s="34" t="n"/>
      <c r="BY381" s="34" t="n"/>
      <c r="BZ381" s="34" t="n"/>
      <c r="CA381" s="34" t="n"/>
      <c r="CB381" s="33" t="n"/>
      <c r="CC381" s="34" t="n"/>
      <c r="CD381" s="34" t="n"/>
      <c r="CE381" s="82" t="n"/>
      <c r="CF381" s="34" t="n"/>
      <c r="CG381" s="34" t="n"/>
      <c r="CH381" s="34" t="n"/>
      <c r="CI381" s="34" t="n"/>
      <c r="CJ381" s="34" t="n"/>
    </row>
    <row r="382">
      <c r="A382" s="29" t="n"/>
      <c r="B382" s="29" t="n"/>
      <c r="C382" s="35" t="n"/>
      <c r="D382" s="36" t="n"/>
      <c r="E382" s="147" t="n"/>
      <c r="F382" s="30" t="n"/>
      <c r="G382" s="30" t="n"/>
      <c r="H382" s="30" t="n"/>
      <c r="I382" s="30" t="n"/>
      <c r="J382" s="119" t="n"/>
      <c r="K382" s="34" t="n"/>
      <c r="L382" s="119" t="n"/>
      <c r="M382" s="34" t="n"/>
      <c r="N382" s="119" t="n"/>
      <c r="O382" s="34" t="n"/>
      <c r="P382" s="34" t="n"/>
      <c r="Q382" s="117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  <c r="AA382" s="34" t="n"/>
      <c r="AB382" s="34" t="n"/>
      <c r="AC382" s="34" t="n"/>
      <c r="AD382" s="34" t="n"/>
      <c r="AE382" s="34" t="n"/>
      <c r="AF382" s="34" t="n"/>
      <c r="AG382" s="34" t="n"/>
      <c r="AH382" s="34" t="n"/>
      <c r="AK382" s="34" t="n"/>
      <c r="AL382" s="34" t="n"/>
      <c r="AM382" s="39" t="n"/>
      <c r="AN382" s="34" t="n"/>
      <c r="AO382" s="34" t="n"/>
      <c r="AP382" s="34" t="n"/>
      <c r="AQ382" s="34" t="n"/>
      <c r="AR382" s="34" t="n"/>
      <c r="AS382" s="34" t="n"/>
      <c r="AU382" s="34" t="n"/>
      <c r="AV382" s="34" t="n"/>
      <c r="AW382" s="34" t="n"/>
      <c r="AX382" s="34" t="n"/>
      <c r="AY382" s="34" t="n"/>
      <c r="AZ382" s="34" t="n"/>
      <c r="BA382" s="34" t="n"/>
      <c r="BB382" s="34" t="n"/>
      <c r="BC382" s="34" t="n"/>
      <c r="BD382" s="34" t="n"/>
      <c r="BE382" s="34" t="n"/>
      <c r="BF382" s="34" t="n"/>
      <c r="BG382" s="34" t="n"/>
      <c r="BH382" s="34" t="n"/>
      <c r="BI382" s="34" t="n"/>
      <c r="BJ382" s="34" t="n"/>
      <c r="BK382" s="34" t="n"/>
      <c r="BL382" s="34" t="n"/>
      <c r="BM382" s="34" t="n"/>
      <c r="BN382" s="34" t="n"/>
      <c r="BO382" s="34" t="n"/>
      <c r="BP382" s="34" t="n"/>
      <c r="BQ382" s="34" t="n"/>
      <c r="BR382" s="82" t="n"/>
      <c r="BS382" s="34" t="n"/>
      <c r="BT382" s="34" t="n"/>
      <c r="BU382" s="34" t="n"/>
      <c r="BV382" s="34" t="n"/>
      <c r="BW382" s="34" t="n"/>
      <c r="BX382" s="34" t="n"/>
      <c r="BY382" s="34" t="n"/>
      <c r="BZ382" s="34" t="n"/>
      <c r="CA382" s="34" t="n"/>
      <c r="CB382" s="33" t="n"/>
      <c r="CC382" s="34" t="n"/>
      <c r="CD382" s="34" t="n"/>
      <c r="CE382" s="82" t="n"/>
      <c r="CF382" s="34" t="n"/>
      <c r="CG382" s="34" t="n"/>
      <c r="CH382" s="34" t="n"/>
      <c r="CI382" s="34" t="n"/>
      <c r="CJ382" s="34" t="n"/>
    </row>
    <row r="383">
      <c r="A383" s="29" t="n"/>
      <c r="B383" s="29" t="n"/>
      <c r="C383" s="35" t="n"/>
      <c r="D383" s="36" t="n"/>
      <c r="E383" s="147" t="n"/>
      <c r="F383" s="30" t="n"/>
      <c r="G383" s="30" t="n"/>
      <c r="H383" s="30" t="n"/>
      <c r="I383" s="30" t="n"/>
      <c r="J383" s="119" t="n"/>
      <c r="K383" s="34" t="n"/>
      <c r="L383" s="119" t="n"/>
      <c r="M383" s="34" t="n"/>
      <c r="N383" s="119" t="n"/>
      <c r="O383" s="34" t="n"/>
      <c r="P383" s="34" t="n"/>
      <c r="Q383" s="117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  <c r="AA383" s="34" t="n"/>
      <c r="AB383" s="34" t="n"/>
      <c r="AC383" s="34" t="n"/>
      <c r="AD383" s="34" t="n"/>
      <c r="AE383" s="34" t="n"/>
      <c r="AF383" s="34" t="n"/>
      <c r="AG383" s="34" t="n"/>
      <c r="AH383" s="34" t="n"/>
      <c r="AK383" s="34" t="n"/>
      <c r="AL383" s="34" t="n"/>
      <c r="AM383" s="39" t="n"/>
      <c r="AN383" s="34" t="n"/>
      <c r="AO383" s="34" t="n"/>
      <c r="AP383" s="34" t="n"/>
      <c r="AQ383" s="34" t="n"/>
      <c r="AR383" s="34" t="n"/>
      <c r="AS383" s="34" t="n"/>
      <c r="AU383" s="34" t="n"/>
      <c r="AV383" s="34" t="n"/>
      <c r="AW383" s="34" t="n"/>
      <c r="AX383" s="34" t="n"/>
      <c r="AY383" s="34" t="n"/>
      <c r="AZ383" s="34" t="n"/>
      <c r="BA383" s="34" t="n"/>
      <c r="BB383" s="34" t="n"/>
      <c r="BC383" s="34" t="n"/>
      <c r="BD383" s="34" t="n"/>
      <c r="BE383" s="34" t="n"/>
      <c r="BF383" s="34" t="n"/>
      <c r="BG383" s="34" t="n"/>
      <c r="BH383" s="34" t="n"/>
      <c r="BI383" s="34" t="n"/>
      <c r="BJ383" s="34" t="n"/>
      <c r="BK383" s="34" t="n"/>
      <c r="BL383" s="34" t="n"/>
      <c r="BM383" s="34" t="n"/>
      <c r="BN383" s="34" t="n"/>
      <c r="BO383" s="34" t="n"/>
      <c r="BP383" s="34" t="n"/>
      <c r="BQ383" s="34" t="n"/>
      <c r="BR383" s="82" t="n"/>
      <c r="BS383" s="34" t="n"/>
      <c r="BT383" s="34" t="n"/>
      <c r="BU383" s="34" t="n"/>
      <c r="BV383" s="34" t="n"/>
      <c r="BW383" s="34" t="n"/>
      <c r="BX383" s="34" t="n"/>
      <c r="BY383" s="34" t="n"/>
      <c r="BZ383" s="34" t="n"/>
      <c r="CA383" s="34" t="n"/>
      <c r="CB383" s="33" t="n"/>
      <c r="CC383" s="34" t="n"/>
      <c r="CD383" s="34" t="n"/>
      <c r="CE383" s="82" t="n"/>
      <c r="CF383" s="34" t="n"/>
      <c r="CG383" s="34" t="n"/>
      <c r="CH383" s="34" t="n"/>
      <c r="CI383" s="34" t="n"/>
      <c r="CJ383" s="34" t="n"/>
    </row>
    <row r="384">
      <c r="A384" s="29" t="n"/>
      <c r="B384" s="29" t="n"/>
      <c r="C384" s="35" t="n"/>
      <c r="D384" s="36" t="n"/>
      <c r="E384" s="147" t="n"/>
      <c r="F384" s="30" t="n"/>
      <c r="G384" s="30" t="n"/>
      <c r="H384" s="30" t="n"/>
      <c r="I384" s="30" t="n"/>
      <c r="J384" s="119" t="n"/>
      <c r="K384" s="34" t="n"/>
      <c r="L384" s="119" t="n"/>
      <c r="M384" s="34" t="n"/>
      <c r="N384" s="119" t="n"/>
      <c r="O384" s="34" t="n"/>
      <c r="P384" s="34" t="n"/>
      <c r="Q384" s="117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  <c r="AA384" s="34" t="n"/>
      <c r="AB384" s="34" t="n"/>
      <c r="AC384" s="34" t="n"/>
      <c r="AD384" s="34" t="n"/>
      <c r="AE384" s="34" t="n"/>
      <c r="AF384" s="34" t="n"/>
      <c r="AG384" s="34" t="n"/>
      <c r="AH384" s="34" t="n"/>
      <c r="AK384" s="34" t="n"/>
      <c r="AL384" s="34" t="n"/>
      <c r="AM384" s="39" t="n"/>
      <c r="AN384" s="34" t="n"/>
      <c r="AO384" s="34" t="n"/>
      <c r="AP384" s="34" t="n"/>
      <c r="AQ384" s="34" t="n"/>
      <c r="AR384" s="34" t="n"/>
      <c r="AS384" s="34" t="n"/>
      <c r="AU384" s="34" t="n"/>
      <c r="AV384" s="34" t="n"/>
      <c r="AW384" s="34" t="n"/>
      <c r="AX384" s="34" t="n"/>
      <c r="AY384" s="34" t="n"/>
      <c r="AZ384" s="34" t="n"/>
      <c r="BA384" s="34" t="n"/>
      <c r="BB384" s="34" t="n"/>
      <c r="BC384" s="34" t="n"/>
      <c r="BD384" s="34" t="n"/>
      <c r="BE384" s="34" t="n"/>
      <c r="BF384" s="34" t="n"/>
      <c r="BG384" s="34" t="n"/>
      <c r="BH384" s="34" t="n"/>
      <c r="BI384" s="34" t="n"/>
      <c r="BJ384" s="34" t="n"/>
      <c r="BK384" s="34" t="n"/>
      <c r="BL384" s="34" t="n"/>
      <c r="BM384" s="34" t="n"/>
      <c r="BN384" s="34" t="n"/>
      <c r="BO384" s="34" t="n"/>
      <c r="BP384" s="34" t="n"/>
      <c r="BQ384" s="34" t="n"/>
      <c r="BR384" s="82" t="n"/>
      <c r="BS384" s="34" t="n"/>
      <c r="BT384" s="34" t="n"/>
      <c r="BU384" s="34" t="n"/>
      <c r="BV384" s="34" t="n"/>
      <c r="BW384" s="34" t="n"/>
      <c r="BX384" s="34" t="n"/>
      <c r="BY384" s="34" t="n"/>
      <c r="BZ384" s="34" t="n"/>
      <c r="CA384" s="34" t="n"/>
      <c r="CB384" s="33" t="n"/>
      <c r="CC384" s="34" t="n"/>
      <c r="CD384" s="34" t="n"/>
      <c r="CE384" s="82" t="n"/>
      <c r="CF384" s="34" t="n"/>
      <c r="CG384" s="34" t="n"/>
      <c r="CH384" s="34" t="n"/>
      <c r="CI384" s="34" t="n"/>
      <c r="CJ384" s="34" t="n"/>
    </row>
    <row r="385">
      <c r="A385" s="29" t="n"/>
      <c r="B385" s="29" t="n"/>
      <c r="C385" s="35" t="n"/>
      <c r="D385" s="36" t="n"/>
      <c r="E385" s="147" t="n"/>
      <c r="F385" s="30" t="n"/>
      <c r="G385" s="30" t="n"/>
      <c r="H385" s="30" t="n"/>
      <c r="I385" s="30" t="n"/>
      <c r="J385" s="119" t="n"/>
      <c r="K385" s="34" t="n"/>
      <c r="L385" s="119" t="n"/>
      <c r="M385" s="34" t="n"/>
      <c r="N385" s="119" t="n"/>
      <c r="O385" s="34" t="n"/>
      <c r="P385" s="34" t="n"/>
      <c r="Q385" s="117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  <c r="AA385" s="34" t="n"/>
      <c r="AB385" s="34" t="n"/>
      <c r="AC385" s="34" t="n"/>
      <c r="AD385" s="34" t="n"/>
      <c r="AE385" s="34" t="n"/>
      <c r="AF385" s="34" t="n"/>
      <c r="AG385" s="34" t="n"/>
      <c r="AH385" s="34" t="n"/>
      <c r="AK385" s="34" t="n"/>
      <c r="AL385" s="34" t="n"/>
      <c r="AM385" s="39" t="n"/>
      <c r="AN385" s="34" t="n"/>
      <c r="AO385" s="34" t="n"/>
      <c r="AP385" s="34" t="n"/>
      <c r="AQ385" s="34" t="n"/>
      <c r="AR385" s="34" t="n"/>
      <c r="AS385" s="34" t="n"/>
      <c r="AU385" s="34" t="n"/>
      <c r="AV385" s="34" t="n"/>
      <c r="AW385" s="34" t="n"/>
      <c r="AX385" s="34" t="n"/>
      <c r="AY385" s="34" t="n"/>
      <c r="AZ385" s="34" t="n"/>
      <c r="BA385" s="34" t="n"/>
      <c r="BB385" s="34" t="n"/>
      <c r="BC385" s="34" t="n"/>
      <c r="BD385" s="34" t="n"/>
      <c r="BE385" s="34" t="n"/>
      <c r="BF385" s="34" t="n"/>
      <c r="BG385" s="34" t="n"/>
      <c r="BH385" s="34" t="n"/>
      <c r="BI385" s="34" t="n"/>
      <c r="BJ385" s="34" t="n"/>
      <c r="BK385" s="34" t="n"/>
      <c r="BL385" s="34" t="n"/>
      <c r="BM385" s="34" t="n"/>
      <c r="BN385" s="34" t="n"/>
      <c r="BO385" s="34" t="n"/>
      <c r="BP385" s="34" t="n"/>
      <c r="BQ385" s="34" t="n"/>
      <c r="BR385" s="82" t="n"/>
      <c r="BS385" s="34" t="n"/>
      <c r="BT385" s="34" t="n"/>
      <c r="BU385" s="34" t="n"/>
      <c r="BV385" s="34" t="n"/>
      <c r="BW385" s="34" t="n"/>
      <c r="BX385" s="34" t="n"/>
      <c r="BY385" s="34" t="n"/>
      <c r="BZ385" s="34" t="n"/>
      <c r="CA385" s="34" t="n"/>
      <c r="CB385" s="33" t="n"/>
      <c r="CC385" s="34" t="n"/>
      <c r="CD385" s="34" t="n"/>
      <c r="CE385" s="82" t="n"/>
      <c r="CF385" s="34" t="n"/>
      <c r="CG385" s="34" t="n"/>
      <c r="CH385" s="34" t="n"/>
      <c r="CI385" s="34" t="n"/>
      <c r="CJ385" s="34" t="n"/>
    </row>
    <row r="386">
      <c r="A386" s="29" t="n"/>
      <c r="B386" s="29" t="n"/>
      <c r="C386" s="35" t="n"/>
      <c r="D386" s="36" t="n"/>
      <c r="E386" s="147" t="n"/>
      <c r="F386" s="30" t="n"/>
      <c r="G386" s="30" t="n"/>
      <c r="H386" s="30" t="n"/>
      <c r="I386" s="30" t="n"/>
      <c r="J386" s="119" t="n"/>
      <c r="K386" s="34" t="n"/>
      <c r="L386" s="119" t="n"/>
      <c r="M386" s="34" t="n"/>
      <c r="N386" s="119" t="n"/>
      <c r="O386" s="34" t="n"/>
      <c r="P386" s="34" t="n"/>
      <c r="Q386" s="117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  <c r="AA386" s="34" t="n"/>
      <c r="AB386" s="34" t="n"/>
      <c r="AC386" s="34" t="n"/>
      <c r="AD386" s="34" t="n"/>
      <c r="AE386" s="34" t="n"/>
      <c r="AF386" s="34" t="n"/>
      <c r="AG386" s="34" t="n"/>
      <c r="AH386" s="34" t="n"/>
      <c r="AK386" s="34" t="n"/>
      <c r="AL386" s="34" t="n"/>
      <c r="AM386" s="39" t="n"/>
      <c r="AN386" s="34" t="n"/>
      <c r="AO386" s="34" t="n"/>
      <c r="AP386" s="34" t="n"/>
      <c r="AQ386" s="34" t="n"/>
      <c r="AR386" s="34" t="n"/>
      <c r="AS386" s="34" t="n"/>
      <c r="AU386" s="34" t="n"/>
      <c r="AV386" s="34" t="n"/>
      <c r="AW386" s="34" t="n"/>
      <c r="AX386" s="34" t="n"/>
      <c r="AY386" s="34" t="n"/>
      <c r="AZ386" s="34" t="n"/>
      <c r="BA386" s="34" t="n"/>
      <c r="BB386" s="34" t="n"/>
      <c r="BC386" s="34" t="n"/>
      <c r="BD386" s="34" t="n"/>
      <c r="BE386" s="34" t="n"/>
      <c r="BF386" s="34" t="n"/>
      <c r="BG386" s="34" t="n"/>
      <c r="BH386" s="34" t="n"/>
      <c r="BI386" s="34" t="n"/>
      <c r="BJ386" s="34" t="n"/>
      <c r="BK386" s="34" t="n"/>
      <c r="BL386" s="34" t="n"/>
      <c r="BM386" s="34" t="n"/>
      <c r="BN386" s="34" t="n"/>
      <c r="BO386" s="34" t="n"/>
      <c r="BP386" s="34" t="n"/>
      <c r="BQ386" s="34" t="n"/>
      <c r="BR386" s="82" t="n"/>
      <c r="BS386" s="34" t="n"/>
      <c r="BT386" s="34" t="n"/>
      <c r="BU386" s="34" t="n"/>
      <c r="BV386" s="34" t="n"/>
      <c r="BW386" s="34" t="n"/>
      <c r="BX386" s="34" t="n"/>
      <c r="BY386" s="34" t="n"/>
      <c r="BZ386" s="34" t="n"/>
      <c r="CA386" s="34" t="n"/>
      <c r="CB386" s="33" t="n"/>
      <c r="CC386" s="34" t="n"/>
      <c r="CD386" s="34" t="n"/>
      <c r="CE386" s="82" t="n"/>
      <c r="CF386" s="34" t="n"/>
      <c r="CG386" s="34" t="n"/>
      <c r="CH386" s="34" t="n"/>
      <c r="CI386" s="34" t="n"/>
      <c r="CJ386" s="34" t="n"/>
    </row>
    <row r="387">
      <c r="A387" s="29" t="n"/>
      <c r="B387" s="29" t="n"/>
      <c r="C387" s="35" t="n"/>
      <c r="D387" s="36" t="n"/>
      <c r="E387" s="147" t="n"/>
      <c r="F387" s="30" t="n"/>
      <c r="G387" s="30" t="n"/>
      <c r="H387" s="30" t="n"/>
      <c r="I387" s="30" t="n"/>
      <c r="J387" s="119" t="n"/>
      <c r="K387" s="34" t="n"/>
      <c r="L387" s="119" t="n"/>
      <c r="M387" s="34" t="n"/>
      <c r="N387" s="119" t="n"/>
      <c r="O387" s="34" t="n"/>
      <c r="P387" s="34" t="n"/>
      <c r="Q387" s="117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  <c r="AA387" s="34" t="n"/>
      <c r="AB387" s="34" t="n"/>
      <c r="AC387" s="34" t="n"/>
      <c r="AD387" s="34" t="n"/>
      <c r="AE387" s="34" t="n"/>
      <c r="AF387" s="34" t="n"/>
      <c r="AG387" s="34" t="n"/>
      <c r="AH387" s="34" t="n"/>
      <c r="AK387" s="34" t="n"/>
      <c r="AL387" s="34" t="n"/>
      <c r="AM387" s="39" t="n"/>
      <c r="AN387" s="34" t="n"/>
      <c r="AO387" s="34" t="n"/>
      <c r="AP387" s="34" t="n"/>
      <c r="AQ387" s="34" t="n"/>
      <c r="AR387" s="34" t="n"/>
      <c r="AS387" s="34" t="n"/>
      <c r="AU387" s="34" t="n"/>
      <c r="AV387" s="34" t="n"/>
      <c r="AW387" s="34" t="n"/>
      <c r="AX387" s="34" t="n"/>
      <c r="AY387" s="34" t="n"/>
      <c r="AZ387" s="34" t="n"/>
      <c r="BA387" s="34" t="n"/>
      <c r="BB387" s="34" t="n"/>
      <c r="BC387" s="34" t="n"/>
      <c r="BD387" s="34" t="n"/>
      <c r="BE387" s="34" t="n"/>
      <c r="BF387" s="34" t="n"/>
      <c r="BG387" s="34" t="n"/>
      <c r="BH387" s="34" t="n"/>
      <c r="BI387" s="34" t="n"/>
      <c r="BJ387" s="34" t="n"/>
      <c r="BK387" s="34" t="n"/>
      <c r="BL387" s="34" t="n"/>
      <c r="BM387" s="34" t="n"/>
      <c r="BN387" s="34" t="n"/>
      <c r="BO387" s="34" t="n"/>
      <c r="BP387" s="34" t="n"/>
      <c r="BQ387" s="34" t="n"/>
      <c r="BR387" s="82" t="n"/>
      <c r="BS387" s="34" t="n"/>
      <c r="BT387" s="34" t="n"/>
      <c r="BU387" s="34" t="n"/>
      <c r="BV387" s="34" t="n"/>
      <c r="BW387" s="34" t="n"/>
      <c r="BX387" s="34" t="n"/>
      <c r="BY387" s="34" t="n"/>
      <c r="BZ387" s="34" t="n"/>
      <c r="CA387" s="34" t="n"/>
      <c r="CB387" s="33" t="n"/>
      <c r="CC387" s="34" t="n"/>
      <c r="CD387" s="34" t="n"/>
      <c r="CE387" s="82" t="n"/>
      <c r="CF387" s="34" t="n"/>
      <c r="CG387" s="34" t="n"/>
      <c r="CH387" s="34" t="n"/>
      <c r="CI387" s="34" t="n"/>
      <c r="CJ387" s="34" t="n"/>
    </row>
    <row r="388">
      <c r="A388" s="29" t="n"/>
      <c r="B388" s="29" t="n"/>
      <c r="C388" s="35" t="n"/>
      <c r="D388" s="36" t="n"/>
      <c r="E388" s="147" t="n"/>
      <c r="F388" s="30" t="n"/>
      <c r="G388" s="30" t="n"/>
      <c r="H388" s="30" t="n"/>
      <c r="I388" s="30" t="n"/>
      <c r="J388" s="119" t="n"/>
      <c r="K388" s="34" t="n"/>
      <c r="L388" s="119" t="n"/>
      <c r="M388" s="34" t="n"/>
      <c r="N388" s="119" t="n"/>
      <c r="O388" s="34" t="n"/>
      <c r="P388" s="34" t="n"/>
      <c r="Q388" s="117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  <c r="AA388" s="34" t="n"/>
      <c r="AB388" s="34" t="n"/>
      <c r="AC388" s="34" t="n"/>
      <c r="AD388" s="34" t="n"/>
      <c r="AE388" s="34" t="n"/>
      <c r="AF388" s="34" t="n"/>
      <c r="AG388" s="34" t="n"/>
      <c r="AH388" s="34" t="n"/>
      <c r="AK388" s="34" t="n"/>
      <c r="AL388" s="34" t="n"/>
      <c r="AM388" s="39" t="n"/>
      <c r="AN388" s="34" t="n"/>
      <c r="AO388" s="34" t="n"/>
      <c r="AP388" s="34" t="n"/>
      <c r="AQ388" s="34" t="n"/>
      <c r="AR388" s="34" t="n"/>
      <c r="AS388" s="34" t="n"/>
      <c r="AU388" s="34" t="n"/>
      <c r="AV388" s="34" t="n"/>
      <c r="AW388" s="34" t="n"/>
      <c r="AX388" s="34" t="n"/>
      <c r="AY388" s="34" t="n"/>
      <c r="AZ388" s="34" t="n"/>
      <c r="BA388" s="34" t="n"/>
      <c r="BB388" s="34" t="n"/>
      <c r="BC388" s="34" t="n"/>
      <c r="BD388" s="34" t="n"/>
      <c r="BE388" s="34" t="n"/>
      <c r="BF388" s="34" t="n"/>
      <c r="BG388" s="34" t="n"/>
      <c r="BH388" s="34" t="n"/>
      <c r="BI388" s="34" t="n"/>
      <c r="BJ388" s="34" t="n"/>
      <c r="BK388" s="34" t="n"/>
      <c r="BL388" s="34" t="n"/>
      <c r="BM388" s="34" t="n"/>
      <c r="BN388" s="34" t="n"/>
      <c r="BO388" s="34" t="n"/>
      <c r="BP388" s="34" t="n"/>
      <c r="BQ388" s="34" t="n"/>
      <c r="BR388" s="82" t="n"/>
      <c r="BS388" s="34" t="n"/>
      <c r="BT388" s="34" t="n"/>
      <c r="BU388" s="34" t="n"/>
      <c r="BV388" s="34" t="n"/>
      <c r="BW388" s="34" t="n"/>
      <c r="BX388" s="34" t="n"/>
      <c r="BY388" s="34" t="n"/>
      <c r="BZ388" s="34" t="n"/>
      <c r="CA388" s="34" t="n"/>
      <c r="CB388" s="33" t="n"/>
      <c r="CC388" s="34" t="n"/>
      <c r="CD388" s="34" t="n"/>
      <c r="CE388" s="82" t="n"/>
      <c r="CF388" s="34" t="n"/>
      <c r="CG388" s="34" t="n"/>
      <c r="CH388" s="34" t="n"/>
      <c r="CI388" s="34" t="n"/>
      <c r="CJ388" s="34" t="n"/>
    </row>
    <row r="389">
      <c r="A389" s="29" t="n"/>
      <c r="B389" s="29" t="n"/>
      <c r="C389" s="35" t="n"/>
      <c r="D389" s="36" t="n"/>
      <c r="E389" s="147" t="n"/>
      <c r="F389" s="30" t="n"/>
      <c r="G389" s="30" t="n"/>
      <c r="H389" s="30" t="n"/>
      <c r="I389" s="30" t="n"/>
      <c r="J389" s="119" t="n"/>
      <c r="K389" s="34" t="n"/>
      <c r="L389" s="119" t="n"/>
      <c r="M389" s="34" t="n"/>
      <c r="N389" s="119" t="n"/>
      <c r="O389" s="34" t="n"/>
      <c r="P389" s="34" t="n"/>
      <c r="Q389" s="117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  <c r="AA389" s="34" t="n"/>
      <c r="AB389" s="34" t="n"/>
      <c r="AC389" s="34" t="n"/>
      <c r="AD389" s="34" t="n"/>
      <c r="AE389" s="34" t="n"/>
      <c r="AF389" s="34" t="n"/>
      <c r="AG389" s="34" t="n"/>
      <c r="AH389" s="34" t="n"/>
      <c r="AK389" s="34" t="n"/>
      <c r="AL389" s="34" t="n"/>
      <c r="AM389" s="39" t="n"/>
      <c r="AN389" s="34" t="n"/>
      <c r="AO389" s="34" t="n"/>
      <c r="AP389" s="34" t="n"/>
      <c r="AQ389" s="34" t="n"/>
      <c r="AR389" s="34" t="n"/>
      <c r="AS389" s="34" t="n"/>
      <c r="AU389" s="34" t="n"/>
      <c r="AV389" s="34" t="n"/>
      <c r="AW389" s="34" t="n"/>
      <c r="AX389" s="34" t="n"/>
      <c r="AY389" s="34" t="n"/>
      <c r="AZ389" s="34" t="n"/>
      <c r="BA389" s="34" t="n"/>
      <c r="BB389" s="34" t="n"/>
      <c r="BC389" s="34" t="n"/>
      <c r="BD389" s="34" t="n"/>
      <c r="BE389" s="34" t="n"/>
      <c r="BF389" s="34" t="n"/>
      <c r="BG389" s="34" t="n"/>
      <c r="BH389" s="34" t="n"/>
      <c r="BI389" s="34" t="n"/>
      <c r="BJ389" s="34" t="n"/>
      <c r="BK389" s="34" t="n"/>
      <c r="BL389" s="34" t="n"/>
      <c r="BM389" s="34" t="n"/>
      <c r="BN389" s="34" t="n"/>
      <c r="BO389" s="34" t="n"/>
      <c r="BP389" s="34" t="n"/>
      <c r="BQ389" s="34" t="n"/>
      <c r="BR389" s="82" t="n"/>
      <c r="BS389" s="34" t="n"/>
      <c r="BT389" s="34" t="n"/>
      <c r="BU389" s="34" t="n"/>
      <c r="BV389" s="34" t="n"/>
      <c r="BW389" s="34" t="n"/>
      <c r="BX389" s="34" t="n"/>
      <c r="BY389" s="34" t="n"/>
      <c r="BZ389" s="34" t="n"/>
      <c r="CA389" s="34" t="n"/>
      <c r="CB389" s="33" t="n"/>
      <c r="CC389" s="34" t="n"/>
      <c r="CD389" s="34" t="n"/>
      <c r="CE389" s="82" t="n"/>
      <c r="CF389" s="34" t="n"/>
      <c r="CG389" s="34" t="n"/>
      <c r="CH389" s="34" t="n"/>
      <c r="CI389" s="34" t="n"/>
      <c r="CJ389" s="34" t="n"/>
    </row>
    <row r="390">
      <c r="A390" s="29" t="n"/>
      <c r="B390" s="29" t="n"/>
      <c r="C390" s="35" t="n"/>
      <c r="D390" s="36" t="n"/>
      <c r="E390" s="147" t="n"/>
      <c r="F390" s="30" t="n"/>
      <c r="G390" s="30" t="n"/>
      <c r="H390" s="30" t="n"/>
      <c r="I390" s="30" t="n"/>
      <c r="J390" s="119" t="n"/>
      <c r="K390" s="34" t="n"/>
      <c r="L390" s="119" t="n"/>
      <c r="M390" s="34" t="n"/>
      <c r="N390" s="119" t="n"/>
      <c r="O390" s="34" t="n"/>
      <c r="P390" s="34" t="n"/>
      <c r="Q390" s="117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  <c r="AA390" s="34" t="n"/>
      <c r="AB390" s="34" t="n"/>
      <c r="AC390" s="34" t="n"/>
      <c r="AD390" s="34" t="n"/>
      <c r="AE390" s="34" t="n"/>
      <c r="AF390" s="34" t="n"/>
      <c r="AG390" s="34" t="n"/>
      <c r="AH390" s="34" t="n"/>
      <c r="AK390" s="34" t="n"/>
      <c r="AL390" s="34" t="n"/>
      <c r="AM390" s="39" t="n"/>
      <c r="AN390" s="34" t="n"/>
      <c r="AO390" s="34" t="n"/>
      <c r="AP390" s="34" t="n"/>
      <c r="AQ390" s="34" t="n"/>
      <c r="AR390" s="34" t="n"/>
      <c r="AS390" s="34" t="n"/>
      <c r="AU390" s="34" t="n"/>
      <c r="AV390" s="34" t="n"/>
      <c r="AW390" s="34" t="n"/>
      <c r="AX390" s="34" t="n"/>
      <c r="AY390" s="34" t="n"/>
      <c r="AZ390" s="34" t="n"/>
      <c r="BA390" s="34" t="n"/>
      <c r="BB390" s="34" t="n"/>
      <c r="BC390" s="34" t="n"/>
      <c r="BD390" s="34" t="n"/>
      <c r="BE390" s="34" t="n"/>
      <c r="BF390" s="34" t="n"/>
      <c r="BG390" s="34" t="n"/>
      <c r="BH390" s="34" t="n"/>
      <c r="BI390" s="34" t="n"/>
      <c r="BJ390" s="34" t="n"/>
      <c r="BK390" s="34" t="n"/>
      <c r="BL390" s="34" t="n"/>
      <c r="BM390" s="34" t="n"/>
      <c r="BN390" s="34" t="n"/>
      <c r="BO390" s="34" t="n"/>
      <c r="BP390" s="34" t="n"/>
      <c r="BQ390" s="34" t="n"/>
      <c r="BR390" s="82" t="n"/>
      <c r="BS390" s="34" t="n"/>
      <c r="BT390" s="34" t="n"/>
      <c r="BU390" s="34" t="n"/>
      <c r="BV390" s="34" t="n"/>
      <c r="BW390" s="34" t="n"/>
      <c r="BX390" s="34" t="n"/>
      <c r="BY390" s="34" t="n"/>
      <c r="BZ390" s="34" t="n"/>
      <c r="CA390" s="34" t="n"/>
      <c r="CB390" s="33" t="n"/>
      <c r="CC390" s="34" t="n"/>
      <c r="CD390" s="34" t="n"/>
      <c r="CE390" s="82" t="n"/>
      <c r="CF390" s="34" t="n"/>
      <c r="CG390" s="34" t="n"/>
      <c r="CH390" s="34" t="n"/>
      <c r="CI390" s="34" t="n"/>
      <c r="CJ390" s="34" t="n"/>
    </row>
    <row r="391">
      <c r="A391" s="29" t="n"/>
      <c r="B391" s="29" t="n"/>
      <c r="C391" s="35" t="n"/>
      <c r="D391" s="36" t="n"/>
      <c r="E391" s="147" t="n"/>
      <c r="F391" s="30" t="n"/>
      <c r="G391" s="30" t="n"/>
      <c r="H391" s="30" t="n"/>
      <c r="I391" s="30" t="n"/>
      <c r="J391" s="119" t="n"/>
      <c r="K391" s="34" t="n"/>
      <c r="L391" s="119" t="n"/>
      <c r="M391" s="34" t="n"/>
      <c r="N391" s="119" t="n"/>
      <c r="O391" s="34" t="n"/>
      <c r="P391" s="34" t="n"/>
      <c r="Q391" s="117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  <c r="AA391" s="34" t="n"/>
      <c r="AB391" s="34" t="n"/>
      <c r="AC391" s="34" t="n"/>
      <c r="AD391" s="34" t="n"/>
      <c r="AE391" s="34" t="n"/>
      <c r="AF391" s="34" t="n"/>
      <c r="AG391" s="34" t="n"/>
      <c r="AH391" s="34" t="n"/>
      <c r="AK391" s="34" t="n"/>
      <c r="AL391" s="34" t="n"/>
      <c r="AM391" s="39" t="n"/>
      <c r="AN391" s="34" t="n"/>
      <c r="AO391" s="34" t="n"/>
      <c r="AP391" s="34" t="n"/>
      <c r="AQ391" s="34" t="n"/>
      <c r="AR391" s="34" t="n"/>
      <c r="AS391" s="34" t="n"/>
      <c r="AU391" s="34" t="n"/>
      <c r="AV391" s="34" t="n"/>
      <c r="AW391" s="34" t="n"/>
      <c r="AX391" s="34" t="n"/>
      <c r="AY391" s="34" t="n"/>
      <c r="AZ391" s="34" t="n"/>
      <c r="BA391" s="34" t="n"/>
      <c r="BB391" s="34" t="n"/>
      <c r="BC391" s="34" t="n"/>
      <c r="BD391" s="34" t="n"/>
      <c r="BE391" s="34" t="n"/>
      <c r="BF391" s="34" t="n"/>
      <c r="BG391" s="34" t="n"/>
      <c r="BH391" s="34" t="n"/>
      <c r="BI391" s="34" t="n"/>
      <c r="BJ391" s="34" t="n"/>
      <c r="BK391" s="34" t="n"/>
      <c r="BL391" s="34" t="n"/>
      <c r="BM391" s="34" t="n"/>
      <c r="BN391" s="34" t="n"/>
      <c r="BO391" s="34" t="n"/>
      <c r="BP391" s="34" t="n"/>
      <c r="BQ391" s="34" t="n"/>
      <c r="BR391" s="82" t="n"/>
      <c r="BS391" s="34" t="n"/>
      <c r="BT391" s="34" t="n"/>
      <c r="BU391" s="34" t="n"/>
      <c r="BV391" s="34" t="n"/>
      <c r="BW391" s="34" t="n"/>
      <c r="BX391" s="34" t="n"/>
      <c r="BY391" s="34" t="n"/>
      <c r="BZ391" s="34" t="n"/>
      <c r="CA391" s="34" t="n"/>
      <c r="CB391" s="33" t="n"/>
      <c r="CC391" s="34" t="n"/>
      <c r="CD391" s="34" t="n"/>
      <c r="CE391" s="82" t="n"/>
      <c r="CF391" s="34" t="n"/>
      <c r="CG391" s="34" t="n"/>
      <c r="CH391" s="34" t="n"/>
      <c r="CI391" s="34" t="n"/>
      <c r="CJ391" s="34" t="n"/>
    </row>
    <row r="392">
      <c r="A392" s="29" t="n"/>
      <c r="B392" s="29" t="n"/>
      <c r="C392" s="35" t="n"/>
      <c r="D392" s="36" t="n"/>
      <c r="E392" s="147" t="n"/>
      <c r="F392" s="30" t="n"/>
      <c r="G392" s="30" t="n"/>
      <c r="H392" s="30" t="n"/>
      <c r="I392" s="30" t="n"/>
      <c r="J392" s="119" t="n"/>
      <c r="K392" s="34" t="n"/>
      <c r="L392" s="119" t="n"/>
      <c r="M392" s="34" t="n"/>
      <c r="N392" s="119" t="n"/>
      <c r="O392" s="34" t="n"/>
      <c r="P392" s="34" t="n"/>
      <c r="Q392" s="117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  <c r="AA392" s="34" t="n"/>
      <c r="AB392" s="34" t="n"/>
      <c r="AC392" s="34" t="n"/>
      <c r="AD392" s="34" t="n"/>
      <c r="AE392" s="34" t="n"/>
      <c r="AF392" s="34" t="n"/>
      <c r="AG392" s="34" t="n"/>
      <c r="AH392" s="34" t="n"/>
      <c r="AK392" s="34" t="n"/>
      <c r="AL392" s="34" t="n"/>
      <c r="AM392" s="39" t="n"/>
      <c r="AN392" s="34" t="n"/>
      <c r="AO392" s="34" t="n"/>
      <c r="AP392" s="34" t="n"/>
      <c r="AQ392" s="34" t="n"/>
      <c r="AR392" s="34" t="n"/>
      <c r="AS392" s="34" t="n"/>
      <c r="AU392" s="34" t="n"/>
      <c r="AV392" s="34" t="n"/>
      <c r="AW392" s="34" t="n"/>
      <c r="AX392" s="34" t="n"/>
      <c r="AY392" s="34" t="n"/>
      <c r="AZ392" s="34" t="n"/>
      <c r="BA392" s="34" t="n"/>
      <c r="BB392" s="34" t="n"/>
      <c r="BC392" s="34" t="n"/>
      <c r="BD392" s="34" t="n"/>
      <c r="BE392" s="34" t="n"/>
      <c r="BF392" s="34" t="n"/>
      <c r="BG392" s="34" t="n"/>
      <c r="BH392" s="34" t="n"/>
      <c r="BI392" s="34" t="n"/>
      <c r="BJ392" s="34" t="n"/>
      <c r="BK392" s="34" t="n"/>
      <c r="BL392" s="34" t="n"/>
      <c r="BM392" s="34" t="n"/>
      <c r="BN392" s="34" t="n"/>
      <c r="BO392" s="34" t="n"/>
      <c r="BP392" s="34" t="n"/>
      <c r="BQ392" s="34" t="n"/>
      <c r="BR392" s="82" t="n"/>
      <c r="BS392" s="34" t="n"/>
      <c r="BT392" s="34" t="n"/>
      <c r="BU392" s="34" t="n"/>
      <c r="BV392" s="34" t="n"/>
      <c r="BW392" s="34" t="n"/>
      <c r="BX392" s="34" t="n"/>
      <c r="BY392" s="34" t="n"/>
      <c r="BZ392" s="34" t="n"/>
      <c r="CA392" s="34" t="n"/>
      <c r="CB392" s="33" t="n"/>
      <c r="CC392" s="34" t="n"/>
      <c r="CD392" s="34" t="n"/>
      <c r="CE392" s="82" t="n"/>
      <c r="CF392" s="34" t="n"/>
      <c r="CG392" s="34" t="n"/>
      <c r="CH392" s="34" t="n"/>
      <c r="CI392" s="34" t="n"/>
      <c r="CJ392" s="34" t="n"/>
    </row>
    <row r="393">
      <c r="A393" s="29" t="n"/>
      <c r="B393" s="29" t="n"/>
      <c r="C393" s="35" t="n"/>
      <c r="D393" s="36" t="n"/>
      <c r="E393" s="147" t="n"/>
      <c r="F393" s="30" t="n"/>
      <c r="G393" s="30" t="n"/>
      <c r="H393" s="30" t="n"/>
      <c r="I393" s="30" t="n"/>
      <c r="J393" s="119" t="n"/>
      <c r="K393" s="34" t="n"/>
      <c r="L393" s="119" t="n"/>
      <c r="M393" s="34" t="n"/>
      <c r="N393" s="119" t="n"/>
      <c r="O393" s="34" t="n"/>
      <c r="P393" s="34" t="n"/>
      <c r="Q393" s="117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  <c r="AA393" s="34" t="n"/>
      <c r="AB393" s="34" t="n"/>
      <c r="AC393" s="34" t="n"/>
      <c r="AD393" s="34" t="n"/>
      <c r="AE393" s="34" t="n"/>
      <c r="AF393" s="34" t="n"/>
      <c r="AG393" s="34" t="n"/>
      <c r="AH393" s="34" t="n"/>
      <c r="AK393" s="34" t="n"/>
      <c r="AL393" s="34" t="n"/>
      <c r="AM393" s="39" t="n"/>
      <c r="AN393" s="34" t="n"/>
      <c r="AO393" s="34" t="n"/>
      <c r="AP393" s="34" t="n"/>
      <c r="AQ393" s="34" t="n"/>
      <c r="AR393" s="34" t="n"/>
      <c r="AS393" s="34" t="n"/>
      <c r="AU393" s="34" t="n"/>
      <c r="AV393" s="34" t="n"/>
      <c r="AW393" s="34" t="n"/>
      <c r="AX393" s="34" t="n"/>
      <c r="AY393" s="34" t="n"/>
      <c r="AZ393" s="34" t="n"/>
      <c r="BA393" s="34" t="n"/>
      <c r="BB393" s="34" t="n"/>
      <c r="BC393" s="34" t="n"/>
      <c r="BD393" s="34" t="n"/>
      <c r="BE393" s="34" t="n"/>
      <c r="BF393" s="34" t="n"/>
      <c r="BG393" s="34" t="n"/>
      <c r="BH393" s="34" t="n"/>
      <c r="BI393" s="34" t="n"/>
      <c r="BJ393" s="34" t="n"/>
      <c r="BK393" s="34" t="n"/>
      <c r="BL393" s="34" t="n"/>
      <c r="BM393" s="34" t="n"/>
      <c r="BN393" s="34" t="n"/>
      <c r="BO393" s="34" t="n"/>
      <c r="BP393" s="34" t="n"/>
      <c r="BQ393" s="34" t="n"/>
      <c r="BR393" s="82" t="n"/>
      <c r="BS393" s="34" t="n"/>
      <c r="BT393" s="34" t="n"/>
      <c r="BU393" s="34" t="n"/>
      <c r="BV393" s="34" t="n"/>
      <c r="BW393" s="34" t="n"/>
      <c r="BX393" s="34" t="n"/>
      <c r="BY393" s="34" t="n"/>
      <c r="BZ393" s="34" t="n"/>
      <c r="CA393" s="34" t="n"/>
      <c r="CB393" s="33" t="n"/>
      <c r="CC393" s="34" t="n"/>
      <c r="CD393" s="34" t="n"/>
      <c r="CE393" s="82" t="n"/>
      <c r="CF393" s="34" t="n"/>
      <c r="CG393" s="34" t="n"/>
      <c r="CH393" s="34" t="n"/>
      <c r="CI393" s="34" t="n"/>
      <c r="CJ393" s="34" t="n"/>
    </row>
    <row r="394">
      <c r="A394" s="29" t="n"/>
      <c r="B394" s="29" t="n"/>
      <c r="C394" s="35" t="n"/>
      <c r="D394" s="36" t="n"/>
      <c r="E394" s="147" t="n"/>
      <c r="F394" s="30" t="n"/>
      <c r="G394" s="30" t="n"/>
      <c r="H394" s="30" t="n"/>
      <c r="I394" s="30" t="n"/>
      <c r="J394" s="119" t="n"/>
      <c r="K394" s="34" t="n"/>
      <c r="L394" s="119" t="n"/>
      <c r="M394" s="34" t="n"/>
      <c r="N394" s="119" t="n"/>
      <c r="O394" s="34" t="n"/>
      <c r="P394" s="34" t="n"/>
      <c r="Q394" s="117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  <c r="AA394" s="34" t="n"/>
      <c r="AB394" s="34" t="n"/>
      <c r="AC394" s="34" t="n"/>
      <c r="AD394" s="34" t="n"/>
      <c r="AE394" s="34" t="n"/>
      <c r="AF394" s="34" t="n"/>
      <c r="AG394" s="34" t="n"/>
      <c r="AH394" s="34" t="n"/>
      <c r="AK394" s="34" t="n"/>
      <c r="AL394" s="34" t="n"/>
      <c r="AM394" s="39" t="n"/>
      <c r="AN394" s="34" t="n"/>
      <c r="AO394" s="34" t="n"/>
      <c r="AP394" s="34" t="n"/>
      <c r="AQ394" s="34" t="n"/>
      <c r="AR394" s="34" t="n"/>
      <c r="AS394" s="34" t="n"/>
      <c r="AU394" s="34" t="n"/>
      <c r="AV394" s="34" t="n"/>
      <c r="AW394" s="34" t="n"/>
      <c r="AX394" s="34" t="n"/>
      <c r="AY394" s="34" t="n"/>
      <c r="AZ394" s="34" t="n"/>
      <c r="BA394" s="34" t="n"/>
      <c r="BB394" s="34" t="n"/>
      <c r="BC394" s="34" t="n"/>
      <c r="BD394" s="34" t="n"/>
      <c r="BE394" s="34" t="n"/>
      <c r="BF394" s="34" t="n"/>
      <c r="BG394" s="34" t="n"/>
      <c r="BH394" s="34" t="n"/>
      <c r="BI394" s="34" t="n"/>
      <c r="BJ394" s="34" t="n"/>
      <c r="BK394" s="34" t="n"/>
      <c r="BL394" s="34" t="n"/>
      <c r="BM394" s="34" t="n"/>
      <c r="BN394" s="34" t="n"/>
      <c r="BO394" s="34" t="n"/>
      <c r="BP394" s="34" t="n"/>
      <c r="BQ394" s="34" t="n"/>
      <c r="BR394" s="82" t="n"/>
      <c r="BS394" s="34" t="n"/>
      <c r="BT394" s="34" t="n"/>
      <c r="BU394" s="34" t="n"/>
      <c r="BV394" s="34" t="n"/>
      <c r="BW394" s="34" t="n"/>
      <c r="BX394" s="34" t="n"/>
      <c r="BY394" s="34" t="n"/>
      <c r="BZ394" s="34" t="n"/>
      <c r="CA394" s="34" t="n"/>
      <c r="CB394" s="33" t="n"/>
      <c r="CC394" s="34" t="n"/>
      <c r="CD394" s="34" t="n"/>
      <c r="CE394" s="82" t="n"/>
      <c r="CF394" s="34" t="n"/>
      <c r="CG394" s="34" t="n"/>
      <c r="CH394" s="34" t="n"/>
      <c r="CI394" s="34" t="n"/>
      <c r="CJ394" s="34" t="n"/>
    </row>
    <row r="395">
      <c r="A395" s="29" t="n"/>
      <c r="B395" s="29" t="n"/>
      <c r="C395" s="35" t="n"/>
      <c r="D395" s="36" t="n"/>
      <c r="E395" s="147" t="n"/>
      <c r="F395" s="30" t="n"/>
      <c r="G395" s="30" t="n"/>
      <c r="H395" s="30" t="n"/>
      <c r="I395" s="30" t="n"/>
      <c r="J395" s="119" t="n"/>
      <c r="K395" s="34" t="n"/>
      <c r="L395" s="119" t="n"/>
      <c r="M395" s="34" t="n"/>
      <c r="N395" s="119" t="n"/>
      <c r="O395" s="34" t="n"/>
      <c r="P395" s="34" t="n"/>
      <c r="Q395" s="117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  <c r="AA395" s="34" t="n"/>
      <c r="AB395" s="34" t="n"/>
      <c r="AC395" s="34" t="n"/>
      <c r="AD395" s="34" t="n"/>
      <c r="AE395" s="34" t="n"/>
      <c r="AF395" s="34" t="n"/>
      <c r="AG395" s="34" t="n"/>
      <c r="AH395" s="34" t="n"/>
      <c r="AK395" s="34" t="n"/>
      <c r="AL395" s="34" t="n"/>
      <c r="AM395" s="39" t="n"/>
      <c r="AN395" s="34" t="n"/>
      <c r="AO395" s="34" t="n"/>
      <c r="AP395" s="34" t="n"/>
      <c r="AQ395" s="34" t="n"/>
      <c r="AR395" s="34" t="n"/>
      <c r="AS395" s="34" t="n"/>
      <c r="AU395" s="34" t="n"/>
      <c r="AV395" s="34" t="n"/>
      <c r="AW395" s="34" t="n"/>
      <c r="AX395" s="34" t="n"/>
      <c r="AY395" s="34" t="n"/>
      <c r="AZ395" s="34" t="n"/>
      <c r="BA395" s="34" t="n"/>
      <c r="BB395" s="34" t="n"/>
      <c r="BC395" s="34" t="n"/>
      <c r="BD395" s="34" t="n"/>
      <c r="BE395" s="34" t="n"/>
      <c r="BF395" s="34" t="n"/>
      <c r="BG395" s="34" t="n"/>
      <c r="BH395" s="34" t="n"/>
      <c r="BI395" s="34" t="n"/>
      <c r="BJ395" s="34" t="n"/>
      <c r="BK395" s="34" t="n"/>
      <c r="BL395" s="34" t="n"/>
      <c r="BM395" s="34" t="n"/>
      <c r="BN395" s="34" t="n"/>
      <c r="BO395" s="34" t="n"/>
      <c r="BP395" s="34" t="n"/>
      <c r="BQ395" s="34" t="n"/>
      <c r="BR395" s="82" t="n"/>
      <c r="BS395" s="34" t="n"/>
      <c r="BT395" s="34" t="n"/>
      <c r="BU395" s="34" t="n"/>
      <c r="BV395" s="34" t="n"/>
      <c r="BW395" s="34" t="n"/>
      <c r="BX395" s="34" t="n"/>
      <c r="BY395" s="34" t="n"/>
      <c r="BZ395" s="34" t="n"/>
      <c r="CA395" s="34" t="n"/>
      <c r="CB395" s="33" t="n"/>
      <c r="CC395" s="34" t="n"/>
      <c r="CD395" s="34" t="n"/>
      <c r="CE395" s="82" t="n"/>
      <c r="CF395" s="34" t="n"/>
      <c r="CG395" s="34" t="n"/>
      <c r="CH395" s="34" t="n"/>
      <c r="CI395" s="34" t="n"/>
      <c r="CJ395" s="34" t="n"/>
    </row>
    <row r="396">
      <c r="A396" s="29" t="n"/>
      <c r="B396" s="29" t="n"/>
      <c r="C396" s="35" t="n"/>
      <c r="D396" s="36" t="n"/>
      <c r="E396" s="147" t="n"/>
      <c r="F396" s="30" t="n"/>
      <c r="G396" s="30" t="n"/>
      <c r="H396" s="30" t="n"/>
      <c r="I396" s="30" t="n"/>
      <c r="J396" s="119" t="n"/>
      <c r="K396" s="34" t="n"/>
      <c r="L396" s="119" t="n"/>
      <c r="M396" s="34" t="n"/>
      <c r="N396" s="119" t="n"/>
      <c r="O396" s="34" t="n"/>
      <c r="P396" s="34" t="n"/>
      <c r="Q396" s="117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  <c r="AA396" s="34" t="n"/>
      <c r="AB396" s="34" t="n"/>
      <c r="AC396" s="34" t="n"/>
      <c r="AD396" s="34" t="n"/>
      <c r="AE396" s="34" t="n"/>
      <c r="AF396" s="34" t="n"/>
      <c r="AG396" s="34" t="n"/>
      <c r="AH396" s="34" t="n"/>
      <c r="AK396" s="34" t="n"/>
      <c r="AL396" s="34" t="n"/>
      <c r="AM396" s="39" t="n"/>
      <c r="AN396" s="34" t="n"/>
      <c r="AO396" s="34" t="n"/>
      <c r="AP396" s="34" t="n"/>
      <c r="AQ396" s="34" t="n"/>
      <c r="AR396" s="34" t="n"/>
      <c r="AS396" s="34" t="n"/>
      <c r="AU396" s="34" t="n"/>
      <c r="AV396" s="34" t="n"/>
      <c r="AW396" s="34" t="n"/>
      <c r="AX396" s="34" t="n"/>
      <c r="AY396" s="34" t="n"/>
      <c r="AZ396" s="34" t="n"/>
      <c r="BA396" s="34" t="n"/>
      <c r="BB396" s="34" t="n"/>
      <c r="BC396" s="34" t="n"/>
      <c r="BD396" s="34" t="n"/>
      <c r="BE396" s="34" t="n"/>
      <c r="BF396" s="34" t="n"/>
      <c r="BG396" s="34" t="n"/>
      <c r="BH396" s="34" t="n"/>
      <c r="BI396" s="34" t="n"/>
      <c r="BJ396" s="34" t="n"/>
      <c r="BK396" s="34" t="n"/>
      <c r="BL396" s="34" t="n"/>
      <c r="BM396" s="34" t="n"/>
      <c r="BN396" s="34" t="n"/>
      <c r="BO396" s="34" t="n"/>
      <c r="BP396" s="34" t="n"/>
      <c r="BQ396" s="34" t="n"/>
      <c r="BR396" s="82" t="n"/>
      <c r="BS396" s="34" t="n"/>
      <c r="BT396" s="34" t="n"/>
      <c r="BU396" s="34" t="n"/>
      <c r="BV396" s="34" t="n"/>
      <c r="BW396" s="34" t="n"/>
      <c r="BX396" s="34" t="n"/>
      <c r="BY396" s="34" t="n"/>
      <c r="BZ396" s="34" t="n"/>
      <c r="CA396" s="34" t="n"/>
      <c r="CB396" s="33" t="n"/>
      <c r="CC396" s="34" t="n"/>
      <c r="CD396" s="34" t="n"/>
      <c r="CE396" s="82" t="n"/>
      <c r="CF396" s="34" t="n"/>
      <c r="CG396" s="34" t="n"/>
      <c r="CH396" s="34" t="n"/>
      <c r="CI396" s="34" t="n"/>
      <c r="CJ396" s="34" t="n"/>
    </row>
    <row r="397">
      <c r="A397" s="29" t="n"/>
      <c r="B397" s="29" t="n"/>
      <c r="C397" s="35" t="n"/>
      <c r="D397" s="36" t="n"/>
      <c r="E397" s="147" t="n"/>
      <c r="F397" s="30" t="n"/>
      <c r="G397" s="30" t="n"/>
      <c r="H397" s="30" t="n"/>
      <c r="I397" s="30" t="n"/>
      <c r="J397" s="119" t="n"/>
      <c r="K397" s="34" t="n"/>
      <c r="L397" s="119" t="n"/>
      <c r="M397" s="34" t="n"/>
      <c r="N397" s="119" t="n"/>
      <c r="O397" s="34" t="n"/>
      <c r="P397" s="34" t="n"/>
      <c r="Q397" s="117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  <c r="AA397" s="34" t="n"/>
      <c r="AB397" s="34" t="n"/>
      <c r="AC397" s="34" t="n"/>
      <c r="AD397" s="34" t="n"/>
      <c r="AE397" s="34" t="n"/>
      <c r="AF397" s="34" t="n"/>
      <c r="AG397" s="34" t="n"/>
      <c r="AH397" s="34" t="n"/>
      <c r="AK397" s="34" t="n"/>
      <c r="AL397" s="34" t="n"/>
      <c r="AM397" s="39" t="n"/>
      <c r="AN397" s="34" t="n"/>
      <c r="AO397" s="34" t="n"/>
      <c r="AP397" s="34" t="n"/>
      <c r="AQ397" s="34" t="n"/>
      <c r="AR397" s="34" t="n"/>
      <c r="AS397" s="34" t="n"/>
      <c r="AU397" s="34" t="n"/>
      <c r="AV397" s="34" t="n"/>
      <c r="AW397" s="34" t="n"/>
      <c r="AX397" s="34" t="n"/>
      <c r="AY397" s="34" t="n"/>
      <c r="AZ397" s="34" t="n"/>
      <c r="BA397" s="34" t="n"/>
      <c r="BB397" s="34" t="n"/>
      <c r="BC397" s="34" t="n"/>
      <c r="BD397" s="34" t="n"/>
      <c r="BE397" s="34" t="n"/>
      <c r="BF397" s="34" t="n"/>
      <c r="BG397" s="34" t="n"/>
      <c r="BH397" s="34" t="n"/>
      <c r="BI397" s="34" t="n"/>
      <c r="BJ397" s="34" t="n"/>
      <c r="BK397" s="34" t="n"/>
      <c r="BL397" s="34" t="n"/>
      <c r="BM397" s="34" t="n"/>
      <c r="BN397" s="34" t="n"/>
      <c r="BO397" s="34" t="n"/>
      <c r="BP397" s="34" t="n"/>
      <c r="BQ397" s="34" t="n"/>
      <c r="BR397" s="82" t="n"/>
      <c r="BS397" s="34" t="n"/>
      <c r="BT397" s="34" t="n"/>
      <c r="BU397" s="34" t="n"/>
      <c r="BV397" s="34" t="n"/>
      <c r="BW397" s="34" t="n"/>
      <c r="BX397" s="34" t="n"/>
      <c r="BY397" s="34" t="n"/>
      <c r="BZ397" s="34" t="n"/>
      <c r="CA397" s="34" t="n"/>
      <c r="CB397" s="33" t="n"/>
      <c r="CC397" s="34" t="n"/>
      <c r="CD397" s="34" t="n"/>
      <c r="CE397" s="82" t="n"/>
      <c r="CF397" s="34" t="n"/>
      <c r="CG397" s="34" t="n"/>
      <c r="CH397" s="34" t="n"/>
      <c r="CI397" s="34" t="n"/>
      <c r="CJ397" s="34" t="n"/>
    </row>
    <row r="398">
      <c r="A398" s="29" t="n"/>
      <c r="B398" s="29" t="n"/>
      <c r="C398" s="35" t="n"/>
      <c r="D398" s="36" t="n"/>
      <c r="E398" s="147" t="n"/>
      <c r="F398" s="30" t="n"/>
      <c r="G398" s="30" t="n"/>
      <c r="H398" s="30" t="n"/>
      <c r="I398" s="30" t="n"/>
      <c r="J398" s="119" t="n"/>
      <c r="K398" s="34" t="n"/>
      <c r="L398" s="119" t="n"/>
      <c r="M398" s="34" t="n"/>
      <c r="N398" s="119" t="n"/>
      <c r="O398" s="34" t="n"/>
      <c r="P398" s="34" t="n"/>
      <c r="Q398" s="117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  <c r="AA398" s="34" t="n"/>
      <c r="AB398" s="34" t="n"/>
      <c r="AC398" s="34" t="n"/>
      <c r="AD398" s="34" t="n"/>
      <c r="AE398" s="34" t="n"/>
      <c r="AF398" s="34" t="n"/>
      <c r="AG398" s="34" t="n"/>
      <c r="AH398" s="34" t="n"/>
      <c r="AK398" s="34" t="n"/>
      <c r="AL398" s="34" t="n"/>
      <c r="AM398" s="39" t="n"/>
      <c r="AN398" s="34" t="n"/>
      <c r="AO398" s="34" t="n"/>
      <c r="AP398" s="34" t="n"/>
      <c r="AQ398" s="34" t="n"/>
      <c r="AR398" s="34" t="n"/>
      <c r="AS398" s="34" t="n"/>
      <c r="AU398" s="34" t="n"/>
      <c r="AV398" s="34" t="n"/>
      <c r="AW398" s="34" t="n"/>
      <c r="AX398" s="34" t="n"/>
      <c r="AY398" s="34" t="n"/>
      <c r="AZ398" s="34" t="n"/>
      <c r="BA398" s="34" t="n"/>
      <c r="BB398" s="34" t="n"/>
      <c r="BC398" s="34" t="n"/>
      <c r="BD398" s="34" t="n"/>
      <c r="BE398" s="34" t="n"/>
      <c r="BF398" s="34" t="n"/>
      <c r="BG398" s="34" t="n"/>
      <c r="BH398" s="34" t="n"/>
      <c r="BI398" s="34" t="n"/>
      <c r="BJ398" s="34" t="n"/>
      <c r="BK398" s="34" t="n"/>
      <c r="BL398" s="34" t="n"/>
      <c r="BM398" s="34" t="n"/>
      <c r="BN398" s="34" t="n"/>
      <c r="BO398" s="34" t="n"/>
      <c r="BP398" s="34" t="n"/>
      <c r="BQ398" s="34" t="n"/>
      <c r="BR398" s="82" t="n"/>
      <c r="BS398" s="34" t="n"/>
      <c r="BT398" s="34" t="n"/>
      <c r="BU398" s="34" t="n"/>
      <c r="BV398" s="34" t="n"/>
      <c r="BW398" s="34" t="n"/>
      <c r="BX398" s="34" t="n"/>
      <c r="BY398" s="34" t="n"/>
      <c r="BZ398" s="34" t="n"/>
      <c r="CA398" s="34" t="n"/>
      <c r="CB398" s="33" t="n"/>
      <c r="CC398" s="34" t="n"/>
      <c r="CD398" s="34" t="n"/>
      <c r="CE398" s="82" t="n"/>
      <c r="CF398" s="34" t="n"/>
      <c r="CG398" s="34" t="n"/>
      <c r="CH398" s="34" t="n"/>
      <c r="CI398" s="34" t="n"/>
      <c r="CJ398" s="34" t="n"/>
    </row>
    <row r="399">
      <c r="A399" s="29" t="n"/>
      <c r="B399" s="29" t="n"/>
      <c r="C399" s="35" t="n"/>
      <c r="D399" s="36" t="n"/>
      <c r="E399" s="147" t="n"/>
      <c r="F399" s="30" t="n"/>
      <c r="G399" s="30" t="n"/>
      <c r="H399" s="30" t="n"/>
      <c r="I399" s="30" t="n"/>
      <c r="J399" s="119" t="n"/>
      <c r="K399" s="34" t="n"/>
      <c r="L399" s="119" t="n"/>
      <c r="M399" s="34" t="n"/>
      <c r="N399" s="119" t="n"/>
      <c r="O399" s="34" t="n"/>
      <c r="P399" s="34" t="n"/>
      <c r="Q399" s="117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  <c r="AA399" s="34" t="n"/>
      <c r="AB399" s="34" t="n"/>
      <c r="AC399" s="34" t="n"/>
      <c r="AD399" s="34" t="n"/>
      <c r="AE399" s="34" t="n"/>
      <c r="AF399" s="34" t="n"/>
      <c r="AG399" s="34" t="n"/>
      <c r="AH399" s="34" t="n"/>
      <c r="AK399" s="34" t="n"/>
      <c r="AL399" s="34" t="n"/>
      <c r="AM399" s="39" t="n"/>
      <c r="AN399" s="34" t="n"/>
      <c r="AO399" s="34" t="n"/>
      <c r="AP399" s="34" t="n"/>
      <c r="AQ399" s="34" t="n"/>
      <c r="AR399" s="34" t="n"/>
      <c r="AS399" s="34" t="n"/>
      <c r="AU399" s="34" t="n"/>
      <c r="AV399" s="34" t="n"/>
      <c r="AW399" s="34" t="n"/>
      <c r="AX399" s="34" t="n"/>
      <c r="AY399" s="34" t="n"/>
      <c r="AZ399" s="34" t="n"/>
      <c r="BA399" s="34" t="n"/>
      <c r="BB399" s="34" t="n"/>
      <c r="BC399" s="34" t="n"/>
      <c r="BD399" s="34" t="n"/>
      <c r="BE399" s="34" t="n"/>
      <c r="BF399" s="34" t="n"/>
      <c r="BG399" s="34" t="n"/>
      <c r="BH399" s="34" t="n"/>
      <c r="BI399" s="34" t="n"/>
      <c r="BJ399" s="34" t="n"/>
      <c r="BK399" s="34" t="n"/>
      <c r="BL399" s="34" t="n"/>
      <c r="BM399" s="34" t="n"/>
      <c r="BN399" s="34" t="n"/>
      <c r="BO399" s="34" t="n"/>
      <c r="BP399" s="34" t="n"/>
      <c r="BQ399" s="34" t="n"/>
      <c r="BR399" s="82" t="n"/>
      <c r="BS399" s="34" t="n"/>
      <c r="BT399" s="34" t="n"/>
      <c r="BU399" s="34" t="n"/>
      <c r="BV399" s="34" t="n"/>
      <c r="BW399" s="34" t="n"/>
      <c r="BX399" s="34" t="n"/>
      <c r="BY399" s="34" t="n"/>
      <c r="BZ399" s="34" t="n"/>
      <c r="CA399" s="34" t="n"/>
      <c r="CB399" s="33" t="n"/>
      <c r="CC399" s="34" t="n"/>
      <c r="CD399" s="34" t="n"/>
      <c r="CE399" s="82" t="n"/>
      <c r="CF399" s="34" t="n"/>
      <c r="CG399" s="34" t="n"/>
      <c r="CH399" s="34" t="n"/>
      <c r="CI399" s="34" t="n"/>
      <c r="CJ399" s="34" t="n"/>
    </row>
    <row r="400">
      <c r="A400" s="29" t="n"/>
      <c r="B400" s="29" t="n"/>
      <c r="C400" s="35" t="n"/>
      <c r="D400" s="36" t="n"/>
      <c r="E400" s="147" t="n"/>
      <c r="F400" s="30" t="n"/>
      <c r="G400" s="30" t="n"/>
      <c r="H400" s="30" t="n"/>
      <c r="I400" s="30" t="n"/>
      <c r="J400" s="119" t="n"/>
      <c r="K400" s="34" t="n"/>
      <c r="L400" s="119" t="n"/>
      <c r="M400" s="34" t="n"/>
      <c r="N400" s="119" t="n"/>
      <c r="O400" s="34" t="n"/>
      <c r="P400" s="34" t="n"/>
      <c r="Q400" s="117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  <c r="AA400" s="34" t="n"/>
      <c r="AB400" s="34" t="n"/>
      <c r="AC400" s="34" t="n"/>
      <c r="AD400" s="34" t="n"/>
      <c r="AE400" s="34" t="n"/>
      <c r="AF400" s="34" t="n"/>
      <c r="AG400" s="34" t="n"/>
      <c r="AH400" s="34" t="n"/>
      <c r="AK400" s="34" t="n"/>
      <c r="AL400" s="34" t="n"/>
      <c r="AM400" s="39" t="n"/>
      <c r="AN400" s="34" t="n"/>
      <c r="AO400" s="34" t="n"/>
      <c r="AP400" s="34" t="n"/>
      <c r="AQ400" s="34" t="n"/>
      <c r="AR400" s="34" t="n"/>
      <c r="AS400" s="34" t="n"/>
      <c r="AU400" s="34" t="n"/>
      <c r="AV400" s="34" t="n"/>
      <c r="AW400" s="34" t="n"/>
      <c r="AX400" s="34" t="n"/>
      <c r="AY400" s="34" t="n"/>
      <c r="AZ400" s="34" t="n"/>
      <c r="BA400" s="34" t="n"/>
      <c r="BB400" s="34" t="n"/>
      <c r="BC400" s="34" t="n"/>
      <c r="BD400" s="34" t="n"/>
      <c r="BE400" s="34" t="n"/>
      <c r="BF400" s="34" t="n"/>
      <c r="BG400" s="34" t="n"/>
      <c r="BH400" s="34" t="n"/>
      <c r="BI400" s="34" t="n"/>
      <c r="BJ400" s="34" t="n"/>
      <c r="BK400" s="34" t="n"/>
      <c r="BL400" s="34" t="n"/>
      <c r="BM400" s="34" t="n"/>
      <c r="BN400" s="34" t="n"/>
      <c r="BO400" s="34" t="n"/>
      <c r="BP400" s="34" t="n"/>
      <c r="BQ400" s="34" t="n"/>
      <c r="BR400" s="82" t="n"/>
      <c r="BS400" s="34" t="n"/>
      <c r="BT400" s="34" t="n"/>
      <c r="BU400" s="34" t="n"/>
      <c r="BV400" s="34" t="n"/>
      <c r="BW400" s="34" t="n"/>
      <c r="BX400" s="34" t="n"/>
      <c r="BY400" s="34" t="n"/>
      <c r="BZ400" s="34" t="n"/>
      <c r="CA400" s="34" t="n"/>
      <c r="CB400" s="33" t="n"/>
      <c r="CC400" s="34" t="n"/>
      <c r="CD400" s="34" t="n"/>
      <c r="CE400" s="82" t="n"/>
      <c r="CF400" s="34" t="n"/>
      <c r="CG400" s="34" t="n"/>
      <c r="CH400" s="34" t="n"/>
      <c r="CI400" s="34" t="n"/>
      <c r="CJ400" s="34" t="n"/>
    </row>
    <row r="401">
      <c r="A401" s="29" t="n"/>
      <c r="B401" s="29" t="n"/>
      <c r="C401" s="35" t="n"/>
      <c r="D401" s="36" t="n"/>
      <c r="E401" s="147" t="n"/>
      <c r="F401" s="30" t="n"/>
      <c r="G401" s="30" t="n"/>
      <c r="H401" s="30" t="n"/>
      <c r="I401" s="30" t="n"/>
      <c r="J401" s="119" t="n"/>
      <c r="K401" s="34" t="n"/>
      <c r="L401" s="119" t="n"/>
      <c r="M401" s="34" t="n"/>
      <c r="N401" s="119" t="n"/>
      <c r="O401" s="34" t="n"/>
      <c r="P401" s="34" t="n"/>
      <c r="Q401" s="117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  <c r="AA401" s="34" t="n"/>
      <c r="AB401" s="34" t="n"/>
      <c r="AC401" s="34" t="n"/>
      <c r="AD401" s="34" t="n"/>
      <c r="AE401" s="34" t="n"/>
      <c r="AF401" s="34" t="n"/>
      <c r="AG401" s="34" t="n"/>
      <c r="AH401" s="34" t="n"/>
      <c r="AK401" s="34" t="n"/>
      <c r="AL401" s="34" t="n"/>
      <c r="AM401" s="39" t="n"/>
      <c r="AN401" s="34" t="n"/>
      <c r="AO401" s="34" t="n"/>
      <c r="AP401" s="34" t="n"/>
      <c r="AQ401" s="34" t="n"/>
      <c r="AR401" s="34" t="n"/>
      <c r="AS401" s="34" t="n"/>
      <c r="AU401" s="34" t="n"/>
      <c r="AV401" s="34" t="n"/>
      <c r="AW401" s="34" t="n"/>
      <c r="AX401" s="34" t="n"/>
      <c r="AY401" s="34" t="n"/>
      <c r="AZ401" s="34" t="n"/>
      <c r="BA401" s="34" t="n"/>
      <c r="BB401" s="34" t="n"/>
      <c r="BC401" s="34" t="n"/>
      <c r="BD401" s="34" t="n"/>
      <c r="BE401" s="34" t="n"/>
      <c r="BF401" s="34" t="n"/>
      <c r="BG401" s="34" t="n"/>
      <c r="BH401" s="34" t="n"/>
      <c r="BI401" s="34" t="n"/>
      <c r="BJ401" s="34" t="n"/>
      <c r="BK401" s="34" t="n"/>
      <c r="BL401" s="34" t="n"/>
      <c r="BM401" s="34" t="n"/>
      <c r="BN401" s="34" t="n"/>
      <c r="BO401" s="34" t="n"/>
      <c r="BP401" s="34" t="n"/>
      <c r="BQ401" s="34" t="n"/>
      <c r="BR401" s="82" t="n"/>
      <c r="BS401" s="34" t="n"/>
      <c r="BT401" s="34" t="n"/>
      <c r="BU401" s="34" t="n"/>
      <c r="BV401" s="34" t="n"/>
      <c r="BW401" s="34" t="n"/>
      <c r="BX401" s="34" t="n"/>
      <c r="BY401" s="34" t="n"/>
      <c r="BZ401" s="34" t="n"/>
      <c r="CA401" s="34" t="n"/>
      <c r="CB401" s="33" t="n"/>
      <c r="CC401" s="34" t="n"/>
      <c r="CD401" s="34" t="n"/>
      <c r="CE401" s="82" t="n"/>
      <c r="CF401" s="34" t="n"/>
      <c r="CG401" s="34" t="n"/>
      <c r="CH401" s="34" t="n"/>
      <c r="CI401" s="34" t="n"/>
      <c r="CJ401" s="34" t="n"/>
    </row>
    <row r="402">
      <c r="A402" s="29" t="n"/>
      <c r="B402" s="29" t="n"/>
      <c r="C402" s="35" t="n"/>
      <c r="D402" s="36" t="n"/>
      <c r="E402" s="147" t="n"/>
      <c r="F402" s="30" t="n"/>
      <c r="G402" s="30" t="n"/>
      <c r="H402" s="30" t="n"/>
      <c r="I402" s="30" t="n"/>
      <c r="J402" s="119" t="n"/>
      <c r="K402" s="34" t="n"/>
      <c r="L402" s="119" t="n"/>
      <c r="M402" s="34" t="n"/>
      <c r="N402" s="119" t="n"/>
      <c r="O402" s="34" t="n"/>
      <c r="P402" s="34" t="n"/>
      <c r="Q402" s="117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  <c r="AA402" s="34" t="n"/>
      <c r="AB402" s="34" t="n"/>
      <c r="AC402" s="34" t="n"/>
      <c r="AD402" s="34" t="n"/>
      <c r="AE402" s="34" t="n"/>
      <c r="AF402" s="34" t="n"/>
      <c r="AG402" s="34" t="n"/>
      <c r="AH402" s="34" t="n"/>
      <c r="AK402" s="34" t="n"/>
      <c r="AL402" s="34" t="n"/>
      <c r="AM402" s="39" t="n"/>
      <c r="AN402" s="34" t="n"/>
      <c r="AO402" s="34" t="n"/>
      <c r="AP402" s="34" t="n"/>
      <c r="AQ402" s="34" t="n"/>
      <c r="AR402" s="34" t="n"/>
      <c r="AS402" s="34" t="n"/>
      <c r="AU402" s="34" t="n"/>
      <c r="AV402" s="34" t="n"/>
      <c r="AW402" s="34" t="n"/>
      <c r="AX402" s="34" t="n"/>
      <c r="AY402" s="34" t="n"/>
      <c r="AZ402" s="34" t="n"/>
      <c r="BA402" s="34" t="n"/>
      <c r="BB402" s="34" t="n"/>
      <c r="BC402" s="34" t="n"/>
      <c r="BD402" s="34" t="n"/>
      <c r="BE402" s="34" t="n"/>
      <c r="BF402" s="34" t="n"/>
      <c r="BG402" s="34" t="n"/>
      <c r="BH402" s="34" t="n"/>
      <c r="BI402" s="34" t="n"/>
      <c r="BJ402" s="34" t="n"/>
      <c r="BK402" s="34" t="n"/>
      <c r="BL402" s="34" t="n"/>
      <c r="BM402" s="34" t="n"/>
      <c r="BN402" s="34" t="n"/>
      <c r="BO402" s="34" t="n"/>
      <c r="BP402" s="34" t="n"/>
      <c r="BQ402" s="34" t="n"/>
      <c r="BR402" s="82" t="n"/>
      <c r="BS402" s="34" t="n"/>
      <c r="BT402" s="34" t="n"/>
      <c r="BU402" s="34" t="n"/>
      <c r="BV402" s="34" t="n"/>
      <c r="BW402" s="34" t="n"/>
      <c r="BX402" s="34" t="n"/>
      <c r="BY402" s="34" t="n"/>
      <c r="BZ402" s="34" t="n"/>
      <c r="CA402" s="34" t="n"/>
      <c r="CB402" s="33" t="n"/>
      <c r="CC402" s="34" t="n"/>
      <c r="CD402" s="34" t="n"/>
      <c r="CE402" s="82" t="n"/>
      <c r="CF402" s="34" t="n"/>
      <c r="CG402" s="34" t="n"/>
      <c r="CH402" s="34" t="n"/>
      <c r="CI402" s="34" t="n"/>
      <c r="CJ402" s="34" t="n"/>
    </row>
    <row r="403">
      <c r="A403" s="29" t="n"/>
      <c r="B403" s="29" t="n"/>
      <c r="C403" s="35" t="n"/>
      <c r="D403" s="36" t="n"/>
      <c r="E403" s="147" t="n"/>
      <c r="F403" s="30" t="n"/>
      <c r="G403" s="30" t="n"/>
      <c r="H403" s="30" t="n"/>
      <c r="I403" s="30" t="n"/>
      <c r="J403" s="119" t="n"/>
      <c r="K403" s="34" t="n"/>
      <c r="L403" s="119" t="n"/>
      <c r="M403" s="34" t="n"/>
      <c r="N403" s="119" t="n"/>
      <c r="O403" s="34" t="n"/>
      <c r="P403" s="34" t="n"/>
      <c r="Q403" s="117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  <c r="AA403" s="34" t="n"/>
      <c r="AB403" s="34" t="n"/>
      <c r="AC403" s="34" t="n"/>
      <c r="AD403" s="34" t="n"/>
      <c r="AE403" s="34" t="n"/>
      <c r="AF403" s="34" t="n"/>
      <c r="AG403" s="34" t="n"/>
      <c r="AH403" s="34" t="n"/>
      <c r="AK403" s="34" t="n"/>
      <c r="AL403" s="34" t="n"/>
      <c r="AM403" s="39" t="n"/>
      <c r="AN403" s="34" t="n"/>
      <c r="AO403" s="34" t="n"/>
      <c r="AP403" s="34" t="n"/>
      <c r="AQ403" s="34" t="n"/>
      <c r="AR403" s="34" t="n"/>
      <c r="AS403" s="34" t="n"/>
      <c r="AU403" s="34" t="n"/>
      <c r="AV403" s="34" t="n"/>
      <c r="AW403" s="34" t="n"/>
      <c r="AX403" s="34" t="n"/>
      <c r="AY403" s="34" t="n"/>
      <c r="AZ403" s="34" t="n"/>
      <c r="BA403" s="34" t="n"/>
      <c r="BB403" s="34" t="n"/>
      <c r="BC403" s="34" t="n"/>
      <c r="BD403" s="34" t="n"/>
      <c r="BE403" s="34" t="n"/>
      <c r="BF403" s="34" t="n"/>
      <c r="BG403" s="34" t="n"/>
      <c r="BH403" s="34" t="n"/>
      <c r="BI403" s="34" t="n"/>
      <c r="BJ403" s="34" t="n"/>
      <c r="BK403" s="34" t="n"/>
      <c r="BL403" s="34" t="n"/>
      <c r="BM403" s="34" t="n"/>
      <c r="BN403" s="34" t="n"/>
      <c r="BO403" s="34" t="n"/>
      <c r="BP403" s="34" t="n"/>
      <c r="BQ403" s="34" t="n"/>
      <c r="BR403" s="82" t="n"/>
      <c r="BS403" s="34" t="n"/>
      <c r="BT403" s="34" t="n"/>
      <c r="BU403" s="34" t="n"/>
      <c r="BV403" s="34" t="n"/>
      <c r="BW403" s="34" t="n"/>
      <c r="BX403" s="34" t="n"/>
      <c r="BY403" s="34" t="n"/>
      <c r="BZ403" s="34" t="n"/>
      <c r="CA403" s="34" t="n"/>
      <c r="CB403" s="33" t="n"/>
      <c r="CC403" s="34" t="n"/>
      <c r="CD403" s="34" t="n"/>
      <c r="CE403" s="82" t="n"/>
      <c r="CF403" s="34" t="n"/>
      <c r="CG403" s="34" t="n"/>
      <c r="CH403" s="34" t="n"/>
      <c r="CI403" s="34" t="n"/>
      <c r="CJ403" s="34" t="n"/>
    </row>
    <row r="404">
      <c r="A404" s="29" t="n"/>
      <c r="B404" s="29" t="n"/>
      <c r="C404" s="35" t="n"/>
      <c r="D404" s="36" t="n"/>
      <c r="E404" s="147" t="n"/>
      <c r="F404" s="30" t="n"/>
      <c r="G404" s="30" t="n"/>
      <c r="H404" s="30" t="n"/>
      <c r="I404" s="30" t="n"/>
      <c r="J404" s="119" t="n"/>
      <c r="K404" s="34" t="n"/>
      <c r="L404" s="119" t="n"/>
      <c r="M404" s="34" t="n"/>
      <c r="N404" s="119" t="n"/>
      <c r="O404" s="34" t="n"/>
      <c r="P404" s="34" t="n"/>
      <c r="Q404" s="117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  <c r="AA404" s="34" t="n"/>
      <c r="AB404" s="34" t="n"/>
      <c r="AC404" s="34" t="n"/>
      <c r="AD404" s="34" t="n"/>
      <c r="AE404" s="34" t="n"/>
      <c r="AF404" s="34" t="n"/>
      <c r="AG404" s="34" t="n"/>
      <c r="AH404" s="34" t="n"/>
      <c r="AK404" s="34" t="n"/>
      <c r="AL404" s="34" t="n"/>
      <c r="AM404" s="39" t="n"/>
      <c r="AN404" s="34" t="n"/>
      <c r="AO404" s="34" t="n"/>
      <c r="AP404" s="34" t="n"/>
      <c r="AQ404" s="34" t="n"/>
      <c r="AR404" s="34" t="n"/>
      <c r="AS404" s="34" t="n"/>
      <c r="AU404" s="34" t="n"/>
      <c r="AV404" s="34" t="n"/>
      <c r="AW404" s="34" t="n"/>
      <c r="AX404" s="34" t="n"/>
      <c r="AY404" s="34" t="n"/>
      <c r="AZ404" s="34" t="n"/>
      <c r="BA404" s="34" t="n"/>
      <c r="BB404" s="34" t="n"/>
      <c r="BC404" s="34" t="n"/>
      <c r="BD404" s="34" t="n"/>
      <c r="BE404" s="34" t="n"/>
      <c r="BF404" s="34" t="n"/>
      <c r="BG404" s="34" t="n"/>
      <c r="BH404" s="34" t="n"/>
      <c r="BI404" s="34" t="n"/>
      <c r="BJ404" s="34" t="n"/>
      <c r="BK404" s="34" t="n"/>
      <c r="BL404" s="34" t="n"/>
      <c r="BM404" s="34" t="n"/>
      <c r="BN404" s="34" t="n"/>
      <c r="BO404" s="34" t="n"/>
      <c r="BP404" s="34" t="n"/>
      <c r="BQ404" s="34" t="n"/>
      <c r="BR404" s="82" t="n"/>
      <c r="BS404" s="34" t="n"/>
      <c r="BT404" s="34" t="n"/>
      <c r="BU404" s="34" t="n"/>
      <c r="BV404" s="34" t="n"/>
      <c r="BW404" s="34" t="n"/>
      <c r="BX404" s="34" t="n"/>
      <c r="BY404" s="34" t="n"/>
      <c r="BZ404" s="34" t="n"/>
      <c r="CA404" s="34" t="n"/>
      <c r="CB404" s="33" t="n"/>
      <c r="CC404" s="34" t="n"/>
      <c r="CD404" s="34" t="n"/>
      <c r="CE404" s="82" t="n"/>
      <c r="CF404" s="34" t="n"/>
      <c r="CG404" s="34" t="n"/>
      <c r="CH404" s="34" t="n"/>
      <c r="CI404" s="34" t="n"/>
      <c r="CJ404" s="34" t="n"/>
    </row>
    <row r="405">
      <c r="A405" s="29" t="n"/>
      <c r="B405" s="29" t="n"/>
      <c r="C405" s="35" t="n"/>
      <c r="D405" s="36" t="n"/>
      <c r="E405" s="147" t="n"/>
      <c r="F405" s="30" t="n"/>
      <c r="G405" s="30" t="n"/>
      <c r="H405" s="30" t="n"/>
      <c r="I405" s="30" t="n"/>
      <c r="J405" s="119" t="n"/>
      <c r="K405" s="34" t="n"/>
      <c r="L405" s="119" t="n"/>
      <c r="M405" s="34" t="n"/>
      <c r="N405" s="119" t="n"/>
      <c r="O405" s="34" t="n"/>
      <c r="P405" s="34" t="n"/>
      <c r="Q405" s="117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  <c r="AA405" s="34" t="n"/>
      <c r="AB405" s="34" t="n"/>
      <c r="AC405" s="34" t="n"/>
      <c r="AD405" s="34" t="n"/>
      <c r="AE405" s="34" t="n"/>
      <c r="AF405" s="34" t="n"/>
      <c r="AG405" s="34" t="n"/>
      <c r="AH405" s="34" t="n"/>
      <c r="AK405" s="34" t="n"/>
      <c r="AL405" s="34" t="n"/>
      <c r="AM405" s="39" t="n"/>
      <c r="AN405" s="34" t="n"/>
      <c r="AO405" s="34" t="n"/>
      <c r="AP405" s="34" t="n"/>
      <c r="AQ405" s="34" t="n"/>
      <c r="AR405" s="34" t="n"/>
      <c r="AS405" s="34" t="n"/>
      <c r="AU405" s="34" t="n"/>
      <c r="AV405" s="34" t="n"/>
      <c r="AW405" s="34" t="n"/>
      <c r="AX405" s="34" t="n"/>
      <c r="AY405" s="34" t="n"/>
      <c r="AZ405" s="34" t="n"/>
      <c r="BA405" s="34" t="n"/>
      <c r="BB405" s="34" t="n"/>
      <c r="BC405" s="34" t="n"/>
      <c r="BD405" s="34" t="n"/>
      <c r="BE405" s="34" t="n"/>
      <c r="BF405" s="34" t="n"/>
      <c r="BG405" s="34" t="n"/>
      <c r="BH405" s="34" t="n"/>
      <c r="BI405" s="34" t="n"/>
      <c r="BJ405" s="34" t="n"/>
      <c r="BK405" s="34" t="n"/>
      <c r="BL405" s="34" t="n"/>
      <c r="BM405" s="34" t="n"/>
      <c r="BN405" s="34" t="n"/>
      <c r="BO405" s="34" t="n"/>
      <c r="BP405" s="34" t="n"/>
      <c r="BQ405" s="34" t="n"/>
      <c r="BR405" s="82" t="n"/>
      <c r="BS405" s="34" t="n"/>
      <c r="BT405" s="34" t="n"/>
      <c r="BU405" s="34" t="n"/>
      <c r="BV405" s="34" t="n"/>
      <c r="BW405" s="34" t="n"/>
      <c r="BX405" s="34" t="n"/>
      <c r="BY405" s="34" t="n"/>
      <c r="BZ405" s="34" t="n"/>
      <c r="CA405" s="34" t="n"/>
      <c r="CB405" s="33" t="n"/>
      <c r="CC405" s="34" t="n"/>
      <c r="CD405" s="34" t="n"/>
      <c r="CE405" s="82" t="n"/>
      <c r="CF405" s="34" t="n"/>
      <c r="CG405" s="34" t="n"/>
      <c r="CH405" s="34" t="n"/>
      <c r="CI405" s="34" t="n"/>
      <c r="CJ405" s="34" t="n"/>
    </row>
    <row r="406">
      <c r="A406" s="29" t="n"/>
      <c r="B406" s="29" t="n"/>
      <c r="C406" s="35" t="n"/>
      <c r="D406" s="36" t="n"/>
      <c r="E406" s="147" t="n"/>
      <c r="F406" s="30" t="n"/>
      <c r="G406" s="30" t="n"/>
      <c r="H406" s="30" t="n"/>
      <c r="I406" s="30" t="n"/>
      <c r="J406" s="119" t="n"/>
      <c r="K406" s="34" t="n"/>
      <c r="L406" s="119" t="n"/>
      <c r="M406" s="34" t="n"/>
      <c r="N406" s="119" t="n"/>
      <c r="O406" s="34" t="n"/>
      <c r="P406" s="34" t="n"/>
      <c r="Q406" s="117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  <c r="AA406" s="34" t="n"/>
      <c r="AB406" s="34" t="n"/>
      <c r="AC406" s="34" t="n"/>
      <c r="AD406" s="34" t="n"/>
      <c r="AE406" s="34" t="n"/>
      <c r="AF406" s="34" t="n"/>
      <c r="AG406" s="34" t="n"/>
      <c r="AH406" s="34" t="n"/>
      <c r="AK406" s="34" t="n"/>
      <c r="AL406" s="34" t="n"/>
      <c r="AM406" s="39" t="n"/>
      <c r="AN406" s="34" t="n"/>
      <c r="AO406" s="34" t="n"/>
      <c r="AP406" s="34" t="n"/>
      <c r="AQ406" s="34" t="n"/>
      <c r="AR406" s="34" t="n"/>
      <c r="AS406" s="34" t="n"/>
      <c r="AU406" s="34" t="n"/>
      <c r="AV406" s="34" t="n"/>
      <c r="AW406" s="34" t="n"/>
      <c r="AX406" s="34" t="n"/>
      <c r="AY406" s="34" t="n"/>
      <c r="AZ406" s="34" t="n"/>
      <c r="BA406" s="34" t="n"/>
      <c r="BB406" s="34" t="n"/>
      <c r="BC406" s="34" t="n"/>
      <c r="BD406" s="34" t="n"/>
      <c r="BE406" s="34" t="n"/>
      <c r="BF406" s="34" t="n"/>
      <c r="BG406" s="34" t="n"/>
      <c r="BH406" s="34" t="n"/>
      <c r="BI406" s="34" t="n"/>
      <c r="BJ406" s="34" t="n"/>
      <c r="BK406" s="34" t="n"/>
      <c r="BL406" s="34" t="n"/>
      <c r="BM406" s="34" t="n"/>
      <c r="BN406" s="34" t="n"/>
      <c r="BO406" s="34" t="n"/>
      <c r="BP406" s="34" t="n"/>
      <c r="BQ406" s="34" t="n"/>
      <c r="BR406" s="82" t="n"/>
      <c r="BS406" s="34" t="n"/>
      <c r="BT406" s="34" t="n"/>
      <c r="BU406" s="34" t="n"/>
      <c r="BV406" s="34" t="n"/>
      <c r="BW406" s="34" t="n"/>
      <c r="BX406" s="34" t="n"/>
      <c r="BY406" s="34" t="n"/>
      <c r="BZ406" s="34" t="n"/>
      <c r="CA406" s="34" t="n"/>
      <c r="CB406" s="33" t="n"/>
      <c r="CC406" s="34" t="n"/>
      <c r="CD406" s="34" t="n"/>
      <c r="CE406" s="82" t="n"/>
      <c r="CF406" s="34" t="n"/>
      <c r="CG406" s="34" t="n"/>
      <c r="CH406" s="34" t="n"/>
      <c r="CI406" s="34" t="n"/>
      <c r="CJ406" s="34" t="n"/>
    </row>
    <row r="407">
      <c r="A407" s="29" t="n"/>
      <c r="B407" s="29" t="n"/>
      <c r="C407" s="35" t="n"/>
      <c r="D407" s="36" t="n"/>
      <c r="E407" s="147" t="n"/>
      <c r="F407" s="30" t="n"/>
      <c r="G407" s="30" t="n"/>
      <c r="H407" s="30" t="n"/>
      <c r="I407" s="30" t="n"/>
      <c r="J407" s="119" t="n"/>
      <c r="K407" s="34" t="n"/>
      <c r="L407" s="119" t="n"/>
      <c r="M407" s="34" t="n"/>
      <c r="N407" s="119" t="n"/>
      <c r="O407" s="34" t="n"/>
      <c r="P407" s="34" t="n"/>
      <c r="Q407" s="117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  <c r="AA407" s="34" t="n"/>
      <c r="AB407" s="34" t="n"/>
      <c r="AC407" s="34" t="n"/>
      <c r="AD407" s="34" t="n"/>
      <c r="AE407" s="34" t="n"/>
      <c r="AF407" s="34" t="n"/>
      <c r="AG407" s="34" t="n"/>
      <c r="AH407" s="34" t="n"/>
      <c r="AK407" s="34" t="n"/>
      <c r="AL407" s="34" t="n"/>
      <c r="AM407" s="39" t="n"/>
      <c r="AN407" s="34" t="n"/>
      <c r="AO407" s="34" t="n"/>
      <c r="AP407" s="34" t="n"/>
      <c r="AQ407" s="34" t="n"/>
      <c r="AR407" s="34" t="n"/>
      <c r="AS407" s="34" t="n"/>
      <c r="AU407" s="34" t="n"/>
      <c r="AV407" s="34" t="n"/>
      <c r="AW407" s="34" t="n"/>
      <c r="AX407" s="34" t="n"/>
      <c r="AY407" s="34" t="n"/>
      <c r="AZ407" s="34" t="n"/>
      <c r="BA407" s="34" t="n"/>
      <c r="BB407" s="34" t="n"/>
      <c r="BC407" s="34" t="n"/>
      <c r="BD407" s="34" t="n"/>
      <c r="BE407" s="34" t="n"/>
      <c r="BF407" s="34" t="n"/>
      <c r="BG407" s="34" t="n"/>
      <c r="BH407" s="34" t="n"/>
      <c r="BI407" s="34" t="n"/>
      <c r="BJ407" s="34" t="n"/>
      <c r="BK407" s="34" t="n"/>
      <c r="BL407" s="34" t="n"/>
      <c r="BM407" s="34" t="n"/>
      <c r="BN407" s="34" t="n"/>
      <c r="BO407" s="34" t="n"/>
      <c r="BP407" s="34" t="n"/>
      <c r="BQ407" s="34" t="n"/>
      <c r="BR407" s="82" t="n"/>
      <c r="BS407" s="34" t="n"/>
      <c r="BT407" s="34" t="n"/>
      <c r="BU407" s="34" t="n"/>
      <c r="BV407" s="34" t="n"/>
      <c r="BW407" s="34" t="n"/>
      <c r="BX407" s="34" t="n"/>
      <c r="BY407" s="34" t="n"/>
      <c r="BZ407" s="34" t="n"/>
      <c r="CA407" s="34" t="n"/>
      <c r="CB407" s="33" t="n"/>
      <c r="CC407" s="34" t="n"/>
      <c r="CD407" s="34" t="n"/>
      <c r="CE407" s="82" t="n"/>
      <c r="CF407" s="34" t="n"/>
      <c r="CG407" s="34" t="n"/>
      <c r="CH407" s="34" t="n"/>
      <c r="CI407" s="34" t="n"/>
      <c r="CJ407" s="34" t="n"/>
    </row>
    <row r="408">
      <c r="A408" s="29" t="n"/>
      <c r="B408" s="29" t="n"/>
      <c r="C408" s="35" t="n"/>
      <c r="D408" s="36" t="n"/>
      <c r="E408" s="147" t="n"/>
      <c r="F408" s="30" t="n"/>
      <c r="G408" s="30" t="n"/>
      <c r="H408" s="30" t="n"/>
      <c r="I408" s="30" t="n"/>
      <c r="J408" s="119" t="n"/>
      <c r="K408" s="34" t="n"/>
      <c r="L408" s="119" t="n"/>
      <c r="M408" s="34" t="n"/>
      <c r="N408" s="119" t="n"/>
      <c r="O408" s="34" t="n"/>
      <c r="P408" s="34" t="n"/>
      <c r="Q408" s="117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  <c r="AA408" s="34" t="n"/>
      <c r="AB408" s="34" t="n"/>
      <c r="AC408" s="34" t="n"/>
      <c r="AD408" s="34" t="n"/>
      <c r="AE408" s="34" t="n"/>
      <c r="AF408" s="34" t="n"/>
      <c r="AG408" s="34" t="n"/>
      <c r="AH408" s="34" t="n"/>
      <c r="AK408" s="34" t="n"/>
      <c r="AL408" s="34" t="n"/>
      <c r="AM408" s="39" t="n"/>
      <c r="AN408" s="34" t="n"/>
      <c r="AO408" s="34" t="n"/>
      <c r="AP408" s="34" t="n"/>
      <c r="AQ408" s="34" t="n"/>
      <c r="AR408" s="34" t="n"/>
      <c r="AS408" s="34" t="n"/>
      <c r="AU408" s="34" t="n"/>
      <c r="AV408" s="34" t="n"/>
      <c r="AW408" s="34" t="n"/>
      <c r="AX408" s="34" t="n"/>
      <c r="AY408" s="34" t="n"/>
      <c r="AZ408" s="34" t="n"/>
      <c r="BA408" s="34" t="n"/>
      <c r="BB408" s="34" t="n"/>
      <c r="BC408" s="34" t="n"/>
      <c r="BD408" s="34" t="n"/>
      <c r="BE408" s="34" t="n"/>
      <c r="BF408" s="34" t="n"/>
      <c r="BG408" s="34" t="n"/>
      <c r="BH408" s="34" t="n"/>
      <c r="BI408" s="34" t="n"/>
      <c r="BJ408" s="34" t="n"/>
      <c r="BK408" s="34" t="n"/>
      <c r="BL408" s="34" t="n"/>
      <c r="BM408" s="34" t="n"/>
      <c r="BN408" s="34" t="n"/>
      <c r="BO408" s="34" t="n"/>
      <c r="BP408" s="34" t="n"/>
      <c r="BQ408" s="34" t="n"/>
      <c r="BR408" s="82" t="n"/>
      <c r="BS408" s="34" t="n"/>
      <c r="BT408" s="34" t="n"/>
      <c r="BU408" s="34" t="n"/>
      <c r="BV408" s="34" t="n"/>
      <c r="BW408" s="34" t="n"/>
      <c r="BX408" s="34" t="n"/>
      <c r="BY408" s="34" t="n"/>
      <c r="BZ408" s="34" t="n"/>
      <c r="CA408" s="34" t="n"/>
      <c r="CB408" s="33" t="n"/>
      <c r="CC408" s="34" t="n"/>
      <c r="CD408" s="34" t="n"/>
      <c r="CE408" s="82" t="n"/>
      <c r="CF408" s="34" t="n"/>
      <c r="CG408" s="34" t="n"/>
      <c r="CH408" s="34" t="n"/>
      <c r="CI408" s="34" t="n"/>
      <c r="CJ408" s="34" t="n"/>
    </row>
    <row r="409">
      <c r="A409" s="29" t="n"/>
      <c r="B409" s="29" t="n"/>
      <c r="C409" s="35" t="n"/>
      <c r="D409" s="36" t="n"/>
      <c r="E409" s="147" t="n"/>
      <c r="F409" s="30" t="n"/>
      <c r="G409" s="30" t="n"/>
      <c r="H409" s="30" t="n"/>
      <c r="I409" s="30" t="n"/>
      <c r="J409" s="119" t="n"/>
      <c r="K409" s="34" t="n"/>
      <c r="L409" s="119" t="n"/>
      <c r="M409" s="34" t="n"/>
      <c r="N409" s="119" t="n"/>
      <c r="O409" s="34" t="n"/>
      <c r="P409" s="34" t="n"/>
      <c r="Q409" s="117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  <c r="AA409" s="34" t="n"/>
      <c r="AB409" s="34" t="n"/>
      <c r="AC409" s="34" t="n"/>
      <c r="AD409" s="34" t="n"/>
      <c r="AE409" s="34" t="n"/>
      <c r="AF409" s="34" t="n"/>
      <c r="AG409" s="34" t="n"/>
      <c r="AH409" s="34" t="n"/>
      <c r="AK409" s="34" t="n"/>
      <c r="AL409" s="34" t="n"/>
      <c r="AM409" s="39" t="n"/>
      <c r="AN409" s="34" t="n"/>
      <c r="AO409" s="34" t="n"/>
      <c r="AP409" s="34" t="n"/>
      <c r="AQ409" s="34" t="n"/>
      <c r="AR409" s="34" t="n"/>
      <c r="AS409" s="34" t="n"/>
      <c r="AU409" s="34" t="n"/>
      <c r="AV409" s="34" t="n"/>
      <c r="AW409" s="34" t="n"/>
      <c r="AX409" s="34" t="n"/>
      <c r="AY409" s="34" t="n"/>
      <c r="AZ409" s="34" t="n"/>
      <c r="BA409" s="34" t="n"/>
      <c r="BB409" s="34" t="n"/>
      <c r="BC409" s="34" t="n"/>
      <c r="BD409" s="34" t="n"/>
      <c r="BE409" s="34" t="n"/>
      <c r="BF409" s="34" t="n"/>
      <c r="BG409" s="34" t="n"/>
      <c r="BH409" s="34" t="n"/>
      <c r="BI409" s="34" t="n"/>
      <c r="BJ409" s="34" t="n"/>
      <c r="BK409" s="34" t="n"/>
      <c r="BL409" s="34" t="n"/>
      <c r="BM409" s="34" t="n"/>
      <c r="BN409" s="34" t="n"/>
      <c r="BO409" s="34" t="n"/>
      <c r="BP409" s="34" t="n"/>
      <c r="BQ409" s="34" t="n"/>
      <c r="BR409" s="82" t="n"/>
      <c r="BS409" s="34" t="n"/>
      <c r="BT409" s="34" t="n"/>
      <c r="BU409" s="34" t="n"/>
      <c r="BV409" s="34" t="n"/>
      <c r="BW409" s="34" t="n"/>
      <c r="BX409" s="34" t="n"/>
      <c r="BY409" s="34" t="n"/>
      <c r="BZ409" s="34" t="n"/>
      <c r="CA409" s="34" t="n"/>
      <c r="CB409" s="33" t="n"/>
      <c r="CC409" s="34" t="n"/>
      <c r="CD409" s="34" t="n"/>
      <c r="CE409" s="82" t="n"/>
      <c r="CF409" s="34" t="n"/>
      <c r="CG409" s="34" t="n"/>
      <c r="CH409" s="34" t="n"/>
      <c r="CI409" s="34" t="n"/>
      <c r="CJ409" s="34" t="n"/>
    </row>
    <row r="410">
      <c r="A410" s="29" t="n"/>
      <c r="B410" s="29" t="n"/>
      <c r="C410" s="35" t="n"/>
      <c r="D410" s="36" t="n"/>
      <c r="E410" s="147" t="n"/>
      <c r="F410" s="30" t="n"/>
      <c r="G410" s="30" t="n"/>
      <c r="H410" s="30" t="n"/>
      <c r="I410" s="30" t="n"/>
      <c r="J410" s="119" t="n"/>
      <c r="K410" s="34" t="n"/>
      <c r="L410" s="119" t="n"/>
      <c r="M410" s="34" t="n"/>
      <c r="N410" s="119" t="n"/>
      <c r="O410" s="34" t="n"/>
      <c r="P410" s="34" t="n"/>
      <c r="Q410" s="117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  <c r="AA410" s="34" t="n"/>
      <c r="AB410" s="34" t="n"/>
      <c r="AC410" s="34" t="n"/>
      <c r="AD410" s="34" t="n"/>
      <c r="AE410" s="34" t="n"/>
      <c r="AF410" s="34" t="n"/>
      <c r="AG410" s="34" t="n"/>
      <c r="AH410" s="34" t="n"/>
      <c r="AK410" s="34" t="n"/>
      <c r="AL410" s="34" t="n"/>
      <c r="AM410" s="39" t="n"/>
      <c r="AN410" s="34" t="n"/>
      <c r="AO410" s="34" t="n"/>
      <c r="AP410" s="34" t="n"/>
      <c r="AQ410" s="34" t="n"/>
      <c r="AR410" s="34" t="n"/>
      <c r="AS410" s="34" t="n"/>
      <c r="AU410" s="34" t="n"/>
      <c r="AV410" s="34" t="n"/>
      <c r="AW410" s="34" t="n"/>
      <c r="AX410" s="34" t="n"/>
      <c r="AY410" s="34" t="n"/>
      <c r="AZ410" s="34" t="n"/>
      <c r="BA410" s="34" t="n"/>
      <c r="BB410" s="34" t="n"/>
      <c r="BC410" s="34" t="n"/>
      <c r="BD410" s="34" t="n"/>
      <c r="BE410" s="34" t="n"/>
      <c r="BF410" s="34" t="n"/>
      <c r="BG410" s="34" t="n"/>
      <c r="BH410" s="34" t="n"/>
      <c r="BI410" s="34" t="n"/>
      <c r="BJ410" s="34" t="n"/>
      <c r="BK410" s="34" t="n"/>
      <c r="BL410" s="34" t="n"/>
      <c r="BM410" s="34" t="n"/>
      <c r="BN410" s="34" t="n"/>
      <c r="BO410" s="34" t="n"/>
      <c r="BP410" s="34" t="n"/>
      <c r="BQ410" s="34" t="n"/>
      <c r="BR410" s="82" t="n"/>
      <c r="BS410" s="34" t="n"/>
      <c r="BT410" s="34" t="n"/>
      <c r="BU410" s="34" t="n"/>
      <c r="BV410" s="34" t="n"/>
      <c r="BW410" s="34" t="n"/>
      <c r="BX410" s="34" t="n"/>
      <c r="BY410" s="34" t="n"/>
      <c r="BZ410" s="34" t="n"/>
      <c r="CA410" s="34" t="n"/>
      <c r="CB410" s="33" t="n"/>
      <c r="CC410" s="34" t="n"/>
      <c r="CD410" s="34" t="n"/>
      <c r="CE410" s="82" t="n"/>
      <c r="CF410" s="34" t="n"/>
      <c r="CG410" s="34" t="n"/>
      <c r="CH410" s="34" t="n"/>
      <c r="CI410" s="34" t="n"/>
      <c r="CJ410" s="34" t="n"/>
    </row>
    <row r="411">
      <c r="A411" s="29" t="n"/>
      <c r="B411" s="29" t="n"/>
      <c r="C411" s="35" t="n"/>
      <c r="D411" s="36" t="n"/>
      <c r="E411" s="147" t="n"/>
      <c r="F411" s="30" t="n"/>
      <c r="G411" s="30" t="n"/>
      <c r="H411" s="30" t="n"/>
      <c r="I411" s="30" t="n"/>
      <c r="J411" s="119" t="n"/>
      <c r="K411" s="34" t="n"/>
      <c r="L411" s="119" t="n"/>
      <c r="M411" s="34" t="n"/>
      <c r="N411" s="119" t="n"/>
      <c r="O411" s="34" t="n"/>
      <c r="P411" s="34" t="n"/>
      <c r="Q411" s="117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  <c r="AA411" s="34" t="n"/>
      <c r="AB411" s="34" t="n"/>
      <c r="AC411" s="34" t="n"/>
      <c r="AD411" s="34" t="n"/>
      <c r="AE411" s="34" t="n"/>
      <c r="AF411" s="34" t="n"/>
      <c r="AG411" s="34" t="n"/>
      <c r="AH411" s="34" t="n"/>
      <c r="AK411" s="34" t="n"/>
      <c r="AL411" s="34" t="n"/>
      <c r="AM411" s="39" t="n"/>
      <c r="AN411" s="34" t="n"/>
      <c r="AO411" s="34" t="n"/>
      <c r="AP411" s="34" t="n"/>
      <c r="AQ411" s="34" t="n"/>
      <c r="AR411" s="34" t="n"/>
      <c r="AS411" s="34" t="n"/>
      <c r="AU411" s="34" t="n"/>
      <c r="AV411" s="34" t="n"/>
      <c r="AW411" s="34" t="n"/>
      <c r="AX411" s="34" t="n"/>
      <c r="AY411" s="34" t="n"/>
      <c r="AZ411" s="34" t="n"/>
      <c r="BA411" s="34" t="n"/>
      <c r="BB411" s="34" t="n"/>
      <c r="BC411" s="34" t="n"/>
      <c r="BD411" s="34" t="n"/>
      <c r="BE411" s="34" t="n"/>
      <c r="BF411" s="34" t="n"/>
      <c r="BG411" s="34" t="n"/>
      <c r="BH411" s="34" t="n"/>
      <c r="BI411" s="34" t="n"/>
      <c r="BJ411" s="34" t="n"/>
      <c r="BK411" s="34" t="n"/>
      <c r="BL411" s="34" t="n"/>
      <c r="BM411" s="34" t="n"/>
      <c r="BN411" s="34" t="n"/>
      <c r="BO411" s="34" t="n"/>
      <c r="BP411" s="34" t="n"/>
      <c r="BQ411" s="34" t="n"/>
      <c r="BR411" s="82" t="n"/>
      <c r="BS411" s="34" t="n"/>
      <c r="BT411" s="34" t="n"/>
      <c r="BU411" s="34" t="n"/>
      <c r="BV411" s="34" t="n"/>
      <c r="BW411" s="34" t="n"/>
      <c r="BX411" s="34" t="n"/>
      <c r="BY411" s="34" t="n"/>
      <c r="BZ411" s="34" t="n"/>
      <c r="CA411" s="34" t="n"/>
      <c r="CB411" s="33" t="n"/>
      <c r="CC411" s="34" t="n"/>
      <c r="CD411" s="34" t="n"/>
      <c r="CE411" s="82" t="n"/>
      <c r="CF411" s="34" t="n"/>
      <c r="CG411" s="34" t="n"/>
      <c r="CH411" s="34" t="n"/>
      <c r="CI411" s="34" t="n"/>
      <c r="CJ411" s="34" t="n"/>
    </row>
    <row r="412">
      <c r="A412" s="29" t="n"/>
      <c r="B412" s="29" t="n"/>
      <c r="C412" s="35" t="n"/>
      <c r="D412" s="36" t="n"/>
      <c r="E412" s="147" t="n"/>
      <c r="F412" s="30" t="n"/>
      <c r="G412" s="30" t="n"/>
      <c r="H412" s="30" t="n"/>
      <c r="I412" s="30" t="n"/>
      <c r="J412" s="119" t="n"/>
      <c r="K412" s="34" t="n"/>
      <c r="L412" s="119" t="n"/>
      <c r="M412" s="34" t="n"/>
      <c r="N412" s="119" t="n"/>
      <c r="O412" s="34" t="n"/>
      <c r="P412" s="34" t="n"/>
      <c r="Q412" s="117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  <c r="AA412" s="34" t="n"/>
      <c r="AB412" s="34" t="n"/>
      <c r="AC412" s="34" t="n"/>
      <c r="AD412" s="34" t="n"/>
      <c r="AE412" s="34" t="n"/>
      <c r="AF412" s="34" t="n"/>
      <c r="AG412" s="34" t="n"/>
      <c r="AH412" s="34" t="n"/>
      <c r="AK412" s="34" t="n"/>
      <c r="AL412" s="34" t="n"/>
      <c r="AM412" s="39" t="n"/>
      <c r="AN412" s="34" t="n"/>
      <c r="AO412" s="34" t="n"/>
      <c r="AP412" s="34" t="n"/>
      <c r="AQ412" s="34" t="n"/>
      <c r="AR412" s="34" t="n"/>
      <c r="AS412" s="34" t="n"/>
      <c r="AU412" s="34" t="n"/>
      <c r="AV412" s="34" t="n"/>
      <c r="AW412" s="34" t="n"/>
      <c r="AX412" s="34" t="n"/>
      <c r="AY412" s="34" t="n"/>
      <c r="AZ412" s="34" t="n"/>
      <c r="BA412" s="34" t="n"/>
      <c r="BB412" s="34" t="n"/>
      <c r="BC412" s="34" t="n"/>
      <c r="BD412" s="34" t="n"/>
      <c r="BE412" s="34" t="n"/>
      <c r="BF412" s="34" t="n"/>
      <c r="BG412" s="34" t="n"/>
      <c r="BH412" s="34" t="n"/>
      <c r="BI412" s="34" t="n"/>
      <c r="BJ412" s="34" t="n"/>
      <c r="BK412" s="34" t="n"/>
      <c r="BL412" s="34" t="n"/>
      <c r="BM412" s="34" t="n"/>
      <c r="BN412" s="34" t="n"/>
      <c r="BO412" s="34" t="n"/>
      <c r="BP412" s="34" t="n"/>
      <c r="BQ412" s="34" t="n"/>
      <c r="BR412" s="82" t="n"/>
      <c r="BS412" s="34" t="n"/>
      <c r="BT412" s="34" t="n"/>
      <c r="BU412" s="34" t="n"/>
      <c r="BV412" s="34" t="n"/>
      <c r="BW412" s="34" t="n"/>
      <c r="BX412" s="34" t="n"/>
      <c r="BY412" s="34" t="n"/>
      <c r="BZ412" s="34" t="n"/>
      <c r="CA412" s="34" t="n"/>
      <c r="CB412" s="33" t="n"/>
      <c r="CC412" s="34" t="n"/>
      <c r="CD412" s="34" t="n"/>
      <c r="CE412" s="82" t="n"/>
      <c r="CF412" s="34" t="n"/>
      <c r="CG412" s="34" t="n"/>
      <c r="CH412" s="34" t="n"/>
      <c r="CI412" s="34" t="n"/>
      <c r="CJ412" s="34" t="n"/>
    </row>
    <row r="413">
      <c r="A413" s="29" t="n"/>
      <c r="B413" s="29" t="n"/>
      <c r="C413" s="35" t="n"/>
      <c r="D413" s="36" t="n"/>
      <c r="E413" s="147" t="n"/>
      <c r="F413" s="30" t="n"/>
      <c r="G413" s="30" t="n"/>
      <c r="H413" s="30" t="n"/>
      <c r="I413" s="30" t="n"/>
      <c r="J413" s="119" t="n"/>
      <c r="K413" s="34" t="n"/>
      <c r="L413" s="119" t="n"/>
      <c r="M413" s="34" t="n"/>
      <c r="N413" s="119" t="n"/>
      <c r="O413" s="34" t="n"/>
      <c r="P413" s="34" t="n"/>
      <c r="Q413" s="117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  <c r="AA413" s="34" t="n"/>
      <c r="AB413" s="34" t="n"/>
      <c r="AC413" s="34" t="n"/>
      <c r="AD413" s="34" t="n"/>
      <c r="AE413" s="34" t="n"/>
      <c r="AF413" s="34" t="n"/>
      <c r="AG413" s="34" t="n"/>
      <c r="AH413" s="34" t="n"/>
      <c r="AK413" s="34" t="n"/>
      <c r="AL413" s="34" t="n"/>
      <c r="AM413" s="39" t="n"/>
      <c r="AN413" s="34" t="n"/>
      <c r="AO413" s="34" t="n"/>
      <c r="AP413" s="34" t="n"/>
      <c r="AQ413" s="34" t="n"/>
      <c r="AR413" s="34" t="n"/>
      <c r="AS413" s="34" t="n"/>
      <c r="AU413" s="34" t="n"/>
      <c r="AV413" s="34" t="n"/>
      <c r="AW413" s="34" t="n"/>
      <c r="AX413" s="34" t="n"/>
      <c r="AY413" s="34" t="n"/>
      <c r="AZ413" s="34" t="n"/>
      <c r="BA413" s="34" t="n"/>
      <c r="BB413" s="34" t="n"/>
      <c r="BC413" s="34" t="n"/>
      <c r="BD413" s="34" t="n"/>
      <c r="BE413" s="34" t="n"/>
      <c r="BF413" s="34" t="n"/>
      <c r="BG413" s="34" t="n"/>
      <c r="BH413" s="34" t="n"/>
      <c r="BI413" s="34" t="n"/>
      <c r="BJ413" s="34" t="n"/>
      <c r="BK413" s="34" t="n"/>
      <c r="BL413" s="34" t="n"/>
      <c r="BM413" s="34" t="n"/>
      <c r="BN413" s="34" t="n"/>
      <c r="BO413" s="34" t="n"/>
      <c r="BP413" s="34" t="n"/>
      <c r="BQ413" s="34" t="n"/>
      <c r="BR413" s="82" t="n"/>
      <c r="BS413" s="34" t="n"/>
      <c r="BT413" s="34" t="n"/>
      <c r="BU413" s="34" t="n"/>
      <c r="BV413" s="34" t="n"/>
      <c r="BW413" s="34" t="n"/>
      <c r="BX413" s="34" t="n"/>
      <c r="BY413" s="34" t="n"/>
      <c r="BZ413" s="34" t="n"/>
      <c r="CA413" s="34" t="n"/>
      <c r="CB413" s="33" t="n"/>
      <c r="CC413" s="34" t="n"/>
      <c r="CD413" s="34" t="n"/>
      <c r="CE413" s="82" t="n"/>
      <c r="CF413" s="34" t="n"/>
      <c r="CG413" s="34" t="n"/>
      <c r="CH413" s="34" t="n"/>
      <c r="CI413" s="34" t="n"/>
      <c r="CJ413" s="34" t="n"/>
    </row>
    <row r="414">
      <c r="A414" s="29" t="n"/>
      <c r="B414" s="29" t="n"/>
      <c r="C414" s="35" t="n"/>
      <c r="D414" s="36" t="n"/>
      <c r="E414" s="147" t="n"/>
      <c r="F414" s="30" t="n"/>
      <c r="G414" s="30" t="n"/>
      <c r="H414" s="30" t="n"/>
      <c r="I414" s="30" t="n"/>
      <c r="J414" s="119" t="n"/>
      <c r="K414" s="34" t="n"/>
      <c r="L414" s="119" t="n"/>
      <c r="M414" s="34" t="n"/>
      <c r="N414" s="119" t="n"/>
      <c r="O414" s="34" t="n"/>
      <c r="P414" s="34" t="n"/>
      <c r="Q414" s="117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  <c r="AA414" s="34" t="n"/>
      <c r="AB414" s="34" t="n"/>
      <c r="AC414" s="34" t="n"/>
      <c r="AD414" s="34" t="n"/>
      <c r="AE414" s="34" t="n"/>
      <c r="AF414" s="34" t="n"/>
      <c r="AG414" s="34" t="n"/>
      <c r="AH414" s="34" t="n"/>
      <c r="AK414" s="34" t="n"/>
      <c r="AL414" s="34" t="n"/>
      <c r="AM414" s="39" t="n"/>
      <c r="AN414" s="34" t="n"/>
      <c r="AO414" s="34" t="n"/>
      <c r="AP414" s="34" t="n"/>
      <c r="AQ414" s="34" t="n"/>
      <c r="AR414" s="34" t="n"/>
      <c r="AS414" s="34" t="n"/>
      <c r="AU414" s="34" t="n"/>
      <c r="AV414" s="34" t="n"/>
      <c r="AW414" s="34" t="n"/>
      <c r="AX414" s="34" t="n"/>
      <c r="AY414" s="34" t="n"/>
      <c r="AZ414" s="34" t="n"/>
      <c r="BA414" s="34" t="n"/>
      <c r="BB414" s="34" t="n"/>
      <c r="BC414" s="34" t="n"/>
      <c r="BD414" s="34" t="n"/>
      <c r="BE414" s="34" t="n"/>
      <c r="BF414" s="34" t="n"/>
      <c r="BG414" s="34" t="n"/>
      <c r="BH414" s="34" t="n"/>
      <c r="BI414" s="34" t="n"/>
      <c r="BJ414" s="34" t="n"/>
      <c r="BK414" s="34" t="n"/>
      <c r="BL414" s="34" t="n"/>
      <c r="BM414" s="34" t="n"/>
      <c r="BN414" s="34" t="n"/>
      <c r="BO414" s="34" t="n"/>
      <c r="BP414" s="34" t="n"/>
      <c r="BQ414" s="34" t="n"/>
      <c r="BR414" s="82" t="n"/>
      <c r="BS414" s="34" t="n"/>
      <c r="BT414" s="34" t="n"/>
      <c r="BU414" s="34" t="n"/>
      <c r="BV414" s="34" t="n"/>
      <c r="BW414" s="34" t="n"/>
      <c r="BX414" s="34" t="n"/>
      <c r="BY414" s="34" t="n"/>
      <c r="BZ414" s="34" t="n"/>
      <c r="CA414" s="34" t="n"/>
      <c r="CB414" s="33" t="n"/>
      <c r="CC414" s="34" t="n"/>
      <c r="CD414" s="34" t="n"/>
      <c r="CE414" s="82" t="n"/>
      <c r="CF414" s="34" t="n"/>
      <c r="CG414" s="34" t="n"/>
      <c r="CH414" s="34" t="n"/>
      <c r="CI414" s="34" t="n"/>
      <c r="CJ414" s="34" t="n"/>
    </row>
    <row r="415">
      <c r="A415" s="29" t="n"/>
      <c r="B415" s="29" t="n"/>
      <c r="C415" s="35" t="n"/>
      <c r="D415" s="36" t="n"/>
      <c r="E415" s="147" t="n"/>
      <c r="F415" s="30" t="n"/>
      <c r="G415" s="30" t="n"/>
      <c r="H415" s="30" t="n"/>
      <c r="I415" s="30" t="n"/>
      <c r="J415" s="119" t="n"/>
      <c r="K415" s="34" t="n"/>
      <c r="L415" s="119" t="n"/>
      <c r="M415" s="34" t="n"/>
      <c r="N415" s="119" t="n"/>
      <c r="O415" s="34" t="n"/>
      <c r="P415" s="34" t="n"/>
      <c r="Q415" s="117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  <c r="AA415" s="34" t="n"/>
      <c r="AB415" s="34" t="n"/>
      <c r="AC415" s="34" t="n"/>
      <c r="AD415" s="34" t="n"/>
      <c r="AE415" s="34" t="n"/>
      <c r="AF415" s="34" t="n"/>
      <c r="AG415" s="34" t="n"/>
      <c r="AH415" s="34" t="n"/>
      <c r="AK415" s="34" t="n"/>
      <c r="AL415" s="34" t="n"/>
      <c r="AM415" s="39" t="n"/>
      <c r="AN415" s="34" t="n"/>
      <c r="AO415" s="34" t="n"/>
      <c r="AP415" s="34" t="n"/>
      <c r="AQ415" s="34" t="n"/>
      <c r="AR415" s="34" t="n"/>
      <c r="AS415" s="34" t="n"/>
      <c r="AU415" s="34" t="n"/>
      <c r="AV415" s="34" t="n"/>
      <c r="AW415" s="34" t="n"/>
      <c r="AX415" s="34" t="n"/>
      <c r="AY415" s="34" t="n"/>
      <c r="AZ415" s="34" t="n"/>
      <c r="BA415" s="34" t="n"/>
      <c r="BB415" s="34" t="n"/>
      <c r="BC415" s="34" t="n"/>
      <c r="BD415" s="34" t="n"/>
      <c r="BE415" s="34" t="n"/>
      <c r="BF415" s="34" t="n"/>
      <c r="BG415" s="34" t="n"/>
      <c r="BH415" s="34" t="n"/>
      <c r="BI415" s="34" t="n"/>
      <c r="BJ415" s="34" t="n"/>
      <c r="BK415" s="34" t="n"/>
      <c r="BL415" s="34" t="n"/>
      <c r="BM415" s="34" t="n"/>
      <c r="BN415" s="34" t="n"/>
      <c r="BO415" s="34" t="n"/>
      <c r="BP415" s="34" t="n"/>
      <c r="BQ415" s="34" t="n"/>
      <c r="BR415" s="82" t="n"/>
      <c r="BS415" s="34" t="n"/>
      <c r="BT415" s="34" t="n"/>
      <c r="BU415" s="34" t="n"/>
      <c r="BV415" s="34" t="n"/>
      <c r="BW415" s="34" t="n"/>
      <c r="BX415" s="34" t="n"/>
      <c r="BY415" s="34" t="n"/>
      <c r="BZ415" s="34" t="n"/>
      <c r="CA415" s="34" t="n"/>
      <c r="CB415" s="33" t="n"/>
      <c r="CC415" s="34" t="n"/>
      <c r="CD415" s="34" t="n"/>
      <c r="CE415" s="82" t="n"/>
      <c r="CF415" s="34" t="n"/>
      <c r="CG415" s="34" t="n"/>
      <c r="CH415" s="34" t="n"/>
      <c r="CI415" s="34" t="n"/>
      <c r="CJ415" s="34" t="n"/>
    </row>
    <row r="416">
      <c r="A416" s="29" t="n"/>
      <c r="B416" s="29" t="n"/>
      <c r="C416" s="35" t="n"/>
      <c r="D416" s="36" t="n"/>
      <c r="E416" s="147" t="n"/>
      <c r="F416" s="30" t="n"/>
      <c r="G416" s="30" t="n"/>
      <c r="H416" s="30" t="n"/>
      <c r="I416" s="30" t="n"/>
      <c r="J416" s="119" t="n"/>
      <c r="K416" s="34" t="n"/>
      <c r="L416" s="119" t="n"/>
      <c r="M416" s="34" t="n"/>
      <c r="N416" s="119" t="n"/>
      <c r="O416" s="34" t="n"/>
      <c r="P416" s="34" t="n"/>
      <c r="Q416" s="117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  <c r="AA416" s="34" t="n"/>
      <c r="AB416" s="34" t="n"/>
      <c r="AC416" s="34" t="n"/>
      <c r="AD416" s="34" t="n"/>
      <c r="AE416" s="34" t="n"/>
      <c r="AF416" s="34" t="n"/>
      <c r="AG416" s="34" t="n"/>
      <c r="AH416" s="34" t="n"/>
      <c r="AK416" s="34" t="n"/>
      <c r="AL416" s="34" t="n"/>
      <c r="AM416" s="39" t="n"/>
      <c r="AN416" s="34" t="n"/>
      <c r="AO416" s="34" t="n"/>
      <c r="AP416" s="34" t="n"/>
      <c r="AQ416" s="34" t="n"/>
      <c r="AR416" s="34" t="n"/>
      <c r="AS416" s="34" t="n"/>
      <c r="AU416" s="34" t="n"/>
      <c r="AV416" s="34" t="n"/>
      <c r="AW416" s="34" t="n"/>
      <c r="AX416" s="34" t="n"/>
      <c r="AY416" s="34" t="n"/>
      <c r="AZ416" s="34" t="n"/>
      <c r="BA416" s="34" t="n"/>
      <c r="BB416" s="34" t="n"/>
      <c r="BC416" s="34" t="n"/>
      <c r="BD416" s="34" t="n"/>
      <c r="BE416" s="34" t="n"/>
      <c r="BF416" s="34" t="n"/>
      <c r="BG416" s="34" t="n"/>
      <c r="BH416" s="34" t="n"/>
      <c r="BI416" s="34" t="n"/>
      <c r="BJ416" s="34" t="n"/>
      <c r="BK416" s="34" t="n"/>
      <c r="BL416" s="34" t="n"/>
      <c r="BM416" s="34" t="n"/>
      <c r="BN416" s="34" t="n"/>
      <c r="BO416" s="34" t="n"/>
      <c r="BP416" s="34" t="n"/>
      <c r="BQ416" s="34" t="n"/>
      <c r="BR416" s="82" t="n"/>
      <c r="BS416" s="34" t="n"/>
      <c r="BT416" s="34" t="n"/>
      <c r="BU416" s="34" t="n"/>
      <c r="BV416" s="34" t="n"/>
      <c r="BW416" s="34" t="n"/>
      <c r="BX416" s="34" t="n"/>
      <c r="BY416" s="34" t="n"/>
      <c r="BZ416" s="34" t="n"/>
      <c r="CA416" s="34" t="n"/>
      <c r="CB416" s="33" t="n"/>
      <c r="CC416" s="34" t="n"/>
      <c r="CD416" s="34" t="n"/>
      <c r="CE416" s="82" t="n"/>
      <c r="CF416" s="34" t="n"/>
      <c r="CG416" s="34" t="n"/>
      <c r="CH416" s="34" t="n"/>
      <c r="CI416" s="34" t="n"/>
      <c r="CJ416" s="34" t="n"/>
    </row>
    <row r="417">
      <c r="A417" s="29" t="n"/>
      <c r="B417" s="29" t="n"/>
      <c r="C417" s="35" t="n"/>
      <c r="D417" s="36" t="n"/>
      <c r="E417" s="147" t="n"/>
      <c r="F417" s="30" t="n"/>
      <c r="G417" s="30" t="n"/>
      <c r="H417" s="30" t="n"/>
      <c r="I417" s="30" t="n"/>
      <c r="J417" s="119" t="n"/>
      <c r="K417" s="34" t="n"/>
      <c r="L417" s="119" t="n"/>
      <c r="M417" s="34" t="n"/>
      <c r="N417" s="119" t="n"/>
      <c r="O417" s="34" t="n"/>
      <c r="P417" s="34" t="n"/>
      <c r="Q417" s="117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  <c r="AA417" s="34" t="n"/>
      <c r="AB417" s="34" t="n"/>
      <c r="AC417" s="34" t="n"/>
      <c r="AD417" s="34" t="n"/>
      <c r="AE417" s="34" t="n"/>
      <c r="AF417" s="34" t="n"/>
      <c r="AG417" s="34" t="n"/>
      <c r="AH417" s="34" t="n"/>
      <c r="AK417" s="34" t="n"/>
      <c r="AL417" s="34" t="n"/>
      <c r="AM417" s="39" t="n"/>
      <c r="AN417" s="34" t="n"/>
      <c r="AO417" s="34" t="n"/>
      <c r="AP417" s="34" t="n"/>
      <c r="AQ417" s="34" t="n"/>
      <c r="AR417" s="34" t="n"/>
      <c r="AS417" s="34" t="n"/>
      <c r="AU417" s="34" t="n"/>
      <c r="AV417" s="34" t="n"/>
      <c r="AW417" s="34" t="n"/>
      <c r="AX417" s="34" t="n"/>
      <c r="AY417" s="34" t="n"/>
      <c r="AZ417" s="34" t="n"/>
      <c r="BA417" s="34" t="n"/>
      <c r="BB417" s="34" t="n"/>
      <c r="BC417" s="34" t="n"/>
      <c r="BD417" s="34" t="n"/>
      <c r="BE417" s="34" t="n"/>
      <c r="BF417" s="34" t="n"/>
      <c r="BG417" s="34" t="n"/>
      <c r="BH417" s="34" t="n"/>
      <c r="BI417" s="34" t="n"/>
      <c r="BJ417" s="34" t="n"/>
      <c r="BK417" s="34" t="n"/>
      <c r="BL417" s="34" t="n"/>
      <c r="BM417" s="34" t="n"/>
      <c r="BN417" s="34" t="n"/>
      <c r="BO417" s="34" t="n"/>
      <c r="BP417" s="34" t="n"/>
      <c r="BQ417" s="34" t="n"/>
      <c r="BR417" s="82" t="n"/>
      <c r="BS417" s="34" t="n"/>
      <c r="BT417" s="34" t="n"/>
      <c r="BU417" s="34" t="n"/>
      <c r="BV417" s="34" t="n"/>
      <c r="BW417" s="34" t="n"/>
      <c r="BX417" s="34" t="n"/>
      <c r="BY417" s="34" t="n"/>
      <c r="BZ417" s="34" t="n"/>
      <c r="CA417" s="34" t="n"/>
      <c r="CB417" s="33" t="n"/>
      <c r="CC417" s="34" t="n"/>
      <c r="CD417" s="34" t="n"/>
      <c r="CE417" s="82" t="n"/>
      <c r="CF417" s="34" t="n"/>
      <c r="CG417" s="34" t="n"/>
      <c r="CH417" s="34" t="n"/>
      <c r="CI417" s="34" t="n"/>
      <c r="CJ417" s="34" t="n"/>
    </row>
    <row r="418">
      <c r="A418" s="29" t="n"/>
      <c r="B418" s="29" t="n"/>
      <c r="C418" s="35" t="n"/>
      <c r="D418" s="36" t="n"/>
      <c r="E418" s="147" t="n"/>
      <c r="F418" s="30" t="n"/>
      <c r="G418" s="30" t="n"/>
      <c r="H418" s="30" t="n"/>
      <c r="I418" s="30" t="n"/>
      <c r="J418" s="119" t="n"/>
      <c r="K418" s="34" t="n"/>
      <c r="L418" s="119" t="n"/>
      <c r="M418" s="34" t="n"/>
      <c r="N418" s="119" t="n"/>
      <c r="O418" s="34" t="n"/>
      <c r="P418" s="34" t="n"/>
      <c r="Q418" s="117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  <c r="AA418" s="34" t="n"/>
      <c r="AB418" s="34" t="n"/>
      <c r="AC418" s="34" t="n"/>
      <c r="AD418" s="34" t="n"/>
      <c r="AE418" s="34" t="n"/>
      <c r="AF418" s="34" t="n"/>
      <c r="AG418" s="34" t="n"/>
      <c r="AH418" s="34" t="n"/>
      <c r="AK418" s="34" t="n"/>
      <c r="AL418" s="34" t="n"/>
      <c r="AM418" s="39" t="n"/>
      <c r="AN418" s="34" t="n"/>
      <c r="AO418" s="34" t="n"/>
      <c r="AP418" s="34" t="n"/>
      <c r="AQ418" s="34" t="n"/>
      <c r="AR418" s="34" t="n"/>
      <c r="AS418" s="34" t="n"/>
      <c r="AU418" s="34" t="n"/>
      <c r="AV418" s="34" t="n"/>
      <c r="AW418" s="34" t="n"/>
      <c r="AX418" s="34" t="n"/>
      <c r="AY418" s="34" t="n"/>
      <c r="AZ418" s="34" t="n"/>
      <c r="BA418" s="34" t="n"/>
      <c r="BB418" s="34" t="n"/>
      <c r="BC418" s="34" t="n"/>
      <c r="BD418" s="34" t="n"/>
      <c r="BE418" s="34" t="n"/>
      <c r="BF418" s="34" t="n"/>
      <c r="BG418" s="34" t="n"/>
      <c r="BH418" s="34" t="n"/>
      <c r="BI418" s="34" t="n"/>
      <c r="BJ418" s="34" t="n"/>
      <c r="BK418" s="34" t="n"/>
      <c r="BL418" s="34" t="n"/>
      <c r="BM418" s="34" t="n"/>
      <c r="BN418" s="34" t="n"/>
      <c r="BO418" s="34" t="n"/>
      <c r="BP418" s="34" t="n"/>
      <c r="BQ418" s="34" t="n"/>
      <c r="BR418" s="82" t="n"/>
      <c r="BS418" s="34" t="n"/>
      <c r="BT418" s="34" t="n"/>
      <c r="BU418" s="34" t="n"/>
      <c r="BV418" s="34" t="n"/>
      <c r="BW418" s="34" t="n"/>
      <c r="BX418" s="34" t="n"/>
      <c r="BY418" s="34" t="n"/>
      <c r="BZ418" s="34" t="n"/>
      <c r="CA418" s="34" t="n"/>
      <c r="CB418" s="33" t="n"/>
      <c r="CC418" s="34" t="n"/>
      <c r="CD418" s="34" t="n"/>
      <c r="CE418" s="82" t="n"/>
      <c r="CF418" s="34" t="n"/>
      <c r="CG418" s="34" t="n"/>
      <c r="CH418" s="34" t="n"/>
      <c r="CI418" s="34" t="n"/>
      <c r="CJ418" s="34" t="n"/>
    </row>
    <row r="419">
      <c r="A419" s="29" t="n"/>
      <c r="B419" s="29" t="n"/>
      <c r="C419" s="35" t="n"/>
      <c r="D419" s="36" t="n"/>
      <c r="E419" s="147" t="n"/>
      <c r="F419" s="30" t="n"/>
      <c r="G419" s="30" t="n"/>
      <c r="H419" s="30" t="n"/>
      <c r="I419" s="30" t="n"/>
      <c r="J419" s="119" t="n"/>
      <c r="K419" s="34" t="n"/>
      <c r="L419" s="119" t="n"/>
      <c r="M419" s="34" t="n"/>
      <c r="N419" s="119" t="n"/>
      <c r="O419" s="34" t="n"/>
      <c r="P419" s="34" t="n"/>
      <c r="Q419" s="117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  <c r="AA419" s="34" t="n"/>
      <c r="AB419" s="34" t="n"/>
      <c r="AC419" s="34" t="n"/>
      <c r="AD419" s="34" t="n"/>
      <c r="AE419" s="34" t="n"/>
      <c r="AF419" s="34" t="n"/>
      <c r="AG419" s="34" t="n"/>
      <c r="AH419" s="34" t="n"/>
      <c r="AK419" s="34" t="n"/>
      <c r="AL419" s="34" t="n"/>
      <c r="AM419" s="39" t="n"/>
      <c r="AN419" s="34" t="n"/>
      <c r="AO419" s="34" t="n"/>
      <c r="AP419" s="34" t="n"/>
      <c r="AQ419" s="34" t="n"/>
      <c r="AR419" s="34" t="n"/>
      <c r="AS419" s="34" t="n"/>
      <c r="AU419" s="34" t="n"/>
      <c r="AV419" s="34" t="n"/>
      <c r="AW419" s="34" t="n"/>
      <c r="AX419" s="34" t="n"/>
      <c r="AY419" s="34" t="n"/>
      <c r="AZ419" s="34" t="n"/>
      <c r="BA419" s="34" t="n"/>
      <c r="BB419" s="34" t="n"/>
      <c r="BC419" s="34" t="n"/>
      <c r="BD419" s="34" t="n"/>
      <c r="BE419" s="34" t="n"/>
      <c r="BF419" s="34" t="n"/>
      <c r="BG419" s="34" t="n"/>
      <c r="BH419" s="34" t="n"/>
      <c r="BI419" s="34" t="n"/>
      <c r="BJ419" s="34" t="n"/>
      <c r="BK419" s="34" t="n"/>
      <c r="BL419" s="34" t="n"/>
      <c r="BM419" s="34" t="n"/>
      <c r="BN419" s="34" t="n"/>
      <c r="BO419" s="34" t="n"/>
      <c r="BP419" s="34" t="n"/>
      <c r="BQ419" s="34" t="n"/>
      <c r="BR419" s="82" t="n"/>
      <c r="BS419" s="34" t="n"/>
      <c r="BT419" s="34" t="n"/>
      <c r="BU419" s="34" t="n"/>
      <c r="BV419" s="34" t="n"/>
      <c r="BW419" s="34" t="n"/>
      <c r="BX419" s="34" t="n"/>
      <c r="BY419" s="34" t="n"/>
      <c r="BZ419" s="34" t="n"/>
      <c r="CA419" s="34" t="n"/>
      <c r="CB419" s="33" t="n"/>
      <c r="CC419" s="34" t="n"/>
      <c r="CD419" s="34" t="n"/>
      <c r="CE419" s="82" t="n"/>
      <c r="CF419" s="34" t="n"/>
      <c r="CG419" s="34" t="n"/>
      <c r="CH419" s="34" t="n"/>
      <c r="CI419" s="34" t="n"/>
      <c r="CJ419" s="34" t="n"/>
    </row>
    <row r="420">
      <c r="A420" s="29" t="n"/>
      <c r="B420" s="29" t="n"/>
      <c r="C420" s="35" t="n"/>
      <c r="D420" s="36" t="n"/>
      <c r="E420" s="147" t="n"/>
      <c r="F420" s="30" t="n"/>
      <c r="G420" s="30" t="n"/>
      <c r="H420" s="30" t="n"/>
      <c r="I420" s="30" t="n"/>
      <c r="J420" s="119" t="n"/>
      <c r="K420" s="34" t="n"/>
      <c r="L420" s="119" t="n"/>
      <c r="M420" s="34" t="n"/>
      <c r="N420" s="119" t="n"/>
      <c r="O420" s="34" t="n"/>
      <c r="P420" s="34" t="n"/>
      <c r="Q420" s="117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  <c r="AA420" s="34" t="n"/>
      <c r="AB420" s="34" t="n"/>
      <c r="AC420" s="34" t="n"/>
      <c r="AD420" s="34" t="n"/>
      <c r="AE420" s="34" t="n"/>
      <c r="AF420" s="34" t="n"/>
      <c r="AG420" s="34" t="n"/>
      <c r="AH420" s="34" t="n"/>
      <c r="AK420" s="34" t="n"/>
      <c r="AL420" s="34" t="n"/>
      <c r="AM420" s="39" t="n"/>
      <c r="AN420" s="34" t="n"/>
      <c r="AO420" s="34" t="n"/>
      <c r="AP420" s="34" t="n"/>
      <c r="AQ420" s="34" t="n"/>
      <c r="AR420" s="34" t="n"/>
      <c r="AS420" s="34" t="n"/>
      <c r="AU420" s="34" t="n"/>
      <c r="AV420" s="34" t="n"/>
      <c r="AW420" s="34" t="n"/>
      <c r="AX420" s="34" t="n"/>
      <c r="AY420" s="34" t="n"/>
      <c r="AZ420" s="34" t="n"/>
      <c r="BA420" s="34" t="n"/>
      <c r="BB420" s="34" t="n"/>
      <c r="BC420" s="34" t="n"/>
      <c r="BD420" s="34" t="n"/>
      <c r="BE420" s="34" t="n"/>
      <c r="BF420" s="34" t="n"/>
      <c r="BG420" s="34" t="n"/>
      <c r="BH420" s="34" t="n"/>
      <c r="BI420" s="34" t="n"/>
      <c r="BJ420" s="34" t="n"/>
      <c r="BK420" s="34" t="n"/>
      <c r="BL420" s="34" t="n"/>
      <c r="BM420" s="34" t="n"/>
      <c r="BN420" s="34" t="n"/>
      <c r="BO420" s="34" t="n"/>
      <c r="BP420" s="34" t="n"/>
      <c r="BQ420" s="34" t="n"/>
      <c r="BR420" s="82" t="n"/>
      <c r="BS420" s="34" t="n"/>
      <c r="BT420" s="34" t="n"/>
      <c r="BU420" s="34" t="n"/>
      <c r="BV420" s="34" t="n"/>
      <c r="BW420" s="34" t="n"/>
      <c r="BX420" s="34" t="n"/>
      <c r="BY420" s="34" t="n"/>
      <c r="BZ420" s="34" t="n"/>
      <c r="CA420" s="34" t="n"/>
      <c r="CB420" s="33" t="n"/>
      <c r="CC420" s="34" t="n"/>
      <c r="CD420" s="34" t="n"/>
      <c r="CE420" s="82" t="n"/>
      <c r="CF420" s="34" t="n"/>
      <c r="CG420" s="34" t="n"/>
      <c r="CH420" s="34" t="n"/>
      <c r="CI420" s="34" t="n"/>
      <c r="CJ420" s="34" t="n"/>
    </row>
    <row r="421">
      <c r="A421" s="29" t="n"/>
      <c r="B421" s="29" t="n"/>
      <c r="C421" s="35" t="n"/>
      <c r="D421" s="36" t="n"/>
      <c r="E421" s="147" t="n"/>
      <c r="F421" s="30" t="n"/>
      <c r="G421" s="30" t="n"/>
      <c r="H421" s="30" t="n"/>
      <c r="I421" s="30" t="n"/>
      <c r="J421" s="119" t="n"/>
      <c r="K421" s="34" t="n"/>
      <c r="L421" s="119" t="n"/>
      <c r="M421" s="34" t="n"/>
      <c r="N421" s="119" t="n"/>
      <c r="O421" s="34" t="n"/>
      <c r="P421" s="34" t="n"/>
      <c r="Q421" s="117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  <c r="AA421" s="34" t="n"/>
      <c r="AB421" s="34" t="n"/>
      <c r="AC421" s="34" t="n"/>
      <c r="AD421" s="34" t="n"/>
      <c r="AE421" s="34" t="n"/>
      <c r="AF421" s="34" t="n"/>
      <c r="AG421" s="34" t="n"/>
      <c r="AH421" s="34" t="n"/>
      <c r="AK421" s="34" t="n"/>
      <c r="AL421" s="34" t="n"/>
      <c r="AM421" s="39" t="n"/>
      <c r="AN421" s="34" t="n"/>
      <c r="AO421" s="34" t="n"/>
      <c r="AP421" s="34" t="n"/>
      <c r="AQ421" s="34" t="n"/>
      <c r="AR421" s="34" t="n"/>
      <c r="AS421" s="34" t="n"/>
      <c r="AU421" s="34" t="n"/>
      <c r="AV421" s="34" t="n"/>
      <c r="AW421" s="34" t="n"/>
      <c r="AX421" s="34" t="n"/>
      <c r="AY421" s="34" t="n"/>
      <c r="AZ421" s="34" t="n"/>
      <c r="BA421" s="34" t="n"/>
      <c r="BB421" s="34" t="n"/>
      <c r="BC421" s="34" t="n"/>
      <c r="BD421" s="34" t="n"/>
      <c r="BE421" s="34" t="n"/>
      <c r="BF421" s="34" t="n"/>
      <c r="BG421" s="34" t="n"/>
      <c r="BH421" s="34" t="n"/>
      <c r="BI421" s="34" t="n"/>
      <c r="BJ421" s="34" t="n"/>
      <c r="BK421" s="34" t="n"/>
      <c r="BL421" s="34" t="n"/>
      <c r="BM421" s="34" t="n"/>
      <c r="BN421" s="34" t="n"/>
      <c r="BO421" s="34" t="n"/>
      <c r="BP421" s="34" t="n"/>
      <c r="BQ421" s="34" t="n"/>
      <c r="BR421" s="82" t="n"/>
      <c r="BS421" s="34" t="n"/>
      <c r="BT421" s="34" t="n"/>
      <c r="BU421" s="34" t="n"/>
      <c r="BV421" s="34" t="n"/>
      <c r="BW421" s="34" t="n"/>
      <c r="BX421" s="34" t="n"/>
      <c r="BY421" s="34" t="n"/>
      <c r="BZ421" s="34" t="n"/>
      <c r="CA421" s="34" t="n"/>
      <c r="CB421" s="33" t="n"/>
      <c r="CC421" s="34" t="n"/>
      <c r="CD421" s="34" t="n"/>
      <c r="CE421" s="82" t="n"/>
      <c r="CF421" s="34" t="n"/>
      <c r="CG421" s="34" t="n"/>
      <c r="CH421" s="34" t="n"/>
      <c r="CI421" s="34" t="n"/>
      <c r="CJ421" s="34" t="n"/>
    </row>
    <row r="422">
      <c r="A422" s="29" t="n"/>
      <c r="B422" s="29" t="n"/>
      <c r="C422" s="35" t="n"/>
      <c r="D422" s="36" t="n"/>
      <c r="E422" s="147" t="n"/>
      <c r="F422" s="30" t="n"/>
      <c r="G422" s="30" t="n"/>
      <c r="H422" s="30" t="n"/>
      <c r="I422" s="30" t="n"/>
      <c r="J422" s="119" t="n"/>
      <c r="K422" s="34" t="n"/>
      <c r="L422" s="119" t="n"/>
      <c r="M422" s="34" t="n"/>
      <c r="N422" s="119" t="n"/>
      <c r="O422" s="34" t="n"/>
      <c r="P422" s="34" t="n"/>
      <c r="Q422" s="117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  <c r="AA422" s="34" t="n"/>
      <c r="AB422" s="34" t="n"/>
      <c r="AC422" s="34" t="n"/>
      <c r="AD422" s="34" t="n"/>
      <c r="AE422" s="34" t="n"/>
      <c r="AF422" s="34" t="n"/>
      <c r="AG422" s="34" t="n"/>
      <c r="AH422" s="34" t="n"/>
      <c r="AK422" s="34" t="n"/>
      <c r="AL422" s="34" t="n"/>
      <c r="AM422" s="39" t="n"/>
      <c r="AN422" s="34" t="n"/>
      <c r="AO422" s="34" t="n"/>
      <c r="AP422" s="34" t="n"/>
      <c r="AQ422" s="34" t="n"/>
      <c r="AR422" s="34" t="n"/>
      <c r="AS422" s="34" t="n"/>
      <c r="AU422" s="34" t="n"/>
      <c r="AV422" s="34" t="n"/>
      <c r="AW422" s="34" t="n"/>
      <c r="AX422" s="34" t="n"/>
      <c r="AY422" s="34" t="n"/>
      <c r="AZ422" s="34" t="n"/>
      <c r="BA422" s="34" t="n"/>
      <c r="BB422" s="34" t="n"/>
      <c r="BC422" s="34" t="n"/>
      <c r="BD422" s="34" t="n"/>
      <c r="BE422" s="34" t="n"/>
      <c r="BF422" s="34" t="n"/>
      <c r="BG422" s="34" t="n"/>
      <c r="BH422" s="34" t="n"/>
      <c r="BI422" s="34" t="n"/>
      <c r="BJ422" s="34" t="n"/>
      <c r="BK422" s="34" t="n"/>
      <c r="BL422" s="34" t="n"/>
      <c r="BM422" s="34" t="n"/>
      <c r="BN422" s="34" t="n"/>
      <c r="BO422" s="34" t="n"/>
      <c r="BP422" s="34" t="n"/>
      <c r="BQ422" s="34" t="n"/>
      <c r="BR422" s="82" t="n"/>
      <c r="BS422" s="34" t="n"/>
      <c r="BT422" s="34" t="n"/>
      <c r="BU422" s="34" t="n"/>
      <c r="BV422" s="34" t="n"/>
      <c r="BW422" s="34" t="n"/>
      <c r="BX422" s="34" t="n"/>
      <c r="BY422" s="34" t="n"/>
      <c r="BZ422" s="34" t="n"/>
      <c r="CA422" s="34" t="n"/>
      <c r="CB422" s="33" t="n"/>
      <c r="CC422" s="34" t="n"/>
      <c r="CD422" s="34" t="n"/>
      <c r="CE422" s="82" t="n"/>
      <c r="CF422" s="34" t="n"/>
      <c r="CG422" s="34" t="n"/>
      <c r="CH422" s="34" t="n"/>
      <c r="CI422" s="34" t="n"/>
      <c r="CJ422" s="34" t="n"/>
    </row>
    <row r="423">
      <c r="A423" s="29" t="n"/>
      <c r="B423" s="29" t="n"/>
      <c r="C423" s="35" t="n"/>
      <c r="D423" s="36" t="n"/>
      <c r="E423" s="147" t="n"/>
      <c r="F423" s="30" t="n"/>
      <c r="G423" s="30" t="n"/>
      <c r="H423" s="30" t="n"/>
      <c r="I423" s="30" t="n"/>
      <c r="J423" s="119" t="n"/>
      <c r="K423" s="34" t="n"/>
      <c r="L423" s="119" t="n"/>
      <c r="M423" s="34" t="n"/>
      <c r="N423" s="119" t="n"/>
      <c r="O423" s="34" t="n"/>
      <c r="P423" s="34" t="n"/>
      <c r="Q423" s="117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  <c r="AA423" s="34" t="n"/>
      <c r="AB423" s="34" t="n"/>
      <c r="AC423" s="34" t="n"/>
      <c r="AD423" s="34" t="n"/>
      <c r="AE423" s="34" t="n"/>
      <c r="AF423" s="34" t="n"/>
      <c r="AG423" s="34" t="n"/>
      <c r="AH423" s="34" t="n"/>
      <c r="AK423" s="34" t="n"/>
      <c r="AL423" s="34" t="n"/>
      <c r="AM423" s="39" t="n"/>
      <c r="AN423" s="34" t="n"/>
      <c r="AO423" s="34" t="n"/>
      <c r="AP423" s="34" t="n"/>
      <c r="AQ423" s="34" t="n"/>
      <c r="AR423" s="34" t="n"/>
      <c r="AS423" s="34" t="n"/>
      <c r="AU423" s="34" t="n"/>
      <c r="AV423" s="34" t="n"/>
      <c r="AW423" s="34" t="n"/>
      <c r="AX423" s="34" t="n"/>
      <c r="AY423" s="34" t="n"/>
      <c r="AZ423" s="34" t="n"/>
      <c r="BA423" s="34" t="n"/>
      <c r="BB423" s="34" t="n"/>
      <c r="BC423" s="34" t="n"/>
      <c r="BD423" s="34" t="n"/>
      <c r="BE423" s="34" t="n"/>
      <c r="BF423" s="34" t="n"/>
      <c r="BG423" s="34" t="n"/>
      <c r="BH423" s="34" t="n"/>
      <c r="BI423" s="34" t="n"/>
      <c r="BJ423" s="34" t="n"/>
      <c r="BK423" s="34" t="n"/>
      <c r="BL423" s="34" t="n"/>
      <c r="BM423" s="34" t="n"/>
      <c r="BN423" s="34" t="n"/>
      <c r="BO423" s="34" t="n"/>
      <c r="BP423" s="34" t="n"/>
      <c r="BQ423" s="34" t="n"/>
      <c r="BR423" s="82" t="n"/>
      <c r="BS423" s="34" t="n"/>
      <c r="BT423" s="34" t="n"/>
      <c r="BU423" s="34" t="n"/>
      <c r="BV423" s="34" t="n"/>
      <c r="BW423" s="34" t="n"/>
      <c r="BX423" s="34" t="n"/>
      <c r="BY423" s="34" t="n"/>
      <c r="BZ423" s="34" t="n"/>
      <c r="CA423" s="34" t="n"/>
      <c r="CB423" s="33" t="n"/>
      <c r="CC423" s="34" t="n"/>
      <c r="CD423" s="34" t="n"/>
      <c r="CE423" s="82" t="n"/>
      <c r="CF423" s="34" t="n"/>
      <c r="CG423" s="34" t="n"/>
      <c r="CH423" s="34" t="n"/>
      <c r="CI423" s="34" t="n"/>
      <c r="CJ423" s="34" t="n"/>
    </row>
    <row r="424">
      <c r="A424" s="29" t="n"/>
      <c r="B424" s="29" t="n"/>
      <c r="C424" s="35" t="n"/>
      <c r="D424" s="36" t="n"/>
      <c r="E424" s="147" t="n"/>
      <c r="F424" s="30" t="n"/>
      <c r="G424" s="30" t="n"/>
      <c r="H424" s="30" t="n"/>
      <c r="I424" s="30" t="n"/>
      <c r="J424" s="119" t="n"/>
      <c r="K424" s="34" t="n"/>
      <c r="L424" s="119" t="n"/>
      <c r="M424" s="34" t="n"/>
      <c r="N424" s="119" t="n"/>
      <c r="O424" s="34" t="n"/>
      <c r="P424" s="34" t="n"/>
      <c r="Q424" s="117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  <c r="AA424" s="34" t="n"/>
      <c r="AB424" s="34" t="n"/>
      <c r="AC424" s="34" t="n"/>
      <c r="AD424" s="34" t="n"/>
      <c r="AE424" s="34" t="n"/>
      <c r="AF424" s="34" t="n"/>
      <c r="AG424" s="34" t="n"/>
      <c r="AH424" s="34" t="n"/>
      <c r="AK424" s="34" t="n"/>
      <c r="AL424" s="34" t="n"/>
      <c r="AM424" s="39" t="n"/>
      <c r="AN424" s="34" t="n"/>
      <c r="AO424" s="34" t="n"/>
      <c r="AP424" s="34" t="n"/>
      <c r="AQ424" s="34" t="n"/>
      <c r="AR424" s="34" t="n"/>
      <c r="AS424" s="34" t="n"/>
      <c r="AU424" s="34" t="n"/>
      <c r="AV424" s="34" t="n"/>
      <c r="AW424" s="34" t="n"/>
      <c r="AX424" s="34" t="n"/>
      <c r="AY424" s="34" t="n"/>
      <c r="AZ424" s="34" t="n"/>
      <c r="BA424" s="34" t="n"/>
      <c r="BB424" s="34" t="n"/>
      <c r="BC424" s="34" t="n"/>
      <c r="BD424" s="34" t="n"/>
      <c r="BE424" s="34" t="n"/>
      <c r="BF424" s="34" t="n"/>
      <c r="BG424" s="34" t="n"/>
      <c r="BH424" s="34" t="n"/>
      <c r="BI424" s="34" t="n"/>
      <c r="BJ424" s="34" t="n"/>
      <c r="BK424" s="34" t="n"/>
      <c r="BL424" s="34" t="n"/>
      <c r="BM424" s="34" t="n"/>
      <c r="BN424" s="34" t="n"/>
      <c r="BO424" s="34" t="n"/>
      <c r="BP424" s="34" t="n"/>
      <c r="BQ424" s="34" t="n"/>
      <c r="BR424" s="82" t="n"/>
      <c r="BS424" s="34" t="n"/>
      <c r="BT424" s="34" t="n"/>
      <c r="BU424" s="34" t="n"/>
      <c r="BV424" s="34" t="n"/>
      <c r="BW424" s="34" t="n"/>
      <c r="BX424" s="34" t="n"/>
      <c r="BY424" s="34" t="n"/>
      <c r="BZ424" s="34" t="n"/>
      <c r="CA424" s="34" t="n"/>
      <c r="CB424" s="33" t="n"/>
      <c r="CC424" s="34" t="n"/>
      <c r="CD424" s="34" t="n"/>
      <c r="CE424" s="82" t="n"/>
      <c r="CF424" s="34" t="n"/>
      <c r="CG424" s="34" t="n"/>
      <c r="CH424" s="34" t="n"/>
      <c r="CI424" s="34" t="n"/>
      <c r="CJ424" s="34" t="n"/>
    </row>
    <row r="425">
      <c r="A425" s="29" t="n"/>
      <c r="B425" s="29" t="n"/>
      <c r="C425" s="35" t="n"/>
      <c r="D425" s="36" t="n"/>
      <c r="E425" s="147" t="n"/>
      <c r="F425" s="30" t="n"/>
      <c r="G425" s="30" t="n"/>
      <c r="H425" s="30" t="n"/>
      <c r="I425" s="30" t="n"/>
      <c r="J425" s="119" t="n"/>
      <c r="K425" s="34" t="n"/>
      <c r="L425" s="119" t="n"/>
      <c r="M425" s="34" t="n"/>
      <c r="N425" s="119" t="n"/>
      <c r="O425" s="34" t="n"/>
      <c r="P425" s="34" t="n"/>
      <c r="Q425" s="117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  <c r="AA425" s="34" t="n"/>
      <c r="AB425" s="34" t="n"/>
      <c r="AC425" s="34" t="n"/>
      <c r="AD425" s="34" t="n"/>
      <c r="AE425" s="34" t="n"/>
      <c r="AF425" s="34" t="n"/>
      <c r="AG425" s="34" t="n"/>
      <c r="AH425" s="34" t="n"/>
      <c r="AK425" s="34" t="n"/>
      <c r="AL425" s="34" t="n"/>
      <c r="AM425" s="39" t="n"/>
      <c r="AN425" s="34" t="n"/>
      <c r="AO425" s="34" t="n"/>
      <c r="AP425" s="34" t="n"/>
      <c r="AQ425" s="34" t="n"/>
      <c r="AR425" s="34" t="n"/>
      <c r="AS425" s="34" t="n"/>
      <c r="AU425" s="34" t="n"/>
      <c r="AV425" s="34" t="n"/>
      <c r="AW425" s="34" t="n"/>
      <c r="AX425" s="34" t="n"/>
      <c r="AY425" s="34" t="n"/>
      <c r="AZ425" s="34" t="n"/>
      <c r="BA425" s="34" t="n"/>
      <c r="BB425" s="34" t="n"/>
      <c r="BC425" s="34" t="n"/>
      <c r="BD425" s="34" t="n"/>
      <c r="BE425" s="34" t="n"/>
      <c r="BF425" s="34" t="n"/>
      <c r="BG425" s="34" t="n"/>
      <c r="BH425" s="34" t="n"/>
      <c r="BI425" s="34" t="n"/>
      <c r="BJ425" s="34" t="n"/>
      <c r="BK425" s="34" t="n"/>
      <c r="BL425" s="34" t="n"/>
      <c r="BM425" s="34" t="n"/>
      <c r="BN425" s="34" t="n"/>
      <c r="BO425" s="34" t="n"/>
      <c r="BP425" s="34" t="n"/>
      <c r="BQ425" s="34" t="n"/>
      <c r="BR425" s="82" t="n"/>
      <c r="BS425" s="34" t="n"/>
      <c r="BT425" s="34" t="n"/>
      <c r="BU425" s="34" t="n"/>
      <c r="BV425" s="34" t="n"/>
      <c r="BW425" s="34" t="n"/>
      <c r="BX425" s="34" t="n"/>
      <c r="BY425" s="34" t="n"/>
      <c r="BZ425" s="34" t="n"/>
      <c r="CA425" s="34" t="n"/>
      <c r="CB425" s="33" t="n"/>
      <c r="CC425" s="34" t="n"/>
      <c r="CD425" s="34" t="n"/>
      <c r="CE425" s="82" t="n"/>
      <c r="CF425" s="34" t="n"/>
      <c r="CG425" s="34" t="n"/>
      <c r="CH425" s="34" t="n"/>
      <c r="CI425" s="34" t="n"/>
      <c r="CJ425" s="34" t="n"/>
    </row>
    <row r="426">
      <c r="A426" s="29" t="n"/>
      <c r="B426" s="29" t="n"/>
      <c r="C426" s="35" t="n"/>
      <c r="D426" s="36" t="n"/>
      <c r="E426" s="147" t="n"/>
      <c r="F426" s="30" t="n"/>
      <c r="G426" s="30" t="n"/>
      <c r="H426" s="30" t="n"/>
      <c r="I426" s="30" t="n"/>
      <c r="J426" s="119" t="n"/>
      <c r="K426" s="34" t="n"/>
      <c r="L426" s="119" t="n"/>
      <c r="M426" s="34" t="n"/>
      <c r="N426" s="119" t="n"/>
      <c r="O426" s="34" t="n"/>
      <c r="P426" s="34" t="n"/>
      <c r="Q426" s="117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  <c r="AA426" s="34" t="n"/>
      <c r="AB426" s="34" t="n"/>
      <c r="AC426" s="34" t="n"/>
      <c r="AD426" s="34" t="n"/>
      <c r="AE426" s="34" t="n"/>
      <c r="AF426" s="34" t="n"/>
      <c r="AG426" s="34" t="n"/>
      <c r="AH426" s="34" t="n"/>
      <c r="AK426" s="34" t="n"/>
      <c r="AL426" s="34" t="n"/>
      <c r="AM426" s="39" t="n"/>
      <c r="AN426" s="34" t="n"/>
      <c r="AO426" s="34" t="n"/>
      <c r="AP426" s="34" t="n"/>
      <c r="AQ426" s="34" t="n"/>
      <c r="AR426" s="34" t="n"/>
      <c r="AS426" s="34" t="n"/>
      <c r="AU426" s="34" t="n"/>
      <c r="AV426" s="34" t="n"/>
      <c r="AW426" s="34" t="n"/>
      <c r="AX426" s="34" t="n"/>
      <c r="AY426" s="34" t="n"/>
      <c r="AZ426" s="34" t="n"/>
      <c r="BA426" s="34" t="n"/>
      <c r="BB426" s="34" t="n"/>
      <c r="BC426" s="34" t="n"/>
      <c r="BD426" s="34" t="n"/>
      <c r="BE426" s="34" t="n"/>
      <c r="BF426" s="34" t="n"/>
      <c r="BG426" s="34" t="n"/>
      <c r="BH426" s="34" t="n"/>
      <c r="BI426" s="34" t="n"/>
      <c r="BJ426" s="34" t="n"/>
      <c r="BK426" s="34" t="n"/>
      <c r="BL426" s="34" t="n"/>
      <c r="BM426" s="34" t="n"/>
      <c r="BN426" s="34" t="n"/>
      <c r="BO426" s="34" t="n"/>
      <c r="BP426" s="34" t="n"/>
      <c r="BQ426" s="34" t="n"/>
      <c r="BR426" s="82" t="n"/>
      <c r="BS426" s="34" t="n"/>
      <c r="BT426" s="34" t="n"/>
      <c r="BU426" s="34" t="n"/>
      <c r="BV426" s="34" t="n"/>
      <c r="BW426" s="34" t="n"/>
      <c r="BX426" s="34" t="n"/>
      <c r="BY426" s="34" t="n"/>
      <c r="BZ426" s="34" t="n"/>
      <c r="CA426" s="34" t="n"/>
      <c r="CB426" s="33" t="n"/>
      <c r="CC426" s="34" t="n"/>
      <c r="CD426" s="34" t="n"/>
      <c r="CE426" s="82" t="n"/>
      <c r="CF426" s="34" t="n"/>
      <c r="CG426" s="34" t="n"/>
      <c r="CH426" s="34" t="n"/>
      <c r="CI426" s="34" t="n"/>
      <c r="CJ426" s="34" t="n"/>
    </row>
    <row r="427">
      <c r="A427" s="29" t="n"/>
      <c r="B427" s="29" t="n"/>
      <c r="C427" s="35" t="n"/>
      <c r="D427" s="36" t="n"/>
      <c r="E427" s="147" t="n"/>
      <c r="F427" s="30" t="n"/>
      <c r="G427" s="30" t="n"/>
      <c r="H427" s="30" t="n"/>
      <c r="I427" s="30" t="n"/>
      <c r="J427" s="119" t="n"/>
      <c r="K427" s="34" t="n"/>
      <c r="L427" s="119" t="n"/>
      <c r="M427" s="34" t="n"/>
      <c r="N427" s="119" t="n"/>
      <c r="O427" s="34" t="n"/>
      <c r="P427" s="34" t="n"/>
      <c r="Q427" s="117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  <c r="AA427" s="34" t="n"/>
      <c r="AB427" s="34" t="n"/>
      <c r="AC427" s="34" t="n"/>
      <c r="AD427" s="34" t="n"/>
      <c r="AE427" s="34" t="n"/>
      <c r="AF427" s="34" t="n"/>
      <c r="AG427" s="34" t="n"/>
      <c r="AH427" s="34" t="n"/>
      <c r="AK427" s="34" t="n"/>
      <c r="AL427" s="34" t="n"/>
      <c r="AM427" s="39" t="n"/>
      <c r="AN427" s="34" t="n"/>
      <c r="AO427" s="34" t="n"/>
      <c r="AP427" s="34" t="n"/>
      <c r="AQ427" s="34" t="n"/>
      <c r="AR427" s="34" t="n"/>
      <c r="AS427" s="34" t="n"/>
      <c r="AU427" s="34" t="n"/>
      <c r="AV427" s="34" t="n"/>
      <c r="AW427" s="34" t="n"/>
      <c r="AX427" s="34" t="n"/>
      <c r="AY427" s="34" t="n"/>
      <c r="AZ427" s="34" t="n"/>
      <c r="BA427" s="34" t="n"/>
      <c r="BB427" s="34" t="n"/>
      <c r="BC427" s="34" t="n"/>
      <c r="BD427" s="34" t="n"/>
      <c r="BE427" s="34" t="n"/>
      <c r="BF427" s="34" t="n"/>
      <c r="BG427" s="34" t="n"/>
      <c r="BH427" s="34" t="n"/>
      <c r="BI427" s="34" t="n"/>
      <c r="BJ427" s="34" t="n"/>
      <c r="BK427" s="34" t="n"/>
      <c r="BL427" s="34" t="n"/>
      <c r="BM427" s="34" t="n"/>
      <c r="BN427" s="34" t="n"/>
      <c r="BO427" s="34" t="n"/>
      <c r="BP427" s="34" t="n"/>
      <c r="BQ427" s="34" t="n"/>
      <c r="BR427" s="82" t="n"/>
      <c r="BS427" s="34" t="n"/>
      <c r="BT427" s="34" t="n"/>
      <c r="BU427" s="34" t="n"/>
      <c r="BV427" s="34" t="n"/>
      <c r="BW427" s="34" t="n"/>
      <c r="BX427" s="34" t="n"/>
      <c r="BY427" s="34" t="n"/>
      <c r="BZ427" s="34" t="n"/>
      <c r="CA427" s="34" t="n"/>
      <c r="CB427" s="33" t="n"/>
      <c r="CC427" s="34" t="n"/>
      <c r="CD427" s="34" t="n"/>
      <c r="CE427" s="82" t="n"/>
      <c r="CF427" s="34" t="n"/>
      <c r="CG427" s="34" t="n"/>
      <c r="CH427" s="34" t="n"/>
      <c r="CI427" s="34" t="n"/>
      <c r="CJ427" s="34" t="n"/>
    </row>
    <row r="428">
      <c r="A428" s="29" t="n"/>
      <c r="B428" s="29" t="n"/>
      <c r="C428" s="35" t="n"/>
      <c r="D428" s="36" t="n"/>
      <c r="E428" s="147" t="n"/>
      <c r="F428" s="30" t="n"/>
      <c r="G428" s="30" t="n"/>
      <c r="H428" s="30" t="n"/>
      <c r="I428" s="30" t="n"/>
      <c r="J428" s="119" t="n"/>
      <c r="K428" s="34" t="n"/>
      <c r="L428" s="119" t="n"/>
      <c r="M428" s="34" t="n"/>
      <c r="N428" s="119" t="n"/>
      <c r="O428" s="34" t="n"/>
      <c r="P428" s="34" t="n"/>
      <c r="Q428" s="117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  <c r="AA428" s="34" t="n"/>
      <c r="AB428" s="34" t="n"/>
      <c r="AC428" s="34" t="n"/>
      <c r="AD428" s="34" t="n"/>
      <c r="AE428" s="34" t="n"/>
      <c r="AF428" s="34" t="n"/>
      <c r="AG428" s="34" t="n"/>
      <c r="AH428" s="34" t="n"/>
      <c r="AK428" s="34" t="n"/>
      <c r="AL428" s="34" t="n"/>
      <c r="AM428" s="39" t="n"/>
      <c r="AN428" s="34" t="n"/>
      <c r="AO428" s="34" t="n"/>
      <c r="AP428" s="34" t="n"/>
      <c r="AQ428" s="34" t="n"/>
      <c r="AR428" s="34" t="n"/>
      <c r="AS428" s="34" t="n"/>
      <c r="AU428" s="34" t="n"/>
      <c r="AV428" s="34" t="n"/>
      <c r="AW428" s="34" t="n"/>
      <c r="AX428" s="34" t="n"/>
      <c r="AY428" s="34" t="n"/>
      <c r="AZ428" s="34" t="n"/>
      <c r="BA428" s="34" t="n"/>
      <c r="BB428" s="34" t="n"/>
      <c r="BC428" s="34" t="n"/>
      <c r="BD428" s="34" t="n"/>
      <c r="BE428" s="34" t="n"/>
      <c r="BF428" s="34" t="n"/>
      <c r="BG428" s="34" t="n"/>
      <c r="BH428" s="34" t="n"/>
      <c r="BI428" s="34" t="n"/>
      <c r="BJ428" s="34" t="n"/>
      <c r="BK428" s="34" t="n"/>
      <c r="BL428" s="34" t="n"/>
      <c r="BM428" s="34" t="n"/>
      <c r="BN428" s="34" t="n"/>
      <c r="BO428" s="34" t="n"/>
      <c r="BP428" s="34" t="n"/>
      <c r="BQ428" s="34" t="n"/>
      <c r="BR428" s="82" t="n"/>
      <c r="BS428" s="34" t="n"/>
      <c r="BT428" s="34" t="n"/>
      <c r="BU428" s="34" t="n"/>
      <c r="BV428" s="34" t="n"/>
      <c r="BW428" s="34" t="n"/>
      <c r="BX428" s="34" t="n"/>
      <c r="BY428" s="34" t="n"/>
      <c r="BZ428" s="34" t="n"/>
      <c r="CA428" s="34" t="n"/>
      <c r="CB428" s="33" t="n"/>
      <c r="CC428" s="34" t="n"/>
      <c r="CD428" s="34" t="n"/>
      <c r="CE428" s="82" t="n"/>
      <c r="CF428" s="34" t="n"/>
      <c r="CG428" s="34" t="n"/>
      <c r="CH428" s="34" t="n"/>
      <c r="CI428" s="34" t="n"/>
      <c r="CJ428" s="34" t="n"/>
    </row>
    <row r="429">
      <c r="A429" s="29" t="n"/>
      <c r="B429" s="29" t="n"/>
      <c r="C429" s="35" t="n"/>
      <c r="D429" s="36" t="n"/>
      <c r="E429" s="147" t="n"/>
      <c r="F429" s="30" t="n"/>
      <c r="G429" s="30" t="n"/>
      <c r="H429" s="30" t="n"/>
      <c r="I429" s="30" t="n"/>
      <c r="J429" s="119" t="n"/>
      <c r="K429" s="34" t="n"/>
      <c r="L429" s="119" t="n"/>
      <c r="M429" s="34" t="n"/>
      <c r="N429" s="119" t="n"/>
      <c r="O429" s="34" t="n"/>
      <c r="P429" s="34" t="n"/>
      <c r="Q429" s="117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  <c r="AA429" s="34" t="n"/>
      <c r="AB429" s="34" t="n"/>
      <c r="AC429" s="34" t="n"/>
      <c r="AD429" s="34" t="n"/>
      <c r="AE429" s="34" t="n"/>
      <c r="AF429" s="34" t="n"/>
      <c r="AG429" s="34" t="n"/>
      <c r="AH429" s="34" t="n"/>
      <c r="AK429" s="34" t="n"/>
      <c r="AL429" s="34" t="n"/>
      <c r="AM429" s="39" t="n"/>
      <c r="AN429" s="34" t="n"/>
      <c r="AO429" s="34" t="n"/>
      <c r="AP429" s="34" t="n"/>
      <c r="AQ429" s="34" t="n"/>
      <c r="AR429" s="34" t="n"/>
      <c r="AS429" s="34" t="n"/>
      <c r="AU429" s="34" t="n"/>
      <c r="AV429" s="34" t="n"/>
      <c r="AW429" s="34" t="n"/>
      <c r="AX429" s="34" t="n"/>
      <c r="AY429" s="34" t="n"/>
      <c r="AZ429" s="34" t="n"/>
      <c r="BA429" s="34" t="n"/>
      <c r="BB429" s="34" t="n"/>
      <c r="BC429" s="34" t="n"/>
      <c r="BD429" s="34" t="n"/>
      <c r="BE429" s="34" t="n"/>
      <c r="BF429" s="34" t="n"/>
      <c r="BG429" s="34" t="n"/>
      <c r="BH429" s="34" t="n"/>
      <c r="BI429" s="34" t="n"/>
      <c r="BJ429" s="34" t="n"/>
      <c r="BK429" s="34" t="n"/>
      <c r="BL429" s="34" t="n"/>
      <c r="BM429" s="34" t="n"/>
      <c r="BN429" s="34" t="n"/>
      <c r="BO429" s="34" t="n"/>
      <c r="BP429" s="34" t="n"/>
      <c r="BQ429" s="34" t="n"/>
      <c r="BR429" s="82" t="n"/>
      <c r="BS429" s="34" t="n"/>
      <c r="BT429" s="34" t="n"/>
      <c r="BU429" s="34" t="n"/>
      <c r="BV429" s="34" t="n"/>
      <c r="BW429" s="34" t="n"/>
      <c r="BX429" s="34" t="n"/>
      <c r="BY429" s="34" t="n"/>
      <c r="BZ429" s="34" t="n"/>
      <c r="CA429" s="34" t="n"/>
      <c r="CB429" s="33" t="n"/>
      <c r="CC429" s="34" t="n"/>
      <c r="CD429" s="34" t="n"/>
      <c r="CE429" s="82" t="n"/>
      <c r="CF429" s="34" t="n"/>
      <c r="CG429" s="34" t="n"/>
      <c r="CH429" s="34" t="n"/>
      <c r="CI429" s="34" t="n"/>
      <c r="CJ429" s="34" t="n"/>
    </row>
    <row r="430">
      <c r="A430" s="29" t="n"/>
      <c r="B430" s="29" t="n"/>
      <c r="C430" s="35" t="n"/>
      <c r="D430" s="36" t="n"/>
      <c r="E430" s="147" t="n"/>
      <c r="F430" s="30" t="n"/>
      <c r="G430" s="30" t="n"/>
      <c r="H430" s="30" t="n"/>
      <c r="I430" s="30" t="n"/>
      <c r="J430" s="119" t="n"/>
      <c r="K430" s="34" t="n"/>
      <c r="L430" s="119" t="n"/>
      <c r="M430" s="34" t="n"/>
      <c r="N430" s="119" t="n"/>
      <c r="O430" s="34" t="n"/>
      <c r="P430" s="34" t="n"/>
      <c r="Q430" s="117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  <c r="AA430" s="34" t="n"/>
      <c r="AB430" s="34" t="n"/>
      <c r="AC430" s="34" t="n"/>
      <c r="AD430" s="34" t="n"/>
      <c r="AE430" s="34" t="n"/>
      <c r="AF430" s="34" t="n"/>
      <c r="AG430" s="34" t="n"/>
      <c r="AH430" s="34" t="n"/>
      <c r="AK430" s="34" t="n"/>
      <c r="AL430" s="34" t="n"/>
      <c r="AM430" s="39" t="n"/>
      <c r="AN430" s="34" t="n"/>
      <c r="AO430" s="34" t="n"/>
      <c r="AP430" s="34" t="n"/>
      <c r="AQ430" s="34" t="n"/>
      <c r="AR430" s="34" t="n"/>
      <c r="AS430" s="34" t="n"/>
      <c r="AU430" s="34" t="n"/>
      <c r="AV430" s="34" t="n"/>
      <c r="AW430" s="34" t="n"/>
      <c r="AX430" s="34" t="n"/>
      <c r="AY430" s="34" t="n"/>
      <c r="AZ430" s="34" t="n"/>
      <c r="BA430" s="34" t="n"/>
      <c r="BB430" s="34" t="n"/>
      <c r="BC430" s="34" t="n"/>
      <c r="BD430" s="34" t="n"/>
      <c r="BE430" s="34" t="n"/>
      <c r="BF430" s="34" t="n"/>
      <c r="BG430" s="34" t="n"/>
      <c r="BH430" s="34" t="n"/>
      <c r="BI430" s="34" t="n"/>
      <c r="BJ430" s="34" t="n"/>
      <c r="BK430" s="34" t="n"/>
      <c r="BL430" s="34" t="n"/>
      <c r="BM430" s="34" t="n"/>
      <c r="BN430" s="34" t="n"/>
      <c r="BO430" s="34" t="n"/>
      <c r="BP430" s="34" t="n"/>
      <c r="BQ430" s="34" t="n"/>
      <c r="BR430" s="82" t="n"/>
      <c r="BS430" s="34" t="n"/>
      <c r="BT430" s="34" t="n"/>
      <c r="BU430" s="34" t="n"/>
      <c r="BV430" s="34" t="n"/>
      <c r="BW430" s="34" t="n"/>
      <c r="BX430" s="34" t="n"/>
      <c r="BY430" s="34" t="n"/>
      <c r="BZ430" s="34" t="n"/>
      <c r="CA430" s="34" t="n"/>
      <c r="CB430" s="33" t="n"/>
      <c r="CC430" s="34" t="n"/>
      <c r="CD430" s="34" t="n"/>
      <c r="CE430" s="82" t="n"/>
      <c r="CF430" s="34" t="n"/>
      <c r="CG430" s="34" t="n"/>
      <c r="CH430" s="34" t="n"/>
      <c r="CI430" s="34" t="n"/>
      <c r="CJ430" s="34" t="n"/>
    </row>
    <row r="431">
      <c r="A431" s="29" t="n"/>
      <c r="B431" s="29" t="n"/>
      <c r="C431" s="35" t="n"/>
      <c r="D431" s="36" t="n"/>
      <c r="E431" s="147" t="n"/>
      <c r="F431" s="30" t="n"/>
      <c r="G431" s="30" t="n"/>
      <c r="H431" s="30" t="n"/>
      <c r="I431" s="30" t="n"/>
      <c r="J431" s="119" t="n"/>
      <c r="K431" s="34" t="n"/>
      <c r="L431" s="119" t="n"/>
      <c r="M431" s="34" t="n"/>
      <c r="N431" s="119" t="n"/>
      <c r="O431" s="34" t="n"/>
      <c r="P431" s="34" t="n"/>
      <c r="Q431" s="117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  <c r="AA431" s="34" t="n"/>
      <c r="AB431" s="34" t="n"/>
      <c r="AC431" s="34" t="n"/>
      <c r="AD431" s="34" t="n"/>
      <c r="AE431" s="34" t="n"/>
      <c r="AF431" s="34" t="n"/>
      <c r="AG431" s="34" t="n"/>
      <c r="AH431" s="34" t="n"/>
      <c r="AK431" s="34" t="n"/>
      <c r="AL431" s="34" t="n"/>
      <c r="AM431" s="39" t="n"/>
      <c r="AN431" s="34" t="n"/>
      <c r="AO431" s="34" t="n"/>
      <c r="AP431" s="34" t="n"/>
      <c r="AQ431" s="34" t="n"/>
      <c r="AR431" s="34" t="n"/>
      <c r="AS431" s="34" t="n"/>
      <c r="AU431" s="34" t="n"/>
      <c r="AV431" s="34" t="n"/>
      <c r="AW431" s="34" t="n"/>
      <c r="AX431" s="34" t="n"/>
      <c r="AY431" s="34" t="n"/>
      <c r="AZ431" s="34" t="n"/>
      <c r="BA431" s="34" t="n"/>
      <c r="BB431" s="34" t="n"/>
      <c r="BC431" s="34" t="n"/>
      <c r="BD431" s="34" t="n"/>
      <c r="BE431" s="34" t="n"/>
      <c r="BF431" s="34" t="n"/>
      <c r="BG431" s="34" t="n"/>
      <c r="BH431" s="34" t="n"/>
      <c r="BI431" s="34" t="n"/>
      <c r="BJ431" s="34" t="n"/>
      <c r="BK431" s="34" t="n"/>
      <c r="BL431" s="34" t="n"/>
      <c r="BM431" s="34" t="n"/>
      <c r="BN431" s="34" t="n"/>
      <c r="BO431" s="34" t="n"/>
      <c r="BP431" s="34" t="n"/>
      <c r="BQ431" s="34" t="n"/>
      <c r="BR431" s="82" t="n"/>
      <c r="BS431" s="34" t="n"/>
      <c r="BT431" s="34" t="n"/>
      <c r="BU431" s="34" t="n"/>
      <c r="BV431" s="34" t="n"/>
      <c r="BW431" s="34" t="n"/>
      <c r="BX431" s="34" t="n"/>
      <c r="BY431" s="34" t="n"/>
      <c r="BZ431" s="34" t="n"/>
      <c r="CA431" s="34" t="n"/>
      <c r="CB431" s="33" t="n"/>
      <c r="CC431" s="34" t="n"/>
      <c r="CD431" s="34" t="n"/>
      <c r="CE431" s="82" t="n"/>
      <c r="CF431" s="34" t="n"/>
      <c r="CG431" s="34" t="n"/>
      <c r="CH431" s="34" t="n"/>
      <c r="CI431" s="34" t="n"/>
      <c r="CJ431" s="34" t="n"/>
    </row>
    <row r="432">
      <c r="A432" s="29" t="n"/>
      <c r="B432" s="29" t="n"/>
      <c r="C432" s="35" t="n"/>
      <c r="D432" s="36" t="n"/>
      <c r="E432" s="147" t="n"/>
      <c r="F432" s="30" t="n"/>
      <c r="G432" s="30" t="n"/>
      <c r="H432" s="30" t="n"/>
      <c r="I432" s="30" t="n"/>
      <c r="J432" s="119" t="n"/>
      <c r="K432" s="34" t="n"/>
      <c r="L432" s="119" t="n"/>
      <c r="M432" s="34" t="n"/>
      <c r="N432" s="119" t="n"/>
      <c r="O432" s="34" t="n"/>
      <c r="P432" s="34" t="n"/>
      <c r="Q432" s="117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  <c r="AA432" s="34" t="n"/>
      <c r="AB432" s="34" t="n"/>
      <c r="AC432" s="34" t="n"/>
      <c r="AD432" s="34" t="n"/>
      <c r="AE432" s="34" t="n"/>
      <c r="AF432" s="34" t="n"/>
      <c r="AG432" s="34" t="n"/>
      <c r="AH432" s="34" t="n"/>
      <c r="AK432" s="34" t="n"/>
      <c r="AL432" s="34" t="n"/>
      <c r="AM432" s="39" t="n"/>
      <c r="AN432" s="34" t="n"/>
      <c r="AO432" s="34" t="n"/>
      <c r="AP432" s="34" t="n"/>
      <c r="AQ432" s="34" t="n"/>
      <c r="AR432" s="34" t="n"/>
      <c r="AS432" s="34" t="n"/>
      <c r="AU432" s="34" t="n"/>
      <c r="AV432" s="34" t="n"/>
      <c r="AW432" s="34" t="n"/>
      <c r="AX432" s="34" t="n"/>
      <c r="AY432" s="34" t="n"/>
      <c r="AZ432" s="34" t="n"/>
      <c r="BA432" s="34" t="n"/>
      <c r="BB432" s="34" t="n"/>
      <c r="BC432" s="34" t="n"/>
      <c r="BD432" s="34" t="n"/>
      <c r="BE432" s="34" t="n"/>
      <c r="BF432" s="34" t="n"/>
      <c r="BG432" s="34" t="n"/>
      <c r="BH432" s="34" t="n"/>
      <c r="BI432" s="34" t="n"/>
      <c r="BJ432" s="34" t="n"/>
      <c r="BK432" s="34" t="n"/>
      <c r="BL432" s="34" t="n"/>
      <c r="BM432" s="34" t="n"/>
      <c r="BN432" s="34" t="n"/>
      <c r="BO432" s="34" t="n"/>
      <c r="BP432" s="34" t="n"/>
      <c r="BQ432" s="34" t="n"/>
      <c r="BR432" s="82" t="n"/>
      <c r="BS432" s="34" t="n"/>
      <c r="BT432" s="34" t="n"/>
      <c r="BU432" s="34" t="n"/>
      <c r="BV432" s="34" t="n"/>
      <c r="BW432" s="34" t="n"/>
      <c r="BX432" s="34" t="n"/>
      <c r="BY432" s="34" t="n"/>
      <c r="BZ432" s="34" t="n"/>
      <c r="CA432" s="34" t="n"/>
      <c r="CB432" s="33" t="n"/>
      <c r="CC432" s="34" t="n"/>
      <c r="CD432" s="34" t="n"/>
      <c r="CE432" s="82" t="n"/>
      <c r="CF432" s="34" t="n"/>
      <c r="CG432" s="34" t="n"/>
      <c r="CH432" s="34" t="n"/>
      <c r="CI432" s="34" t="n"/>
      <c r="CJ432" s="34" t="n"/>
    </row>
    <row r="433">
      <c r="A433" s="29" t="n"/>
      <c r="B433" s="29" t="n"/>
      <c r="C433" s="35" t="n"/>
      <c r="D433" s="36" t="n"/>
      <c r="E433" s="147" t="n"/>
      <c r="F433" s="30" t="n"/>
      <c r="G433" s="30" t="n"/>
      <c r="H433" s="30" t="n"/>
      <c r="I433" s="30" t="n"/>
      <c r="J433" s="119" t="n"/>
      <c r="K433" s="34" t="n"/>
      <c r="L433" s="119" t="n"/>
      <c r="M433" s="34" t="n"/>
      <c r="N433" s="119" t="n"/>
      <c r="O433" s="34" t="n"/>
      <c r="P433" s="34" t="n"/>
      <c r="Q433" s="117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  <c r="AA433" s="34" t="n"/>
      <c r="AB433" s="34" t="n"/>
      <c r="AC433" s="34" t="n"/>
      <c r="AD433" s="34" t="n"/>
      <c r="AE433" s="34" t="n"/>
      <c r="AF433" s="34" t="n"/>
      <c r="AG433" s="34" t="n"/>
      <c r="AH433" s="34" t="n"/>
      <c r="AK433" s="34" t="n"/>
      <c r="AL433" s="34" t="n"/>
      <c r="AM433" s="39" t="n"/>
      <c r="AN433" s="34" t="n"/>
      <c r="AO433" s="34" t="n"/>
      <c r="AP433" s="34" t="n"/>
      <c r="AQ433" s="34" t="n"/>
      <c r="AR433" s="34" t="n"/>
      <c r="AS433" s="34" t="n"/>
      <c r="AU433" s="34" t="n"/>
      <c r="AV433" s="34" t="n"/>
      <c r="AW433" s="34" t="n"/>
      <c r="AX433" s="34" t="n"/>
      <c r="AY433" s="34" t="n"/>
      <c r="AZ433" s="34" t="n"/>
      <c r="BA433" s="34" t="n"/>
      <c r="BB433" s="34" t="n"/>
      <c r="BC433" s="34" t="n"/>
      <c r="BD433" s="34" t="n"/>
      <c r="BE433" s="34" t="n"/>
      <c r="BF433" s="34" t="n"/>
      <c r="BG433" s="34" t="n"/>
      <c r="BH433" s="34" t="n"/>
      <c r="BI433" s="34" t="n"/>
      <c r="BJ433" s="34" t="n"/>
      <c r="BK433" s="34" t="n"/>
      <c r="BL433" s="34" t="n"/>
      <c r="BM433" s="34" t="n"/>
      <c r="BN433" s="34" t="n"/>
      <c r="BO433" s="34" t="n"/>
      <c r="BP433" s="34" t="n"/>
      <c r="BQ433" s="34" t="n"/>
      <c r="BR433" s="82" t="n"/>
      <c r="BS433" s="34" t="n"/>
      <c r="BT433" s="34" t="n"/>
      <c r="BU433" s="34" t="n"/>
      <c r="BV433" s="34" t="n"/>
      <c r="BW433" s="34" t="n"/>
      <c r="BX433" s="34" t="n"/>
      <c r="BY433" s="34" t="n"/>
      <c r="BZ433" s="34" t="n"/>
      <c r="CA433" s="34" t="n"/>
      <c r="CB433" s="33" t="n"/>
      <c r="CC433" s="34" t="n"/>
      <c r="CD433" s="34" t="n"/>
      <c r="CE433" s="82" t="n"/>
      <c r="CF433" s="34" t="n"/>
      <c r="CG433" s="34" t="n"/>
      <c r="CH433" s="34" t="n"/>
      <c r="CI433" s="34" t="n"/>
      <c r="CJ433" s="34" t="n"/>
    </row>
    <row r="434">
      <c r="A434" s="29" t="n"/>
      <c r="B434" s="29" t="n"/>
      <c r="C434" s="35" t="n"/>
      <c r="D434" s="36" t="n"/>
      <c r="E434" s="147" t="n"/>
      <c r="F434" s="30" t="n"/>
      <c r="G434" s="30" t="n"/>
      <c r="H434" s="30" t="n"/>
      <c r="I434" s="30" t="n"/>
      <c r="J434" s="119" t="n"/>
      <c r="K434" s="34" t="n"/>
      <c r="L434" s="119" t="n"/>
      <c r="M434" s="34" t="n"/>
      <c r="N434" s="119" t="n"/>
      <c r="O434" s="34" t="n"/>
      <c r="P434" s="34" t="n"/>
      <c r="Q434" s="117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  <c r="AA434" s="34" t="n"/>
      <c r="AB434" s="34" t="n"/>
      <c r="AC434" s="34" t="n"/>
      <c r="AD434" s="34" t="n"/>
      <c r="AE434" s="34" t="n"/>
      <c r="AF434" s="34" t="n"/>
      <c r="AG434" s="34" t="n"/>
      <c r="AH434" s="34" t="n"/>
      <c r="AK434" s="34" t="n"/>
      <c r="AL434" s="34" t="n"/>
      <c r="AM434" s="39" t="n"/>
      <c r="AN434" s="34" t="n"/>
      <c r="AO434" s="34" t="n"/>
      <c r="AP434" s="34" t="n"/>
      <c r="AQ434" s="34" t="n"/>
      <c r="AR434" s="34" t="n"/>
      <c r="AS434" s="34" t="n"/>
      <c r="AU434" s="34" t="n"/>
      <c r="AV434" s="34" t="n"/>
      <c r="AW434" s="34" t="n"/>
      <c r="AX434" s="34" t="n"/>
      <c r="AY434" s="34" t="n"/>
      <c r="AZ434" s="34" t="n"/>
      <c r="BA434" s="34" t="n"/>
      <c r="BB434" s="34" t="n"/>
      <c r="BC434" s="34" t="n"/>
      <c r="BD434" s="34" t="n"/>
      <c r="BE434" s="34" t="n"/>
      <c r="BF434" s="34" t="n"/>
      <c r="BG434" s="34" t="n"/>
      <c r="BH434" s="34" t="n"/>
      <c r="BI434" s="34" t="n"/>
      <c r="BJ434" s="34" t="n"/>
      <c r="BK434" s="34" t="n"/>
      <c r="BL434" s="34" t="n"/>
      <c r="BM434" s="34" t="n"/>
      <c r="BN434" s="34" t="n"/>
      <c r="BO434" s="34" t="n"/>
      <c r="BP434" s="34" t="n"/>
      <c r="BQ434" s="34" t="n"/>
      <c r="BR434" s="82" t="n"/>
      <c r="BS434" s="34" t="n"/>
      <c r="BT434" s="34" t="n"/>
      <c r="BU434" s="34" t="n"/>
      <c r="BV434" s="34" t="n"/>
      <c r="BW434" s="34" t="n"/>
      <c r="BX434" s="34" t="n"/>
      <c r="BY434" s="34" t="n"/>
      <c r="BZ434" s="34" t="n"/>
      <c r="CA434" s="34" t="n"/>
      <c r="CB434" s="33" t="n"/>
      <c r="CC434" s="34" t="n"/>
      <c r="CD434" s="34" t="n"/>
      <c r="CE434" s="82" t="n"/>
      <c r="CF434" s="34" t="n"/>
      <c r="CG434" s="34" t="n"/>
      <c r="CH434" s="34" t="n"/>
      <c r="CI434" s="34" t="n"/>
      <c r="CJ434" s="34" t="n"/>
    </row>
    <row r="435">
      <c r="A435" s="29" t="n"/>
      <c r="B435" s="29" t="n"/>
      <c r="C435" s="35" t="n"/>
      <c r="D435" s="36" t="n"/>
      <c r="E435" s="147" t="n"/>
      <c r="F435" s="30" t="n"/>
      <c r="G435" s="30" t="n"/>
      <c r="H435" s="30" t="n"/>
      <c r="I435" s="30" t="n"/>
      <c r="J435" s="119" t="n"/>
      <c r="K435" s="34" t="n"/>
      <c r="L435" s="119" t="n"/>
      <c r="M435" s="34" t="n"/>
      <c r="N435" s="119" t="n"/>
      <c r="O435" s="34" t="n"/>
      <c r="P435" s="34" t="n"/>
      <c r="Q435" s="117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  <c r="AA435" s="34" t="n"/>
      <c r="AB435" s="34" t="n"/>
      <c r="AC435" s="34" t="n"/>
      <c r="AD435" s="34" t="n"/>
      <c r="AE435" s="34" t="n"/>
      <c r="AF435" s="34" t="n"/>
      <c r="AG435" s="34" t="n"/>
      <c r="AH435" s="34" t="n"/>
      <c r="AK435" s="34" t="n"/>
      <c r="AL435" s="34" t="n"/>
      <c r="AM435" s="39" t="n"/>
      <c r="AN435" s="34" t="n"/>
      <c r="AO435" s="34" t="n"/>
      <c r="AP435" s="34" t="n"/>
      <c r="AQ435" s="34" t="n"/>
      <c r="AR435" s="34" t="n"/>
      <c r="AS435" s="34" t="n"/>
      <c r="AU435" s="34" t="n"/>
      <c r="AV435" s="34" t="n"/>
      <c r="AW435" s="34" t="n"/>
      <c r="AX435" s="34" t="n"/>
      <c r="AY435" s="34" t="n"/>
      <c r="AZ435" s="34" t="n"/>
      <c r="BA435" s="34" t="n"/>
      <c r="BB435" s="34" t="n"/>
      <c r="BC435" s="34" t="n"/>
      <c r="BD435" s="34" t="n"/>
      <c r="BE435" s="34" t="n"/>
      <c r="BF435" s="34" t="n"/>
      <c r="BG435" s="34" t="n"/>
      <c r="BH435" s="34" t="n"/>
      <c r="BI435" s="34" t="n"/>
      <c r="BJ435" s="34" t="n"/>
      <c r="BK435" s="34" t="n"/>
      <c r="BL435" s="34" t="n"/>
      <c r="BM435" s="34" t="n"/>
      <c r="BN435" s="34" t="n"/>
      <c r="BO435" s="34" t="n"/>
      <c r="BP435" s="34" t="n"/>
      <c r="BQ435" s="34" t="n"/>
      <c r="BR435" s="82" t="n"/>
      <c r="BS435" s="34" t="n"/>
      <c r="BT435" s="34" t="n"/>
      <c r="BU435" s="34" t="n"/>
      <c r="BV435" s="34" t="n"/>
      <c r="BW435" s="34" t="n"/>
      <c r="BX435" s="34" t="n"/>
      <c r="BY435" s="34" t="n"/>
      <c r="BZ435" s="34" t="n"/>
      <c r="CA435" s="34" t="n"/>
      <c r="CB435" s="33" t="n"/>
      <c r="CC435" s="34" t="n"/>
      <c r="CD435" s="34" t="n"/>
      <c r="CE435" s="82" t="n"/>
      <c r="CF435" s="34" t="n"/>
      <c r="CG435" s="34" t="n"/>
      <c r="CH435" s="34" t="n"/>
      <c r="CI435" s="34" t="n"/>
      <c r="CJ435" s="34" t="n"/>
    </row>
    <row r="436">
      <c r="A436" s="29" t="n"/>
      <c r="B436" s="29" t="n"/>
      <c r="C436" s="35" t="n"/>
      <c r="D436" s="36" t="n"/>
      <c r="E436" s="147" t="n"/>
      <c r="F436" s="30" t="n"/>
      <c r="G436" s="30" t="n"/>
      <c r="H436" s="30" t="n"/>
      <c r="I436" s="30" t="n"/>
      <c r="J436" s="119" t="n"/>
      <c r="K436" s="34" t="n"/>
      <c r="L436" s="119" t="n"/>
      <c r="M436" s="34" t="n"/>
      <c r="N436" s="119" t="n"/>
      <c r="O436" s="34" t="n"/>
      <c r="P436" s="34" t="n"/>
      <c r="Q436" s="117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  <c r="AA436" s="34" t="n"/>
      <c r="AB436" s="34" t="n"/>
      <c r="AC436" s="34" t="n"/>
      <c r="AD436" s="34" t="n"/>
      <c r="AE436" s="34" t="n"/>
      <c r="AF436" s="34" t="n"/>
      <c r="AG436" s="34" t="n"/>
      <c r="AH436" s="34" t="n"/>
      <c r="AK436" s="34" t="n"/>
      <c r="AL436" s="34" t="n"/>
      <c r="AM436" s="39" t="n"/>
      <c r="AN436" s="34" t="n"/>
      <c r="AO436" s="34" t="n"/>
      <c r="AP436" s="34" t="n"/>
      <c r="AQ436" s="34" t="n"/>
      <c r="AR436" s="34" t="n"/>
      <c r="AS436" s="34" t="n"/>
      <c r="AU436" s="34" t="n"/>
      <c r="AV436" s="34" t="n"/>
      <c r="AW436" s="34" t="n"/>
      <c r="AX436" s="34" t="n"/>
      <c r="AY436" s="34" t="n"/>
      <c r="AZ436" s="34" t="n"/>
      <c r="BA436" s="34" t="n"/>
      <c r="BB436" s="34" t="n"/>
      <c r="BC436" s="34" t="n"/>
      <c r="BD436" s="34" t="n"/>
      <c r="BE436" s="34" t="n"/>
      <c r="BF436" s="34" t="n"/>
      <c r="BG436" s="34" t="n"/>
      <c r="BH436" s="34" t="n"/>
      <c r="BI436" s="34" t="n"/>
      <c r="BJ436" s="34" t="n"/>
      <c r="BK436" s="34" t="n"/>
      <c r="BL436" s="34" t="n"/>
      <c r="BM436" s="34" t="n"/>
      <c r="BN436" s="34" t="n"/>
      <c r="BO436" s="34" t="n"/>
      <c r="BP436" s="34" t="n"/>
      <c r="BQ436" s="34" t="n"/>
      <c r="BR436" s="82" t="n"/>
      <c r="BS436" s="34" t="n"/>
      <c r="BT436" s="34" t="n"/>
      <c r="BU436" s="34" t="n"/>
      <c r="BV436" s="34" t="n"/>
      <c r="BW436" s="34" t="n"/>
      <c r="BX436" s="34" t="n"/>
      <c r="BY436" s="34" t="n"/>
      <c r="BZ436" s="34" t="n"/>
      <c r="CA436" s="34" t="n"/>
      <c r="CB436" s="33" t="n"/>
      <c r="CC436" s="34" t="n"/>
      <c r="CD436" s="34" t="n"/>
      <c r="CE436" s="82" t="n"/>
      <c r="CF436" s="34" t="n"/>
      <c r="CG436" s="34" t="n"/>
      <c r="CH436" s="34" t="n"/>
      <c r="CI436" s="34" t="n"/>
      <c r="CJ436" s="34" t="n"/>
    </row>
    <row r="437">
      <c r="A437" s="29" t="n"/>
      <c r="B437" s="29" t="n"/>
      <c r="C437" s="35" t="n"/>
      <c r="D437" s="36" t="n"/>
      <c r="E437" s="147" t="n"/>
      <c r="F437" s="30" t="n"/>
      <c r="G437" s="30" t="n"/>
      <c r="H437" s="30" t="n"/>
      <c r="I437" s="30" t="n"/>
      <c r="J437" s="119" t="n"/>
      <c r="K437" s="34" t="n"/>
      <c r="L437" s="119" t="n"/>
      <c r="M437" s="34" t="n"/>
      <c r="N437" s="119" t="n"/>
      <c r="O437" s="34" t="n"/>
      <c r="P437" s="34" t="n"/>
      <c r="Q437" s="117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  <c r="AA437" s="34" t="n"/>
      <c r="AB437" s="34" t="n"/>
      <c r="AC437" s="34" t="n"/>
      <c r="AD437" s="34" t="n"/>
      <c r="AE437" s="34" t="n"/>
      <c r="AF437" s="34" t="n"/>
      <c r="AG437" s="34" t="n"/>
      <c r="AH437" s="34" t="n"/>
      <c r="AK437" s="34" t="n"/>
      <c r="AL437" s="34" t="n"/>
      <c r="AM437" s="39" t="n"/>
      <c r="AN437" s="34" t="n"/>
      <c r="AO437" s="34" t="n"/>
      <c r="AP437" s="34" t="n"/>
      <c r="AQ437" s="34" t="n"/>
      <c r="AR437" s="34" t="n"/>
      <c r="AS437" s="34" t="n"/>
      <c r="AU437" s="34" t="n"/>
      <c r="AV437" s="34" t="n"/>
      <c r="AW437" s="34" t="n"/>
      <c r="AX437" s="34" t="n"/>
      <c r="AY437" s="34" t="n"/>
      <c r="AZ437" s="34" t="n"/>
      <c r="BA437" s="34" t="n"/>
      <c r="BB437" s="34" t="n"/>
      <c r="BC437" s="34" t="n"/>
      <c r="BD437" s="34" t="n"/>
      <c r="BE437" s="34" t="n"/>
      <c r="BF437" s="34" t="n"/>
      <c r="BG437" s="34" t="n"/>
      <c r="BH437" s="34" t="n"/>
      <c r="BI437" s="34" t="n"/>
      <c r="BJ437" s="34" t="n"/>
      <c r="BK437" s="34" t="n"/>
      <c r="BL437" s="34" t="n"/>
      <c r="BM437" s="34" t="n"/>
      <c r="BN437" s="34" t="n"/>
      <c r="BO437" s="34" t="n"/>
      <c r="BP437" s="34" t="n"/>
      <c r="BQ437" s="34" t="n"/>
      <c r="BR437" s="82" t="n"/>
      <c r="BS437" s="34" t="n"/>
      <c r="BT437" s="34" t="n"/>
      <c r="BU437" s="34" t="n"/>
      <c r="BV437" s="34" t="n"/>
      <c r="BW437" s="34" t="n"/>
      <c r="BX437" s="34" t="n"/>
      <c r="BY437" s="34" t="n"/>
      <c r="BZ437" s="34" t="n"/>
      <c r="CA437" s="34" t="n"/>
      <c r="CB437" s="33" t="n"/>
      <c r="CC437" s="34" t="n"/>
      <c r="CD437" s="34" t="n"/>
      <c r="CE437" s="82" t="n"/>
      <c r="CF437" s="34" t="n"/>
      <c r="CG437" s="34" t="n"/>
      <c r="CH437" s="34" t="n"/>
      <c r="CI437" s="34" t="n"/>
      <c r="CJ437" s="34" t="n"/>
    </row>
    <row r="438">
      <c r="A438" s="29" t="n"/>
      <c r="B438" s="29" t="n"/>
      <c r="C438" s="35" t="n"/>
      <c r="D438" s="36" t="n"/>
      <c r="E438" s="147" t="n"/>
      <c r="F438" s="30" t="n"/>
      <c r="G438" s="30" t="n"/>
      <c r="H438" s="30" t="n"/>
      <c r="I438" s="30" t="n"/>
      <c r="J438" s="119" t="n"/>
      <c r="K438" s="34" t="n"/>
      <c r="L438" s="119" t="n"/>
      <c r="M438" s="34" t="n"/>
      <c r="N438" s="119" t="n"/>
      <c r="O438" s="34" t="n"/>
      <c r="P438" s="34" t="n"/>
      <c r="Q438" s="117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  <c r="AA438" s="34" t="n"/>
      <c r="AB438" s="34" t="n"/>
      <c r="AC438" s="34" t="n"/>
      <c r="AD438" s="34" t="n"/>
      <c r="AE438" s="34" t="n"/>
      <c r="AF438" s="34" t="n"/>
      <c r="AG438" s="34" t="n"/>
      <c r="AH438" s="34" t="n"/>
      <c r="AK438" s="34" t="n"/>
      <c r="AL438" s="34" t="n"/>
      <c r="AM438" s="39" t="n"/>
      <c r="AN438" s="34" t="n"/>
      <c r="AO438" s="34" t="n"/>
      <c r="AP438" s="34" t="n"/>
      <c r="AQ438" s="34" t="n"/>
      <c r="AR438" s="34" t="n"/>
      <c r="AS438" s="34" t="n"/>
      <c r="AU438" s="34" t="n"/>
      <c r="AV438" s="34" t="n"/>
      <c r="AW438" s="34" t="n"/>
      <c r="AX438" s="34" t="n"/>
      <c r="AY438" s="34" t="n"/>
      <c r="AZ438" s="34" t="n"/>
      <c r="BA438" s="34" t="n"/>
      <c r="BB438" s="34" t="n"/>
      <c r="BC438" s="34" t="n"/>
      <c r="BD438" s="34" t="n"/>
      <c r="BE438" s="34" t="n"/>
      <c r="BF438" s="34" t="n"/>
      <c r="BG438" s="34" t="n"/>
      <c r="BH438" s="34" t="n"/>
      <c r="BI438" s="34" t="n"/>
      <c r="BJ438" s="34" t="n"/>
      <c r="BK438" s="34" t="n"/>
      <c r="BL438" s="34" t="n"/>
      <c r="BM438" s="34" t="n"/>
      <c r="BN438" s="34" t="n"/>
      <c r="BO438" s="34" t="n"/>
      <c r="BP438" s="34" t="n"/>
      <c r="BQ438" s="34" t="n"/>
      <c r="BR438" s="82" t="n"/>
      <c r="BS438" s="34" t="n"/>
      <c r="BT438" s="34" t="n"/>
      <c r="BU438" s="34" t="n"/>
      <c r="BV438" s="34" t="n"/>
      <c r="BW438" s="34" t="n"/>
      <c r="BX438" s="34" t="n"/>
      <c r="BY438" s="34" t="n"/>
      <c r="BZ438" s="34" t="n"/>
      <c r="CA438" s="34" t="n"/>
      <c r="CB438" s="33" t="n"/>
      <c r="CC438" s="34" t="n"/>
      <c r="CD438" s="34" t="n"/>
      <c r="CE438" s="82" t="n"/>
      <c r="CF438" s="34" t="n"/>
      <c r="CG438" s="34" t="n"/>
      <c r="CH438" s="34" t="n"/>
      <c r="CI438" s="34" t="n"/>
      <c r="CJ438" s="34" t="n"/>
    </row>
    <row r="439">
      <c r="A439" s="29" t="n"/>
      <c r="B439" s="29" t="n"/>
      <c r="C439" s="35" t="n"/>
      <c r="D439" s="36" t="n"/>
      <c r="E439" s="147" t="n"/>
      <c r="F439" s="30" t="n"/>
      <c r="G439" s="30" t="n"/>
      <c r="H439" s="30" t="n"/>
      <c r="I439" s="30" t="n"/>
      <c r="J439" s="119" t="n"/>
      <c r="K439" s="34" t="n"/>
      <c r="L439" s="119" t="n"/>
      <c r="M439" s="34" t="n"/>
      <c r="N439" s="119" t="n"/>
      <c r="O439" s="34" t="n"/>
      <c r="P439" s="34" t="n"/>
      <c r="Q439" s="117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  <c r="AA439" s="34" t="n"/>
      <c r="AB439" s="34" t="n"/>
      <c r="AC439" s="34" t="n"/>
      <c r="AD439" s="34" t="n"/>
      <c r="AE439" s="34" t="n"/>
      <c r="AF439" s="34" t="n"/>
      <c r="AG439" s="34" t="n"/>
      <c r="AH439" s="34" t="n"/>
      <c r="AK439" s="34" t="n"/>
      <c r="AL439" s="34" t="n"/>
      <c r="AM439" s="39" t="n"/>
      <c r="AN439" s="34" t="n"/>
      <c r="AO439" s="34" t="n"/>
      <c r="AP439" s="34" t="n"/>
      <c r="AQ439" s="34" t="n"/>
      <c r="AR439" s="34" t="n"/>
      <c r="AS439" s="34" t="n"/>
      <c r="AU439" s="34" t="n"/>
      <c r="AV439" s="34" t="n"/>
      <c r="AW439" s="34" t="n"/>
      <c r="AX439" s="34" t="n"/>
      <c r="AY439" s="34" t="n"/>
      <c r="AZ439" s="34" t="n"/>
      <c r="BA439" s="34" t="n"/>
      <c r="BB439" s="34" t="n"/>
      <c r="BC439" s="34" t="n"/>
      <c r="BD439" s="34" t="n"/>
      <c r="BE439" s="34" t="n"/>
      <c r="BF439" s="34" t="n"/>
      <c r="BG439" s="34" t="n"/>
      <c r="BH439" s="34" t="n"/>
      <c r="BI439" s="34" t="n"/>
      <c r="BJ439" s="34" t="n"/>
      <c r="BK439" s="34" t="n"/>
      <c r="BL439" s="34" t="n"/>
      <c r="BM439" s="34" t="n"/>
      <c r="BN439" s="34" t="n"/>
      <c r="BO439" s="34" t="n"/>
      <c r="BP439" s="34" t="n"/>
      <c r="BQ439" s="34" t="n"/>
      <c r="BR439" s="82" t="n"/>
      <c r="BS439" s="34" t="n"/>
      <c r="BT439" s="34" t="n"/>
      <c r="BU439" s="34" t="n"/>
      <c r="BV439" s="34" t="n"/>
      <c r="BW439" s="34" t="n"/>
      <c r="BX439" s="34" t="n"/>
      <c r="BY439" s="34" t="n"/>
      <c r="BZ439" s="34" t="n"/>
      <c r="CA439" s="34" t="n"/>
      <c r="CB439" s="33" t="n"/>
      <c r="CC439" s="34" t="n"/>
      <c r="CD439" s="34" t="n"/>
      <c r="CE439" s="82" t="n"/>
      <c r="CF439" s="34" t="n"/>
      <c r="CG439" s="34" t="n"/>
      <c r="CH439" s="34" t="n"/>
      <c r="CI439" s="34" t="n"/>
      <c r="CJ439" s="34" t="n"/>
    </row>
    <row r="440">
      <c r="A440" s="29" t="n"/>
      <c r="B440" s="29" t="n"/>
      <c r="C440" s="35" t="n"/>
      <c r="D440" s="36" t="n"/>
      <c r="E440" s="147" t="n"/>
      <c r="F440" s="30" t="n"/>
      <c r="G440" s="30" t="n"/>
      <c r="H440" s="30" t="n"/>
      <c r="I440" s="30" t="n"/>
      <c r="J440" s="119" t="n"/>
      <c r="K440" s="34" t="n"/>
      <c r="L440" s="119" t="n"/>
      <c r="M440" s="34" t="n"/>
      <c r="N440" s="119" t="n"/>
      <c r="O440" s="34" t="n"/>
      <c r="P440" s="34" t="n"/>
      <c r="Q440" s="117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  <c r="AA440" s="34" t="n"/>
      <c r="AB440" s="34" t="n"/>
      <c r="AC440" s="34" t="n"/>
      <c r="AD440" s="34" t="n"/>
      <c r="AE440" s="34" t="n"/>
      <c r="AF440" s="34" t="n"/>
      <c r="AG440" s="34" t="n"/>
      <c r="AH440" s="34" t="n"/>
      <c r="AK440" s="34" t="n"/>
      <c r="AL440" s="34" t="n"/>
      <c r="AM440" s="39" t="n"/>
      <c r="AN440" s="34" t="n"/>
      <c r="AO440" s="34" t="n"/>
      <c r="AP440" s="34" t="n"/>
      <c r="AQ440" s="34" t="n"/>
      <c r="AR440" s="34" t="n"/>
      <c r="AS440" s="34" t="n"/>
      <c r="AU440" s="34" t="n"/>
      <c r="AV440" s="34" t="n"/>
      <c r="AW440" s="34" t="n"/>
      <c r="AX440" s="34" t="n"/>
      <c r="AY440" s="34" t="n"/>
      <c r="AZ440" s="34" t="n"/>
      <c r="BA440" s="34" t="n"/>
      <c r="BB440" s="34" t="n"/>
      <c r="BC440" s="34" t="n"/>
      <c r="BD440" s="34" t="n"/>
      <c r="BE440" s="34" t="n"/>
      <c r="BF440" s="34" t="n"/>
      <c r="BG440" s="34" t="n"/>
      <c r="BH440" s="34" t="n"/>
      <c r="BI440" s="34" t="n"/>
      <c r="BJ440" s="34" t="n"/>
      <c r="BK440" s="34" t="n"/>
      <c r="BL440" s="34" t="n"/>
      <c r="BM440" s="34" t="n"/>
      <c r="BN440" s="34" t="n"/>
      <c r="BO440" s="34" t="n"/>
      <c r="BP440" s="34" t="n"/>
      <c r="BQ440" s="34" t="n"/>
      <c r="BR440" s="82" t="n"/>
      <c r="BS440" s="34" t="n"/>
      <c r="BT440" s="34" t="n"/>
      <c r="BU440" s="34" t="n"/>
      <c r="BV440" s="34" t="n"/>
      <c r="BW440" s="34" t="n"/>
      <c r="BX440" s="34" t="n"/>
      <c r="BY440" s="34" t="n"/>
      <c r="BZ440" s="34" t="n"/>
      <c r="CA440" s="34" t="n"/>
      <c r="CB440" s="33" t="n"/>
      <c r="CC440" s="34" t="n"/>
      <c r="CD440" s="34" t="n"/>
      <c r="CE440" s="82" t="n"/>
      <c r="CF440" s="34" t="n"/>
      <c r="CG440" s="34" t="n"/>
      <c r="CH440" s="34" t="n"/>
      <c r="CI440" s="34" t="n"/>
      <c r="CJ440" s="34" t="n"/>
    </row>
    <row r="441">
      <c r="A441" s="29" t="n"/>
      <c r="B441" s="29" t="n"/>
      <c r="C441" s="35" t="n"/>
      <c r="D441" s="36" t="n"/>
      <c r="E441" s="147" t="n"/>
      <c r="F441" s="30" t="n"/>
      <c r="G441" s="30" t="n"/>
      <c r="H441" s="30" t="n"/>
      <c r="I441" s="30" t="n"/>
      <c r="J441" s="119" t="n"/>
      <c r="K441" s="34" t="n"/>
      <c r="L441" s="119" t="n"/>
      <c r="M441" s="34" t="n"/>
      <c r="N441" s="119" t="n"/>
      <c r="O441" s="34" t="n"/>
      <c r="P441" s="34" t="n"/>
      <c r="Q441" s="117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  <c r="AA441" s="34" t="n"/>
      <c r="AB441" s="34" t="n"/>
      <c r="AC441" s="34" t="n"/>
      <c r="AD441" s="34" t="n"/>
      <c r="AE441" s="34" t="n"/>
      <c r="AF441" s="34" t="n"/>
      <c r="AG441" s="34" t="n"/>
      <c r="AH441" s="34" t="n"/>
      <c r="AK441" s="34" t="n"/>
      <c r="AL441" s="34" t="n"/>
      <c r="AM441" s="39" t="n"/>
      <c r="AN441" s="34" t="n"/>
      <c r="AO441" s="34" t="n"/>
      <c r="AP441" s="34" t="n"/>
      <c r="AQ441" s="34" t="n"/>
      <c r="AR441" s="34" t="n"/>
      <c r="AS441" s="34" t="n"/>
      <c r="AU441" s="34" t="n"/>
      <c r="AV441" s="34" t="n"/>
      <c r="AW441" s="34" t="n"/>
      <c r="AX441" s="34" t="n"/>
      <c r="AY441" s="34" t="n"/>
      <c r="AZ441" s="34" t="n"/>
      <c r="BA441" s="34" t="n"/>
      <c r="BB441" s="34" t="n"/>
      <c r="BC441" s="34" t="n"/>
      <c r="BD441" s="34" t="n"/>
      <c r="BE441" s="34" t="n"/>
      <c r="BF441" s="34" t="n"/>
      <c r="BG441" s="34" t="n"/>
      <c r="BH441" s="34" t="n"/>
      <c r="BI441" s="34" t="n"/>
      <c r="BJ441" s="34" t="n"/>
      <c r="BK441" s="34" t="n"/>
      <c r="BL441" s="34" t="n"/>
      <c r="BM441" s="34" t="n"/>
      <c r="BN441" s="34" t="n"/>
      <c r="BO441" s="34" t="n"/>
      <c r="BP441" s="34" t="n"/>
      <c r="BQ441" s="34" t="n"/>
      <c r="BR441" s="82" t="n"/>
      <c r="BS441" s="34" t="n"/>
      <c r="BT441" s="34" t="n"/>
      <c r="BU441" s="34" t="n"/>
      <c r="BV441" s="34" t="n"/>
      <c r="BW441" s="34" t="n"/>
      <c r="BX441" s="34" t="n"/>
      <c r="BY441" s="34" t="n"/>
      <c r="BZ441" s="34" t="n"/>
      <c r="CA441" s="34" t="n"/>
      <c r="CB441" s="33" t="n"/>
      <c r="CC441" s="34" t="n"/>
      <c r="CD441" s="34" t="n"/>
      <c r="CE441" s="82" t="n"/>
      <c r="CF441" s="34" t="n"/>
      <c r="CG441" s="34" t="n"/>
      <c r="CH441" s="34" t="n"/>
      <c r="CI441" s="34" t="n"/>
      <c r="CJ441" s="34" t="n"/>
    </row>
    <row r="442">
      <c r="A442" s="29" t="n"/>
      <c r="B442" s="29" t="n"/>
      <c r="C442" s="35" t="n"/>
      <c r="D442" s="36" t="n"/>
      <c r="E442" s="147" t="n"/>
      <c r="F442" s="30" t="n"/>
      <c r="G442" s="30" t="n"/>
      <c r="H442" s="30" t="n"/>
      <c r="I442" s="30" t="n"/>
      <c r="J442" s="119" t="n"/>
      <c r="K442" s="34" t="n"/>
      <c r="L442" s="119" t="n"/>
      <c r="M442" s="34" t="n"/>
      <c r="N442" s="119" t="n"/>
      <c r="O442" s="34" t="n"/>
      <c r="P442" s="34" t="n"/>
      <c r="Q442" s="117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  <c r="AA442" s="34" t="n"/>
      <c r="AB442" s="34" t="n"/>
      <c r="AC442" s="34" t="n"/>
      <c r="AD442" s="34" t="n"/>
      <c r="AE442" s="34" t="n"/>
      <c r="AF442" s="34" t="n"/>
      <c r="AG442" s="34" t="n"/>
      <c r="AH442" s="34" t="n"/>
      <c r="AK442" s="34" t="n"/>
      <c r="AL442" s="34" t="n"/>
      <c r="AM442" s="39" t="n"/>
      <c r="AN442" s="34" t="n"/>
      <c r="AO442" s="34" t="n"/>
      <c r="AP442" s="34" t="n"/>
      <c r="AQ442" s="34" t="n"/>
      <c r="AR442" s="34" t="n"/>
      <c r="AS442" s="34" t="n"/>
      <c r="AU442" s="34" t="n"/>
      <c r="AV442" s="34" t="n"/>
      <c r="AW442" s="34" t="n"/>
      <c r="AX442" s="34" t="n"/>
      <c r="AY442" s="34" t="n"/>
      <c r="AZ442" s="34" t="n"/>
      <c r="BA442" s="34" t="n"/>
      <c r="BB442" s="34" t="n"/>
      <c r="BC442" s="34" t="n"/>
      <c r="BD442" s="34" t="n"/>
      <c r="BE442" s="34" t="n"/>
      <c r="BF442" s="34" t="n"/>
      <c r="BG442" s="34" t="n"/>
      <c r="BH442" s="34" t="n"/>
      <c r="BI442" s="34" t="n"/>
      <c r="BJ442" s="34" t="n"/>
      <c r="BK442" s="34" t="n"/>
      <c r="BL442" s="34" t="n"/>
      <c r="BM442" s="34" t="n"/>
      <c r="BN442" s="34" t="n"/>
      <c r="BO442" s="34" t="n"/>
      <c r="BP442" s="34" t="n"/>
      <c r="BQ442" s="34" t="n"/>
      <c r="BR442" s="82" t="n"/>
      <c r="BS442" s="34" t="n"/>
      <c r="BT442" s="34" t="n"/>
      <c r="BU442" s="34" t="n"/>
      <c r="BV442" s="34" t="n"/>
      <c r="BW442" s="34" t="n"/>
      <c r="BX442" s="34" t="n"/>
      <c r="BY442" s="34" t="n"/>
      <c r="BZ442" s="34" t="n"/>
      <c r="CA442" s="34" t="n"/>
      <c r="CB442" s="33" t="n"/>
      <c r="CC442" s="34" t="n"/>
      <c r="CD442" s="34" t="n"/>
      <c r="CE442" s="82" t="n"/>
      <c r="CF442" s="34" t="n"/>
      <c r="CG442" s="34" t="n"/>
      <c r="CH442" s="34" t="n"/>
      <c r="CI442" s="34" t="n"/>
      <c r="CJ442" s="34" t="n"/>
    </row>
    <row r="443">
      <c r="A443" s="29" t="n"/>
      <c r="B443" s="29" t="n"/>
      <c r="C443" s="35" t="n"/>
      <c r="D443" s="36" t="n"/>
      <c r="E443" s="147" t="n"/>
      <c r="F443" s="30" t="n"/>
      <c r="G443" s="30" t="n"/>
      <c r="H443" s="30" t="n"/>
      <c r="I443" s="30" t="n"/>
      <c r="J443" s="119" t="n"/>
      <c r="K443" s="34" t="n"/>
      <c r="L443" s="119" t="n"/>
      <c r="M443" s="34" t="n"/>
      <c r="N443" s="119" t="n"/>
      <c r="O443" s="34" t="n"/>
      <c r="P443" s="34" t="n"/>
      <c r="Q443" s="117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  <c r="AA443" s="34" t="n"/>
      <c r="AB443" s="34" t="n"/>
      <c r="AC443" s="34" t="n"/>
      <c r="AD443" s="34" t="n"/>
      <c r="AE443" s="34" t="n"/>
      <c r="AF443" s="34" t="n"/>
      <c r="AG443" s="34" t="n"/>
      <c r="AH443" s="34" t="n"/>
      <c r="AK443" s="34" t="n"/>
      <c r="AL443" s="34" t="n"/>
      <c r="AM443" s="39" t="n"/>
      <c r="AN443" s="34" t="n"/>
      <c r="AO443" s="34" t="n"/>
      <c r="AP443" s="34" t="n"/>
      <c r="AQ443" s="34" t="n"/>
      <c r="AR443" s="34" t="n"/>
      <c r="AS443" s="34" t="n"/>
      <c r="AU443" s="34" t="n"/>
      <c r="AV443" s="34" t="n"/>
      <c r="AW443" s="34" t="n"/>
      <c r="AX443" s="34" t="n"/>
      <c r="AY443" s="34" t="n"/>
      <c r="AZ443" s="34" t="n"/>
      <c r="BA443" s="34" t="n"/>
      <c r="BB443" s="34" t="n"/>
      <c r="BC443" s="34" t="n"/>
      <c r="BD443" s="34" t="n"/>
      <c r="BE443" s="34" t="n"/>
      <c r="BF443" s="34" t="n"/>
      <c r="BG443" s="34" t="n"/>
      <c r="BH443" s="34" t="n"/>
      <c r="BI443" s="34" t="n"/>
      <c r="BJ443" s="34" t="n"/>
      <c r="BK443" s="34" t="n"/>
      <c r="BL443" s="34" t="n"/>
      <c r="BM443" s="34" t="n"/>
      <c r="BN443" s="34" t="n"/>
      <c r="BO443" s="34" t="n"/>
      <c r="BP443" s="34" t="n"/>
      <c r="BQ443" s="34" t="n"/>
      <c r="BR443" s="82" t="n"/>
      <c r="BS443" s="34" t="n"/>
      <c r="BT443" s="34" t="n"/>
      <c r="BU443" s="34" t="n"/>
      <c r="BV443" s="34" t="n"/>
      <c r="BW443" s="34" t="n"/>
      <c r="BX443" s="34" t="n"/>
      <c r="BY443" s="34" t="n"/>
      <c r="BZ443" s="34" t="n"/>
      <c r="CA443" s="34" t="n"/>
      <c r="CB443" s="33" t="n"/>
      <c r="CC443" s="34" t="n"/>
      <c r="CD443" s="34" t="n"/>
      <c r="CE443" s="82" t="n"/>
      <c r="CF443" s="34" t="n"/>
      <c r="CG443" s="34" t="n"/>
      <c r="CH443" s="34" t="n"/>
      <c r="CI443" s="34" t="n"/>
      <c r="CJ443" s="34" t="n"/>
    </row>
    <row r="444">
      <c r="A444" s="29" t="n"/>
      <c r="B444" s="29" t="n"/>
      <c r="C444" s="35" t="n"/>
      <c r="D444" s="36" t="n"/>
      <c r="E444" s="147" t="n"/>
      <c r="F444" s="30" t="n"/>
      <c r="G444" s="30" t="n"/>
      <c r="H444" s="30" t="n"/>
      <c r="I444" s="30" t="n"/>
      <c r="J444" s="119" t="n"/>
      <c r="K444" s="34" t="n"/>
      <c r="L444" s="119" t="n"/>
      <c r="M444" s="34" t="n"/>
      <c r="N444" s="119" t="n"/>
      <c r="O444" s="34" t="n"/>
      <c r="P444" s="34" t="n"/>
      <c r="Q444" s="117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  <c r="AA444" s="34" t="n"/>
      <c r="AB444" s="34" t="n"/>
      <c r="AC444" s="34" t="n"/>
      <c r="AD444" s="34" t="n"/>
      <c r="AE444" s="34" t="n"/>
      <c r="AF444" s="34" t="n"/>
      <c r="AG444" s="34" t="n"/>
      <c r="AH444" s="34" t="n"/>
      <c r="AK444" s="34" t="n"/>
      <c r="AL444" s="34" t="n"/>
      <c r="AM444" s="39" t="n"/>
      <c r="AN444" s="34" t="n"/>
      <c r="AO444" s="34" t="n"/>
      <c r="AP444" s="34" t="n"/>
      <c r="AQ444" s="34" t="n"/>
      <c r="AR444" s="34" t="n"/>
      <c r="AS444" s="34" t="n"/>
      <c r="AU444" s="34" t="n"/>
      <c r="AV444" s="34" t="n"/>
      <c r="AW444" s="34" t="n"/>
      <c r="AX444" s="34" t="n"/>
      <c r="AY444" s="34" t="n"/>
      <c r="AZ444" s="34" t="n"/>
      <c r="BA444" s="34" t="n"/>
      <c r="BB444" s="34" t="n"/>
      <c r="BC444" s="34" t="n"/>
      <c r="BD444" s="34" t="n"/>
      <c r="BE444" s="34" t="n"/>
      <c r="BF444" s="34" t="n"/>
      <c r="BG444" s="34" t="n"/>
      <c r="BH444" s="34" t="n"/>
      <c r="BI444" s="34" t="n"/>
      <c r="BJ444" s="34" t="n"/>
      <c r="BK444" s="34" t="n"/>
      <c r="BL444" s="34" t="n"/>
      <c r="BM444" s="34" t="n"/>
      <c r="BN444" s="34" t="n"/>
      <c r="BO444" s="34" t="n"/>
      <c r="BP444" s="34" t="n"/>
      <c r="BQ444" s="34" t="n"/>
      <c r="BR444" s="82" t="n"/>
      <c r="BS444" s="34" t="n"/>
      <c r="BT444" s="34" t="n"/>
      <c r="BU444" s="34" t="n"/>
      <c r="BV444" s="34" t="n"/>
      <c r="BW444" s="34" t="n"/>
      <c r="BX444" s="34" t="n"/>
      <c r="BY444" s="34" t="n"/>
      <c r="BZ444" s="34" t="n"/>
      <c r="CA444" s="34" t="n"/>
      <c r="CB444" s="33" t="n"/>
      <c r="CC444" s="34" t="n"/>
      <c r="CD444" s="34" t="n"/>
      <c r="CE444" s="82" t="n"/>
      <c r="CF444" s="34" t="n"/>
      <c r="CG444" s="34" t="n"/>
      <c r="CH444" s="34" t="n"/>
      <c r="CI444" s="34" t="n"/>
      <c r="CJ444" s="34" t="n"/>
    </row>
    <row r="445">
      <c r="A445" s="29" t="n"/>
      <c r="B445" s="29" t="n"/>
      <c r="C445" s="35" t="n"/>
      <c r="D445" s="36" t="n"/>
      <c r="E445" s="147" t="n"/>
      <c r="F445" s="30" t="n"/>
      <c r="G445" s="30" t="n"/>
      <c r="H445" s="30" t="n"/>
      <c r="I445" s="30" t="n"/>
      <c r="J445" s="119" t="n"/>
      <c r="K445" s="34" t="n"/>
      <c r="L445" s="119" t="n"/>
      <c r="M445" s="34" t="n"/>
      <c r="N445" s="119" t="n"/>
      <c r="O445" s="34" t="n"/>
      <c r="P445" s="34" t="n"/>
      <c r="Q445" s="117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  <c r="AA445" s="34" t="n"/>
      <c r="AB445" s="34" t="n"/>
      <c r="AC445" s="34" t="n"/>
      <c r="AD445" s="34" t="n"/>
      <c r="AE445" s="34" t="n"/>
      <c r="AF445" s="34" t="n"/>
      <c r="AG445" s="34" t="n"/>
      <c r="AH445" s="34" t="n"/>
      <c r="AK445" s="34" t="n"/>
      <c r="AL445" s="34" t="n"/>
      <c r="AM445" s="39" t="n"/>
      <c r="AN445" s="34" t="n"/>
      <c r="AO445" s="34" t="n"/>
      <c r="AP445" s="34" t="n"/>
      <c r="AQ445" s="34" t="n"/>
      <c r="AR445" s="34" t="n"/>
      <c r="AS445" s="34" t="n"/>
      <c r="AU445" s="34" t="n"/>
      <c r="AV445" s="34" t="n"/>
      <c r="AW445" s="34" t="n"/>
      <c r="AX445" s="34" t="n"/>
      <c r="AY445" s="34" t="n"/>
      <c r="AZ445" s="34" t="n"/>
      <c r="BA445" s="34" t="n"/>
      <c r="BB445" s="34" t="n"/>
      <c r="BC445" s="34" t="n"/>
      <c r="BD445" s="34" t="n"/>
      <c r="BE445" s="34" t="n"/>
      <c r="BF445" s="34" t="n"/>
      <c r="BG445" s="34" t="n"/>
      <c r="BH445" s="34" t="n"/>
      <c r="BI445" s="34" t="n"/>
      <c r="BJ445" s="34" t="n"/>
      <c r="BK445" s="34" t="n"/>
      <c r="BL445" s="34" t="n"/>
      <c r="BM445" s="34" t="n"/>
      <c r="BN445" s="34" t="n"/>
      <c r="BO445" s="34" t="n"/>
      <c r="BP445" s="34" t="n"/>
      <c r="BQ445" s="34" t="n"/>
      <c r="BR445" s="82" t="n"/>
      <c r="BS445" s="34" t="n"/>
      <c r="BT445" s="34" t="n"/>
      <c r="BU445" s="34" t="n"/>
      <c r="BV445" s="34" t="n"/>
      <c r="BW445" s="34" t="n"/>
      <c r="BX445" s="34" t="n"/>
      <c r="BY445" s="34" t="n"/>
      <c r="BZ445" s="34" t="n"/>
      <c r="CA445" s="34" t="n"/>
      <c r="CB445" s="33" t="n"/>
      <c r="CC445" s="34" t="n"/>
      <c r="CD445" s="34" t="n"/>
      <c r="CE445" s="82" t="n"/>
      <c r="CF445" s="34" t="n"/>
      <c r="CG445" s="34" t="n"/>
      <c r="CH445" s="34" t="n"/>
      <c r="CI445" s="34" t="n"/>
      <c r="CJ445" s="34" t="n"/>
    </row>
    <row r="446">
      <c r="A446" s="29" t="n"/>
      <c r="B446" s="29" t="n"/>
      <c r="C446" s="35" t="n"/>
      <c r="D446" s="36" t="n"/>
      <c r="E446" s="147" t="n"/>
      <c r="F446" s="30" t="n"/>
      <c r="G446" s="30" t="n"/>
      <c r="H446" s="30" t="n"/>
      <c r="I446" s="30" t="n"/>
      <c r="J446" s="119" t="n"/>
      <c r="K446" s="34" t="n"/>
      <c r="L446" s="119" t="n"/>
      <c r="M446" s="34" t="n"/>
      <c r="N446" s="119" t="n"/>
      <c r="O446" s="34" t="n"/>
      <c r="P446" s="34" t="n"/>
      <c r="Q446" s="117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  <c r="AA446" s="34" t="n"/>
      <c r="AB446" s="34" t="n"/>
      <c r="AC446" s="34" t="n"/>
      <c r="AD446" s="34" t="n"/>
      <c r="AE446" s="34" t="n"/>
      <c r="AF446" s="34" t="n"/>
      <c r="AG446" s="34" t="n"/>
      <c r="AH446" s="34" t="n"/>
      <c r="AK446" s="34" t="n"/>
      <c r="AL446" s="34" t="n"/>
      <c r="AM446" s="39" t="n"/>
      <c r="AN446" s="34" t="n"/>
      <c r="AO446" s="34" t="n"/>
      <c r="AP446" s="34" t="n"/>
      <c r="AQ446" s="34" t="n"/>
      <c r="AR446" s="34" t="n"/>
      <c r="AS446" s="34" t="n"/>
      <c r="AU446" s="34" t="n"/>
      <c r="AV446" s="34" t="n"/>
      <c r="AW446" s="34" t="n"/>
      <c r="AX446" s="34" t="n"/>
      <c r="AY446" s="34" t="n"/>
      <c r="AZ446" s="34" t="n"/>
      <c r="BA446" s="34" t="n"/>
      <c r="BB446" s="34" t="n"/>
      <c r="BC446" s="34" t="n"/>
      <c r="BD446" s="34" t="n"/>
      <c r="BE446" s="34" t="n"/>
      <c r="BF446" s="34" t="n"/>
      <c r="BG446" s="34" t="n"/>
      <c r="BH446" s="34" t="n"/>
      <c r="BI446" s="34" t="n"/>
      <c r="BJ446" s="34" t="n"/>
      <c r="BK446" s="34" t="n"/>
      <c r="BL446" s="34" t="n"/>
      <c r="BM446" s="34" t="n"/>
      <c r="BN446" s="34" t="n"/>
      <c r="BO446" s="34" t="n"/>
      <c r="BP446" s="34" t="n"/>
      <c r="BQ446" s="34" t="n"/>
      <c r="BR446" s="82" t="n"/>
      <c r="BS446" s="34" t="n"/>
      <c r="BT446" s="34" t="n"/>
      <c r="BU446" s="34" t="n"/>
      <c r="BV446" s="34" t="n"/>
      <c r="BW446" s="34" t="n"/>
      <c r="BX446" s="34" t="n"/>
      <c r="BY446" s="34" t="n"/>
      <c r="BZ446" s="34" t="n"/>
      <c r="CA446" s="34" t="n"/>
      <c r="CB446" s="33" t="n"/>
      <c r="CC446" s="34" t="n"/>
      <c r="CD446" s="34" t="n"/>
      <c r="CE446" s="82" t="n"/>
      <c r="CF446" s="34" t="n"/>
      <c r="CG446" s="34" t="n"/>
      <c r="CH446" s="34" t="n"/>
      <c r="CI446" s="34" t="n"/>
      <c r="CJ446" s="34" t="n"/>
    </row>
    <row r="447">
      <c r="A447" s="29" t="n"/>
      <c r="B447" s="29" t="n"/>
      <c r="C447" s="35" t="n"/>
      <c r="D447" s="36" t="n"/>
      <c r="E447" s="147" t="n"/>
      <c r="F447" s="30" t="n"/>
      <c r="G447" s="30" t="n"/>
      <c r="H447" s="30" t="n"/>
      <c r="I447" s="30" t="n"/>
      <c r="J447" s="119" t="n"/>
      <c r="K447" s="34" t="n"/>
      <c r="L447" s="119" t="n"/>
      <c r="M447" s="34" t="n"/>
      <c r="N447" s="119" t="n"/>
      <c r="O447" s="34" t="n"/>
      <c r="P447" s="34" t="n"/>
      <c r="Q447" s="117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  <c r="AA447" s="34" t="n"/>
      <c r="AB447" s="34" t="n"/>
      <c r="AC447" s="34" t="n"/>
      <c r="AD447" s="34" t="n"/>
      <c r="AE447" s="34" t="n"/>
      <c r="AF447" s="34" t="n"/>
      <c r="AG447" s="34" t="n"/>
      <c r="AH447" s="34" t="n"/>
      <c r="AK447" s="34" t="n"/>
      <c r="AL447" s="34" t="n"/>
      <c r="AM447" s="39" t="n"/>
      <c r="AN447" s="34" t="n"/>
      <c r="AO447" s="34" t="n"/>
      <c r="AP447" s="34" t="n"/>
      <c r="AQ447" s="34" t="n"/>
      <c r="AR447" s="34" t="n"/>
      <c r="AS447" s="34" t="n"/>
      <c r="AU447" s="34" t="n"/>
      <c r="AV447" s="34" t="n"/>
      <c r="AW447" s="34" t="n"/>
      <c r="AX447" s="34" t="n"/>
      <c r="AY447" s="34" t="n"/>
      <c r="AZ447" s="34" t="n"/>
      <c r="BA447" s="34" t="n"/>
      <c r="BB447" s="34" t="n"/>
      <c r="BC447" s="34" t="n"/>
      <c r="BD447" s="34" t="n"/>
      <c r="BE447" s="34" t="n"/>
      <c r="BF447" s="34" t="n"/>
      <c r="BG447" s="34" t="n"/>
      <c r="BH447" s="34" t="n"/>
      <c r="BI447" s="34" t="n"/>
      <c r="BJ447" s="34" t="n"/>
      <c r="BK447" s="34" t="n"/>
      <c r="BL447" s="34" t="n"/>
      <c r="BM447" s="34" t="n"/>
      <c r="BN447" s="34" t="n"/>
      <c r="BO447" s="34" t="n"/>
      <c r="BP447" s="34" t="n"/>
      <c r="BQ447" s="34" t="n"/>
      <c r="BR447" s="82" t="n"/>
      <c r="BS447" s="34" t="n"/>
      <c r="BT447" s="34" t="n"/>
      <c r="BU447" s="34" t="n"/>
      <c r="BV447" s="34" t="n"/>
      <c r="BW447" s="34" t="n"/>
      <c r="BX447" s="34" t="n"/>
      <c r="BY447" s="34" t="n"/>
      <c r="BZ447" s="34" t="n"/>
      <c r="CA447" s="34" t="n"/>
      <c r="CB447" s="33" t="n"/>
      <c r="CC447" s="34" t="n"/>
      <c r="CD447" s="34" t="n"/>
      <c r="CE447" s="82" t="n"/>
      <c r="CF447" s="34" t="n"/>
      <c r="CG447" s="34" t="n"/>
      <c r="CH447" s="34" t="n"/>
      <c r="CI447" s="34" t="n"/>
      <c r="CJ447" s="34" t="n"/>
    </row>
    <row r="448">
      <c r="A448" s="29" t="n"/>
      <c r="B448" s="29" t="n"/>
      <c r="C448" s="35" t="n"/>
      <c r="D448" s="36" t="n"/>
      <c r="E448" s="147" t="n"/>
      <c r="F448" s="30" t="n"/>
      <c r="G448" s="30" t="n"/>
      <c r="H448" s="30" t="n"/>
      <c r="I448" s="30" t="n"/>
      <c r="J448" s="119" t="n"/>
      <c r="K448" s="34" t="n"/>
      <c r="L448" s="119" t="n"/>
      <c r="M448" s="34" t="n"/>
      <c r="N448" s="119" t="n"/>
      <c r="O448" s="34" t="n"/>
      <c r="P448" s="34" t="n"/>
      <c r="Q448" s="117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  <c r="AA448" s="34" t="n"/>
      <c r="AB448" s="34" t="n"/>
      <c r="AC448" s="34" t="n"/>
      <c r="AD448" s="34" t="n"/>
      <c r="AE448" s="34" t="n"/>
      <c r="AF448" s="34" t="n"/>
      <c r="AG448" s="34" t="n"/>
      <c r="AH448" s="34" t="n"/>
      <c r="AK448" s="34" t="n"/>
      <c r="AL448" s="34" t="n"/>
      <c r="AM448" s="39" t="n"/>
      <c r="AN448" s="34" t="n"/>
      <c r="AO448" s="34" t="n"/>
      <c r="AP448" s="34" t="n"/>
      <c r="AQ448" s="34" t="n"/>
      <c r="AR448" s="34" t="n"/>
      <c r="AS448" s="34" t="n"/>
      <c r="AU448" s="34" t="n"/>
      <c r="AV448" s="34" t="n"/>
      <c r="AW448" s="34" t="n"/>
      <c r="AX448" s="34" t="n"/>
      <c r="AY448" s="34" t="n"/>
      <c r="AZ448" s="34" t="n"/>
      <c r="BA448" s="34" t="n"/>
      <c r="BB448" s="34" t="n"/>
      <c r="BC448" s="34" t="n"/>
      <c r="BD448" s="34" t="n"/>
      <c r="BE448" s="34" t="n"/>
      <c r="BF448" s="34" t="n"/>
      <c r="BG448" s="34" t="n"/>
      <c r="BH448" s="34" t="n"/>
      <c r="BI448" s="34" t="n"/>
      <c r="BJ448" s="34" t="n"/>
      <c r="BK448" s="34" t="n"/>
      <c r="BL448" s="34" t="n"/>
      <c r="BM448" s="34" t="n"/>
      <c r="BN448" s="34" t="n"/>
      <c r="BO448" s="34" t="n"/>
      <c r="BP448" s="34" t="n"/>
      <c r="BQ448" s="34" t="n"/>
      <c r="BR448" s="82" t="n"/>
      <c r="BS448" s="34" t="n"/>
      <c r="BT448" s="34" t="n"/>
      <c r="BU448" s="34" t="n"/>
      <c r="BV448" s="34" t="n"/>
      <c r="BW448" s="34" t="n"/>
      <c r="BX448" s="34" t="n"/>
      <c r="BY448" s="34" t="n"/>
      <c r="BZ448" s="34" t="n"/>
      <c r="CA448" s="34" t="n"/>
      <c r="CB448" s="33" t="n"/>
      <c r="CC448" s="34" t="n"/>
      <c r="CD448" s="34" t="n"/>
      <c r="CE448" s="82" t="n"/>
      <c r="CF448" s="34" t="n"/>
      <c r="CG448" s="34" t="n"/>
      <c r="CH448" s="34" t="n"/>
      <c r="CI448" s="34" t="n"/>
      <c r="CJ448" s="34" t="n"/>
    </row>
    <row r="449">
      <c r="A449" s="29" t="n"/>
      <c r="B449" s="29" t="n"/>
      <c r="C449" s="35" t="n"/>
      <c r="D449" s="36" t="n"/>
      <c r="E449" s="147" t="n"/>
      <c r="F449" s="30" t="n"/>
      <c r="G449" s="30" t="n"/>
      <c r="H449" s="30" t="n"/>
      <c r="I449" s="30" t="n"/>
      <c r="J449" s="119" t="n"/>
      <c r="K449" s="34" t="n"/>
      <c r="L449" s="119" t="n"/>
      <c r="M449" s="34" t="n"/>
      <c r="N449" s="119" t="n"/>
      <c r="O449" s="34" t="n"/>
      <c r="P449" s="34" t="n"/>
      <c r="Q449" s="117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  <c r="AA449" s="34" t="n"/>
      <c r="AB449" s="34" t="n"/>
      <c r="AC449" s="34" t="n"/>
      <c r="AD449" s="34" t="n"/>
      <c r="AE449" s="34" t="n"/>
      <c r="AF449" s="34" t="n"/>
      <c r="AG449" s="34" t="n"/>
      <c r="AH449" s="34" t="n"/>
      <c r="AK449" s="34" t="n"/>
      <c r="AL449" s="34" t="n"/>
      <c r="AM449" s="39" t="n"/>
      <c r="AN449" s="34" t="n"/>
      <c r="AO449" s="34" t="n"/>
      <c r="AP449" s="34" t="n"/>
      <c r="AQ449" s="34" t="n"/>
      <c r="AR449" s="34" t="n"/>
      <c r="AS449" s="34" t="n"/>
      <c r="AU449" s="34" t="n"/>
      <c r="AV449" s="34" t="n"/>
      <c r="AW449" s="34" t="n"/>
      <c r="AX449" s="34" t="n"/>
      <c r="AY449" s="34" t="n"/>
      <c r="AZ449" s="34" t="n"/>
      <c r="BA449" s="34" t="n"/>
      <c r="BB449" s="34" t="n"/>
      <c r="BC449" s="34" t="n"/>
      <c r="BD449" s="34" t="n"/>
      <c r="BE449" s="34" t="n"/>
      <c r="BF449" s="34" t="n"/>
      <c r="BG449" s="34" t="n"/>
      <c r="BH449" s="34" t="n"/>
      <c r="BI449" s="34" t="n"/>
      <c r="BJ449" s="34" t="n"/>
      <c r="BK449" s="34" t="n"/>
      <c r="BL449" s="34" t="n"/>
      <c r="BM449" s="34" t="n"/>
      <c r="BN449" s="34" t="n"/>
      <c r="BO449" s="34" t="n"/>
      <c r="BP449" s="34" t="n"/>
      <c r="BQ449" s="34" t="n"/>
      <c r="BR449" s="82" t="n"/>
      <c r="BS449" s="34" t="n"/>
      <c r="BT449" s="34" t="n"/>
      <c r="BU449" s="34" t="n"/>
      <c r="BV449" s="34" t="n"/>
      <c r="BW449" s="34" t="n"/>
      <c r="BX449" s="34" t="n"/>
      <c r="BY449" s="34" t="n"/>
      <c r="BZ449" s="34" t="n"/>
      <c r="CA449" s="34" t="n"/>
      <c r="CB449" s="33" t="n"/>
      <c r="CC449" s="34" t="n"/>
      <c r="CD449" s="34" t="n"/>
      <c r="CE449" s="82" t="n"/>
      <c r="CF449" s="34" t="n"/>
      <c r="CG449" s="34" t="n"/>
      <c r="CH449" s="34" t="n"/>
      <c r="CI449" s="34" t="n"/>
      <c r="CJ449" s="34" t="n"/>
    </row>
    <row r="450">
      <c r="A450" s="29" t="n"/>
      <c r="B450" s="29" t="n"/>
      <c r="C450" s="35" t="n"/>
      <c r="D450" s="36" t="n"/>
      <c r="E450" s="147" t="n"/>
      <c r="F450" s="30" t="n"/>
      <c r="G450" s="30" t="n"/>
      <c r="H450" s="30" t="n"/>
      <c r="I450" s="30" t="n"/>
      <c r="J450" s="119" t="n"/>
      <c r="K450" s="34" t="n"/>
      <c r="L450" s="119" t="n"/>
      <c r="M450" s="34" t="n"/>
      <c r="N450" s="119" t="n"/>
      <c r="O450" s="34" t="n"/>
      <c r="P450" s="34" t="n"/>
      <c r="Q450" s="117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  <c r="AA450" s="34" t="n"/>
      <c r="AB450" s="34" t="n"/>
      <c r="AC450" s="34" t="n"/>
      <c r="AD450" s="34" t="n"/>
      <c r="AE450" s="34" t="n"/>
      <c r="AF450" s="34" t="n"/>
      <c r="AG450" s="34" t="n"/>
      <c r="AH450" s="34" t="n"/>
      <c r="AK450" s="34" t="n"/>
      <c r="AL450" s="34" t="n"/>
      <c r="AM450" s="39" t="n"/>
      <c r="AN450" s="34" t="n"/>
      <c r="AO450" s="34" t="n"/>
      <c r="AP450" s="34" t="n"/>
      <c r="AQ450" s="34" t="n"/>
      <c r="AR450" s="34" t="n"/>
      <c r="AS450" s="34" t="n"/>
      <c r="AU450" s="34" t="n"/>
      <c r="AV450" s="34" t="n"/>
      <c r="AW450" s="34" t="n"/>
      <c r="AX450" s="34" t="n"/>
      <c r="AY450" s="34" t="n"/>
      <c r="AZ450" s="34" t="n"/>
      <c r="BA450" s="34" t="n"/>
      <c r="BB450" s="34" t="n"/>
      <c r="BC450" s="34" t="n"/>
      <c r="BD450" s="34" t="n"/>
      <c r="BE450" s="34" t="n"/>
      <c r="BF450" s="34" t="n"/>
      <c r="BG450" s="34" t="n"/>
      <c r="BH450" s="34" t="n"/>
      <c r="BI450" s="34" t="n"/>
      <c r="BJ450" s="34" t="n"/>
      <c r="BK450" s="34" t="n"/>
      <c r="BL450" s="34" t="n"/>
      <c r="BM450" s="34" t="n"/>
      <c r="BN450" s="34" t="n"/>
      <c r="BO450" s="34" t="n"/>
      <c r="BP450" s="34" t="n"/>
      <c r="BQ450" s="34" t="n"/>
      <c r="BR450" s="82" t="n"/>
      <c r="BS450" s="34" t="n"/>
      <c r="BT450" s="34" t="n"/>
      <c r="BU450" s="34" t="n"/>
      <c r="BV450" s="34" t="n"/>
      <c r="BW450" s="34" t="n"/>
      <c r="BX450" s="34" t="n"/>
      <c r="BY450" s="34" t="n"/>
      <c r="BZ450" s="34" t="n"/>
      <c r="CA450" s="34" t="n"/>
      <c r="CB450" s="33" t="n"/>
      <c r="CC450" s="34" t="n"/>
      <c r="CD450" s="34" t="n"/>
      <c r="CE450" s="82" t="n"/>
      <c r="CF450" s="34" t="n"/>
      <c r="CG450" s="34" t="n"/>
      <c r="CH450" s="34" t="n"/>
      <c r="CI450" s="34" t="n"/>
      <c r="CJ450" s="34" t="n"/>
    </row>
    <row r="451">
      <c r="A451" s="29" t="n"/>
      <c r="B451" s="29" t="n"/>
      <c r="C451" s="35" t="n"/>
      <c r="D451" s="36" t="n"/>
      <c r="E451" s="147" t="n"/>
      <c r="F451" s="30" t="n"/>
      <c r="G451" s="30" t="n"/>
      <c r="H451" s="30" t="n"/>
      <c r="I451" s="30" t="n"/>
      <c r="J451" s="119" t="n"/>
      <c r="K451" s="34" t="n"/>
      <c r="L451" s="119" t="n"/>
      <c r="M451" s="34" t="n"/>
      <c r="N451" s="119" t="n"/>
      <c r="O451" s="34" t="n"/>
      <c r="P451" s="34" t="n"/>
      <c r="Q451" s="117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  <c r="AA451" s="34" t="n"/>
      <c r="AB451" s="34" t="n"/>
      <c r="AC451" s="34" t="n"/>
      <c r="AD451" s="34" t="n"/>
      <c r="AE451" s="34" t="n"/>
      <c r="AF451" s="34" t="n"/>
      <c r="AG451" s="34" t="n"/>
      <c r="AH451" s="34" t="n"/>
      <c r="AK451" s="34" t="n"/>
      <c r="AL451" s="34" t="n"/>
      <c r="AM451" s="39" t="n"/>
      <c r="AN451" s="34" t="n"/>
      <c r="AO451" s="34" t="n"/>
      <c r="AP451" s="34" t="n"/>
      <c r="AQ451" s="34" t="n"/>
      <c r="AR451" s="34" t="n"/>
      <c r="AS451" s="34" t="n"/>
      <c r="AU451" s="34" t="n"/>
      <c r="AV451" s="34" t="n"/>
      <c r="AW451" s="34" t="n"/>
      <c r="AX451" s="34" t="n"/>
      <c r="AY451" s="34" t="n"/>
      <c r="AZ451" s="34" t="n"/>
      <c r="BA451" s="34" t="n"/>
      <c r="BB451" s="34" t="n"/>
      <c r="BC451" s="34" t="n"/>
      <c r="BD451" s="34" t="n"/>
      <c r="BE451" s="34" t="n"/>
      <c r="BF451" s="34" t="n"/>
      <c r="BG451" s="34" t="n"/>
      <c r="BH451" s="34" t="n"/>
      <c r="BI451" s="34" t="n"/>
      <c r="BJ451" s="34" t="n"/>
      <c r="BK451" s="34" t="n"/>
      <c r="BL451" s="34" t="n"/>
      <c r="BM451" s="34" t="n"/>
      <c r="BN451" s="34" t="n"/>
      <c r="BO451" s="34" t="n"/>
      <c r="BP451" s="34" t="n"/>
      <c r="BQ451" s="34" t="n"/>
      <c r="BR451" s="82" t="n"/>
      <c r="BS451" s="34" t="n"/>
      <c r="BT451" s="34" t="n"/>
      <c r="BU451" s="34" t="n"/>
      <c r="BV451" s="34" t="n"/>
      <c r="BW451" s="34" t="n"/>
      <c r="BX451" s="34" t="n"/>
      <c r="BY451" s="34" t="n"/>
      <c r="BZ451" s="34" t="n"/>
      <c r="CA451" s="34" t="n"/>
      <c r="CB451" s="33" t="n"/>
      <c r="CC451" s="34" t="n"/>
      <c r="CD451" s="34" t="n"/>
      <c r="CE451" s="82" t="n"/>
      <c r="CF451" s="34" t="n"/>
      <c r="CG451" s="34" t="n"/>
      <c r="CH451" s="34" t="n"/>
      <c r="CI451" s="34" t="n"/>
      <c r="CJ451" s="34" t="n"/>
    </row>
    <row r="452">
      <c r="A452" s="29" t="n"/>
      <c r="B452" s="29" t="n"/>
      <c r="C452" s="35" t="n"/>
      <c r="D452" s="36" t="n"/>
      <c r="E452" s="147" t="n"/>
      <c r="F452" s="30" t="n"/>
      <c r="G452" s="30" t="n"/>
      <c r="H452" s="30" t="n"/>
      <c r="I452" s="30" t="n"/>
      <c r="J452" s="119" t="n"/>
      <c r="K452" s="34" t="n"/>
      <c r="L452" s="119" t="n"/>
      <c r="M452" s="34" t="n"/>
      <c r="N452" s="119" t="n"/>
      <c r="O452" s="34" t="n"/>
      <c r="P452" s="34" t="n"/>
      <c r="Q452" s="117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  <c r="AA452" s="34" t="n"/>
      <c r="AB452" s="34" t="n"/>
      <c r="AC452" s="34" t="n"/>
      <c r="AD452" s="34" t="n"/>
      <c r="AE452" s="34" t="n"/>
      <c r="AF452" s="34" t="n"/>
      <c r="AG452" s="34" t="n"/>
      <c r="AH452" s="34" t="n"/>
      <c r="AK452" s="34" t="n"/>
      <c r="AL452" s="34" t="n"/>
      <c r="AM452" s="39" t="n"/>
      <c r="AN452" s="34" t="n"/>
      <c r="AO452" s="34" t="n"/>
      <c r="AP452" s="34" t="n"/>
      <c r="AQ452" s="34" t="n"/>
      <c r="AR452" s="34" t="n"/>
      <c r="AS452" s="34" t="n"/>
      <c r="AU452" s="34" t="n"/>
      <c r="AV452" s="34" t="n"/>
      <c r="AW452" s="34" t="n"/>
      <c r="AX452" s="34" t="n"/>
      <c r="AY452" s="34" t="n"/>
      <c r="AZ452" s="34" t="n"/>
      <c r="BA452" s="34" t="n"/>
      <c r="BB452" s="34" t="n"/>
      <c r="BC452" s="34" t="n"/>
      <c r="BD452" s="34" t="n"/>
      <c r="BE452" s="34" t="n"/>
      <c r="BF452" s="34" t="n"/>
      <c r="BG452" s="34" t="n"/>
      <c r="BH452" s="34" t="n"/>
      <c r="BI452" s="34" t="n"/>
      <c r="BJ452" s="34" t="n"/>
      <c r="BK452" s="34" t="n"/>
      <c r="BL452" s="34" t="n"/>
      <c r="BM452" s="34" t="n"/>
      <c r="BN452" s="34" t="n"/>
      <c r="BO452" s="34" t="n"/>
      <c r="BP452" s="34" t="n"/>
      <c r="BQ452" s="34" t="n"/>
      <c r="BR452" s="82" t="n"/>
      <c r="BS452" s="34" t="n"/>
      <c r="BT452" s="34" t="n"/>
      <c r="BU452" s="34" t="n"/>
      <c r="BV452" s="34" t="n"/>
      <c r="BW452" s="34" t="n"/>
      <c r="BX452" s="34" t="n"/>
      <c r="BY452" s="34" t="n"/>
      <c r="BZ452" s="34" t="n"/>
      <c r="CA452" s="34" t="n"/>
      <c r="CB452" s="33" t="n"/>
      <c r="CC452" s="34" t="n"/>
      <c r="CD452" s="34" t="n"/>
      <c r="CE452" s="82" t="n"/>
      <c r="CF452" s="34" t="n"/>
      <c r="CG452" s="34" t="n"/>
      <c r="CH452" s="34" t="n"/>
      <c r="CI452" s="34" t="n"/>
      <c r="CJ452" s="34" t="n"/>
    </row>
    <row r="453">
      <c r="A453" s="29" t="n"/>
      <c r="B453" s="29" t="n"/>
      <c r="C453" s="35" t="n"/>
      <c r="D453" s="36" t="n"/>
      <c r="E453" s="147" t="n"/>
      <c r="F453" s="30" t="n"/>
      <c r="G453" s="30" t="n"/>
      <c r="H453" s="30" t="n"/>
      <c r="I453" s="30" t="n"/>
      <c r="J453" s="119" t="n"/>
      <c r="K453" s="34" t="n"/>
      <c r="L453" s="119" t="n"/>
      <c r="M453" s="34" t="n"/>
      <c r="N453" s="119" t="n"/>
      <c r="O453" s="34" t="n"/>
      <c r="P453" s="34" t="n"/>
      <c r="Q453" s="117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  <c r="AA453" s="34" t="n"/>
      <c r="AB453" s="34" t="n"/>
      <c r="AC453" s="34" t="n"/>
      <c r="AD453" s="34" t="n"/>
      <c r="AE453" s="34" t="n"/>
      <c r="AF453" s="34" t="n"/>
      <c r="AG453" s="34" t="n"/>
      <c r="AH453" s="34" t="n"/>
      <c r="AK453" s="34" t="n"/>
      <c r="AL453" s="34" t="n"/>
      <c r="AM453" s="39" t="n"/>
      <c r="AN453" s="34" t="n"/>
      <c r="AO453" s="34" t="n"/>
      <c r="AP453" s="34" t="n"/>
      <c r="AQ453" s="34" t="n"/>
      <c r="AR453" s="34" t="n"/>
      <c r="AS453" s="34" t="n"/>
      <c r="AU453" s="34" t="n"/>
      <c r="AV453" s="34" t="n"/>
      <c r="AW453" s="34" t="n"/>
      <c r="AX453" s="34" t="n"/>
      <c r="AY453" s="34" t="n"/>
      <c r="AZ453" s="34" t="n"/>
      <c r="BA453" s="34" t="n"/>
      <c r="BB453" s="34" t="n"/>
      <c r="BC453" s="34" t="n"/>
      <c r="BD453" s="34" t="n"/>
      <c r="BE453" s="34" t="n"/>
      <c r="BF453" s="34" t="n"/>
      <c r="BG453" s="34" t="n"/>
      <c r="BH453" s="34" t="n"/>
      <c r="BI453" s="34" t="n"/>
      <c r="BJ453" s="34" t="n"/>
      <c r="BK453" s="34" t="n"/>
      <c r="BL453" s="34" t="n"/>
      <c r="BM453" s="34" t="n"/>
      <c r="BN453" s="34" t="n"/>
      <c r="BO453" s="34" t="n"/>
      <c r="BP453" s="34" t="n"/>
      <c r="BQ453" s="34" t="n"/>
      <c r="BR453" s="82" t="n"/>
      <c r="BS453" s="34" t="n"/>
      <c r="BT453" s="34" t="n"/>
      <c r="BU453" s="34" t="n"/>
      <c r="BV453" s="34" t="n"/>
      <c r="BW453" s="34" t="n"/>
      <c r="BX453" s="34" t="n"/>
      <c r="BY453" s="34" t="n"/>
      <c r="BZ453" s="34" t="n"/>
      <c r="CA453" s="34" t="n"/>
      <c r="CB453" s="33" t="n"/>
      <c r="CC453" s="34" t="n"/>
      <c r="CD453" s="34" t="n"/>
      <c r="CE453" s="82" t="n"/>
      <c r="CF453" s="34" t="n"/>
      <c r="CG453" s="34" t="n"/>
      <c r="CH453" s="34" t="n"/>
      <c r="CI453" s="34" t="n"/>
      <c r="CJ453" s="34" t="n"/>
    </row>
    <row r="454">
      <c r="A454" s="29" t="n"/>
      <c r="B454" s="29" t="n"/>
      <c r="C454" s="35" t="n"/>
      <c r="D454" s="36" t="n"/>
      <c r="E454" s="147" t="n"/>
      <c r="F454" s="30" t="n"/>
      <c r="G454" s="30" t="n"/>
      <c r="H454" s="30" t="n"/>
      <c r="I454" s="30" t="n"/>
      <c r="J454" s="119" t="n"/>
      <c r="K454" s="34" t="n"/>
      <c r="L454" s="119" t="n"/>
      <c r="M454" s="34" t="n"/>
      <c r="N454" s="119" t="n"/>
      <c r="O454" s="34" t="n"/>
      <c r="P454" s="34" t="n"/>
      <c r="Q454" s="117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  <c r="AA454" s="34" t="n"/>
      <c r="AB454" s="34" t="n"/>
      <c r="AC454" s="34" t="n"/>
      <c r="AD454" s="34" t="n"/>
      <c r="AE454" s="34" t="n"/>
      <c r="AF454" s="34" t="n"/>
      <c r="AG454" s="34" t="n"/>
      <c r="AH454" s="34" t="n"/>
      <c r="AK454" s="34" t="n"/>
      <c r="AL454" s="34" t="n"/>
      <c r="AM454" s="39" t="n"/>
      <c r="AN454" s="34" t="n"/>
      <c r="AO454" s="34" t="n"/>
      <c r="AP454" s="34" t="n"/>
      <c r="AQ454" s="34" t="n"/>
      <c r="AR454" s="34" t="n"/>
      <c r="AS454" s="34" t="n"/>
      <c r="AU454" s="34" t="n"/>
      <c r="AV454" s="34" t="n"/>
      <c r="AW454" s="34" t="n"/>
      <c r="AX454" s="34" t="n"/>
      <c r="AY454" s="34" t="n"/>
      <c r="AZ454" s="34" t="n"/>
      <c r="BA454" s="34" t="n"/>
      <c r="BB454" s="34" t="n"/>
      <c r="BC454" s="34" t="n"/>
      <c r="BD454" s="34" t="n"/>
      <c r="BE454" s="34" t="n"/>
      <c r="BF454" s="34" t="n"/>
      <c r="BG454" s="34" t="n"/>
      <c r="BH454" s="34" t="n"/>
      <c r="BI454" s="34" t="n"/>
      <c r="BJ454" s="34" t="n"/>
      <c r="BK454" s="34" t="n"/>
      <c r="BL454" s="34" t="n"/>
      <c r="BM454" s="34" t="n"/>
      <c r="BN454" s="34" t="n"/>
      <c r="BO454" s="34" t="n"/>
      <c r="BP454" s="34" t="n"/>
      <c r="BQ454" s="34" t="n"/>
      <c r="BR454" s="82" t="n"/>
      <c r="BS454" s="34" t="n"/>
      <c r="BT454" s="34" t="n"/>
      <c r="BU454" s="34" t="n"/>
      <c r="BV454" s="34" t="n"/>
      <c r="BW454" s="34" t="n"/>
      <c r="BX454" s="34" t="n"/>
      <c r="BY454" s="34" t="n"/>
      <c r="BZ454" s="34" t="n"/>
      <c r="CA454" s="34" t="n"/>
      <c r="CB454" s="33" t="n"/>
      <c r="CC454" s="34" t="n"/>
      <c r="CD454" s="34" t="n"/>
      <c r="CE454" s="82" t="n"/>
      <c r="CF454" s="34" t="n"/>
      <c r="CG454" s="34" t="n"/>
      <c r="CH454" s="34" t="n"/>
      <c r="CI454" s="34" t="n"/>
      <c r="CJ454" s="34" t="n"/>
    </row>
    <row r="455">
      <c r="A455" s="29" t="n"/>
      <c r="B455" s="29" t="n"/>
      <c r="C455" s="35" t="n"/>
      <c r="D455" s="36" t="n"/>
      <c r="E455" s="147" t="n"/>
      <c r="F455" s="30" t="n"/>
      <c r="G455" s="30" t="n"/>
      <c r="H455" s="30" t="n"/>
      <c r="I455" s="30" t="n"/>
      <c r="J455" s="119" t="n"/>
      <c r="K455" s="34" t="n"/>
      <c r="L455" s="119" t="n"/>
      <c r="M455" s="34" t="n"/>
      <c r="N455" s="119" t="n"/>
      <c r="O455" s="34" t="n"/>
      <c r="P455" s="34" t="n"/>
      <c r="Q455" s="117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  <c r="AA455" s="34" t="n"/>
      <c r="AB455" s="34" t="n"/>
      <c r="AC455" s="34" t="n"/>
      <c r="AD455" s="34" t="n"/>
      <c r="AE455" s="34" t="n"/>
      <c r="AF455" s="34" t="n"/>
      <c r="AG455" s="34" t="n"/>
      <c r="AH455" s="34" t="n"/>
      <c r="AK455" s="34" t="n"/>
      <c r="AL455" s="34" t="n"/>
      <c r="AM455" s="39" t="n"/>
      <c r="AN455" s="34" t="n"/>
      <c r="AO455" s="34" t="n"/>
      <c r="AP455" s="34" t="n"/>
      <c r="AQ455" s="34" t="n"/>
      <c r="AR455" s="34" t="n"/>
      <c r="AS455" s="34" t="n"/>
      <c r="AU455" s="34" t="n"/>
      <c r="AV455" s="34" t="n"/>
      <c r="AW455" s="34" t="n"/>
      <c r="AX455" s="34" t="n"/>
      <c r="AY455" s="34" t="n"/>
      <c r="AZ455" s="34" t="n"/>
      <c r="BA455" s="34" t="n"/>
      <c r="BB455" s="34" t="n"/>
      <c r="BC455" s="34" t="n"/>
      <c r="BD455" s="34" t="n"/>
      <c r="BE455" s="34" t="n"/>
      <c r="BF455" s="34" t="n"/>
      <c r="BG455" s="34" t="n"/>
      <c r="BH455" s="34" t="n"/>
      <c r="BI455" s="34" t="n"/>
      <c r="BJ455" s="34" t="n"/>
      <c r="BK455" s="34" t="n"/>
      <c r="BL455" s="34" t="n"/>
      <c r="BM455" s="34" t="n"/>
      <c r="BN455" s="34" t="n"/>
      <c r="BO455" s="34" t="n"/>
      <c r="BP455" s="34" t="n"/>
      <c r="BQ455" s="34" t="n"/>
      <c r="BR455" s="82" t="n"/>
      <c r="BS455" s="34" t="n"/>
      <c r="BT455" s="34" t="n"/>
      <c r="BU455" s="34" t="n"/>
      <c r="BV455" s="34" t="n"/>
      <c r="BW455" s="34" t="n"/>
      <c r="BX455" s="34" t="n"/>
      <c r="BY455" s="34" t="n"/>
      <c r="BZ455" s="34" t="n"/>
      <c r="CA455" s="34" t="n"/>
      <c r="CB455" s="33" t="n"/>
      <c r="CC455" s="34" t="n"/>
      <c r="CD455" s="34" t="n"/>
      <c r="CE455" s="82" t="n"/>
      <c r="CF455" s="34" t="n"/>
      <c r="CG455" s="34" t="n"/>
      <c r="CH455" s="34" t="n"/>
      <c r="CI455" s="34" t="n"/>
      <c r="CJ455" s="34" t="n"/>
    </row>
    <row r="456">
      <c r="A456" s="29" t="n"/>
      <c r="B456" s="29" t="n"/>
      <c r="C456" s="35" t="n"/>
      <c r="D456" s="36" t="n"/>
      <c r="E456" s="147" t="n"/>
      <c r="F456" s="30" t="n"/>
      <c r="G456" s="30" t="n"/>
      <c r="H456" s="30" t="n"/>
      <c r="I456" s="30" t="n"/>
      <c r="J456" s="119" t="n"/>
      <c r="K456" s="34" t="n"/>
      <c r="L456" s="119" t="n"/>
      <c r="M456" s="34" t="n"/>
      <c r="N456" s="119" t="n"/>
      <c r="O456" s="34" t="n"/>
      <c r="P456" s="34" t="n"/>
      <c r="Q456" s="117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  <c r="AA456" s="34" t="n"/>
      <c r="AB456" s="34" t="n"/>
      <c r="AC456" s="34" t="n"/>
      <c r="AD456" s="34" t="n"/>
      <c r="AE456" s="34" t="n"/>
      <c r="AF456" s="34" t="n"/>
      <c r="AG456" s="34" t="n"/>
      <c r="AH456" s="34" t="n"/>
      <c r="AK456" s="34" t="n"/>
      <c r="AL456" s="34" t="n"/>
      <c r="AM456" s="39" t="n"/>
      <c r="AN456" s="34" t="n"/>
      <c r="AO456" s="34" t="n"/>
      <c r="AP456" s="34" t="n"/>
      <c r="AQ456" s="34" t="n"/>
      <c r="AR456" s="34" t="n"/>
      <c r="AS456" s="34" t="n"/>
      <c r="AU456" s="34" t="n"/>
      <c r="AV456" s="34" t="n"/>
      <c r="AW456" s="34" t="n"/>
      <c r="AX456" s="34" t="n"/>
      <c r="AY456" s="34" t="n"/>
      <c r="AZ456" s="34" t="n"/>
      <c r="BA456" s="34" t="n"/>
      <c r="BB456" s="34" t="n"/>
      <c r="BC456" s="34" t="n"/>
      <c r="BD456" s="34" t="n"/>
      <c r="BE456" s="34" t="n"/>
      <c r="BF456" s="34" t="n"/>
      <c r="BG456" s="34" t="n"/>
      <c r="BH456" s="34" t="n"/>
      <c r="BI456" s="34" t="n"/>
      <c r="BJ456" s="34" t="n"/>
      <c r="BK456" s="34" t="n"/>
      <c r="BL456" s="34" t="n"/>
      <c r="BM456" s="34" t="n"/>
      <c r="BN456" s="34" t="n"/>
      <c r="BO456" s="34" t="n"/>
      <c r="BP456" s="34" t="n"/>
      <c r="BQ456" s="34" t="n"/>
      <c r="BR456" s="82" t="n"/>
      <c r="BS456" s="34" t="n"/>
      <c r="BT456" s="34" t="n"/>
      <c r="BU456" s="34" t="n"/>
      <c r="BV456" s="34" t="n"/>
      <c r="BW456" s="34" t="n"/>
      <c r="BX456" s="34" t="n"/>
      <c r="BY456" s="34" t="n"/>
      <c r="BZ456" s="34" t="n"/>
      <c r="CA456" s="34" t="n"/>
      <c r="CB456" s="33" t="n"/>
      <c r="CC456" s="34" t="n"/>
      <c r="CD456" s="34" t="n"/>
      <c r="CE456" s="82" t="n"/>
      <c r="CF456" s="34" t="n"/>
      <c r="CG456" s="34" t="n"/>
      <c r="CH456" s="34" t="n"/>
      <c r="CI456" s="34" t="n"/>
      <c r="CJ456" s="34" t="n"/>
    </row>
    <row r="457">
      <c r="A457" s="29" t="n"/>
      <c r="B457" s="29" t="n"/>
      <c r="C457" s="35" t="n"/>
      <c r="D457" s="36" t="n"/>
      <c r="E457" s="147" t="n"/>
      <c r="F457" s="30" t="n"/>
      <c r="G457" s="30" t="n"/>
      <c r="H457" s="30" t="n"/>
      <c r="I457" s="30" t="n"/>
      <c r="J457" s="119" t="n"/>
      <c r="K457" s="34" t="n"/>
      <c r="L457" s="119" t="n"/>
      <c r="M457" s="34" t="n"/>
      <c r="N457" s="119" t="n"/>
      <c r="O457" s="34" t="n"/>
      <c r="P457" s="34" t="n"/>
      <c r="Q457" s="117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  <c r="AA457" s="34" t="n"/>
      <c r="AB457" s="34" t="n"/>
      <c r="AC457" s="34" t="n"/>
      <c r="AD457" s="34" t="n"/>
      <c r="AE457" s="34" t="n"/>
      <c r="AF457" s="34" t="n"/>
      <c r="AG457" s="34" t="n"/>
      <c r="AH457" s="34" t="n"/>
      <c r="AK457" s="34" t="n"/>
      <c r="AL457" s="34" t="n"/>
      <c r="AM457" s="39" t="n"/>
      <c r="AN457" s="34" t="n"/>
      <c r="AO457" s="34" t="n"/>
      <c r="AP457" s="34" t="n"/>
      <c r="AQ457" s="34" t="n"/>
      <c r="AR457" s="34" t="n"/>
      <c r="AS457" s="34" t="n"/>
      <c r="AU457" s="34" t="n"/>
      <c r="AV457" s="34" t="n"/>
      <c r="AW457" s="34" t="n"/>
      <c r="AX457" s="34" t="n"/>
      <c r="AY457" s="34" t="n"/>
      <c r="AZ457" s="34" t="n"/>
      <c r="BA457" s="34" t="n"/>
      <c r="BB457" s="34" t="n"/>
      <c r="BC457" s="34" t="n"/>
      <c r="BD457" s="34" t="n"/>
      <c r="BE457" s="34" t="n"/>
      <c r="BF457" s="34" t="n"/>
      <c r="BG457" s="34" t="n"/>
      <c r="BH457" s="34" t="n"/>
      <c r="BI457" s="34" t="n"/>
      <c r="BJ457" s="34" t="n"/>
      <c r="BK457" s="34" t="n"/>
      <c r="BL457" s="34" t="n"/>
      <c r="BM457" s="34" t="n"/>
      <c r="BN457" s="34" t="n"/>
      <c r="BO457" s="34" t="n"/>
      <c r="BP457" s="34" t="n"/>
      <c r="BQ457" s="34" t="n"/>
      <c r="BR457" s="82" t="n"/>
      <c r="BS457" s="34" t="n"/>
      <c r="BT457" s="34" t="n"/>
      <c r="BU457" s="34" t="n"/>
      <c r="BV457" s="34" t="n"/>
      <c r="BW457" s="34" t="n"/>
      <c r="BX457" s="34" t="n"/>
      <c r="BY457" s="34" t="n"/>
      <c r="BZ457" s="34" t="n"/>
      <c r="CA457" s="34" t="n"/>
      <c r="CB457" s="33" t="n"/>
      <c r="CC457" s="34" t="n"/>
      <c r="CD457" s="34" t="n"/>
      <c r="CE457" s="82" t="n"/>
      <c r="CF457" s="34" t="n"/>
      <c r="CG457" s="34" t="n"/>
      <c r="CH457" s="34" t="n"/>
      <c r="CI457" s="34" t="n"/>
      <c r="CJ457" s="34" t="n"/>
    </row>
    <row r="458">
      <c r="A458" s="29" t="n"/>
      <c r="B458" s="29" t="n"/>
      <c r="C458" s="35" t="n"/>
      <c r="D458" s="36" t="n"/>
      <c r="E458" s="147" t="n"/>
      <c r="F458" s="30" t="n"/>
      <c r="G458" s="30" t="n"/>
      <c r="H458" s="30" t="n"/>
      <c r="I458" s="30" t="n"/>
      <c r="J458" s="119" t="n"/>
      <c r="K458" s="34" t="n"/>
      <c r="L458" s="119" t="n"/>
      <c r="M458" s="34" t="n"/>
      <c r="N458" s="119" t="n"/>
      <c r="O458" s="34" t="n"/>
      <c r="P458" s="34" t="n"/>
      <c r="Q458" s="117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  <c r="AA458" s="34" t="n"/>
      <c r="AB458" s="34" t="n"/>
      <c r="AC458" s="34" t="n"/>
      <c r="AD458" s="34" t="n"/>
      <c r="AE458" s="34" t="n"/>
      <c r="AF458" s="34" t="n"/>
      <c r="AG458" s="34" t="n"/>
      <c r="AH458" s="34" t="n"/>
      <c r="AK458" s="34" t="n"/>
      <c r="AL458" s="34" t="n"/>
      <c r="AM458" s="39" t="n"/>
      <c r="AN458" s="34" t="n"/>
      <c r="AO458" s="34" t="n"/>
      <c r="AP458" s="34" t="n"/>
      <c r="AQ458" s="34" t="n"/>
      <c r="AR458" s="34" t="n"/>
      <c r="AS458" s="34" t="n"/>
      <c r="AU458" s="34" t="n"/>
      <c r="AV458" s="34" t="n"/>
      <c r="AW458" s="34" t="n"/>
      <c r="AX458" s="34" t="n"/>
      <c r="AY458" s="34" t="n"/>
      <c r="AZ458" s="34" t="n"/>
      <c r="BA458" s="34" t="n"/>
      <c r="BB458" s="34" t="n"/>
      <c r="BC458" s="34" t="n"/>
      <c r="BD458" s="34" t="n"/>
      <c r="BE458" s="34" t="n"/>
      <c r="BF458" s="34" t="n"/>
      <c r="BG458" s="34" t="n"/>
      <c r="BH458" s="34" t="n"/>
      <c r="BI458" s="34" t="n"/>
      <c r="BJ458" s="34" t="n"/>
      <c r="BK458" s="34" t="n"/>
      <c r="BL458" s="34" t="n"/>
      <c r="BM458" s="34" t="n"/>
      <c r="BN458" s="34" t="n"/>
      <c r="BO458" s="34" t="n"/>
      <c r="BP458" s="34" t="n"/>
      <c r="BQ458" s="34" t="n"/>
      <c r="BR458" s="82" t="n"/>
      <c r="BS458" s="34" t="n"/>
      <c r="BT458" s="34" t="n"/>
      <c r="BU458" s="34" t="n"/>
      <c r="BV458" s="34" t="n"/>
      <c r="BW458" s="34" t="n"/>
      <c r="BX458" s="34" t="n"/>
      <c r="BY458" s="34" t="n"/>
      <c r="BZ458" s="34" t="n"/>
      <c r="CA458" s="34" t="n"/>
      <c r="CB458" s="33" t="n"/>
      <c r="CC458" s="34" t="n"/>
      <c r="CD458" s="34" t="n"/>
      <c r="CE458" s="82" t="n"/>
      <c r="CF458" s="34" t="n"/>
      <c r="CG458" s="34" t="n"/>
      <c r="CH458" s="34" t="n"/>
      <c r="CI458" s="34" t="n"/>
      <c r="CJ458" s="34" t="n"/>
    </row>
    <row r="459">
      <c r="A459" s="29" t="n"/>
      <c r="B459" s="29" t="n"/>
      <c r="C459" s="35" t="n"/>
      <c r="D459" s="36" t="n"/>
      <c r="E459" s="147" t="n"/>
      <c r="F459" s="30" t="n"/>
      <c r="G459" s="30" t="n"/>
      <c r="H459" s="30" t="n"/>
      <c r="I459" s="30" t="n"/>
      <c r="J459" s="119" t="n"/>
      <c r="K459" s="34" t="n"/>
      <c r="L459" s="119" t="n"/>
      <c r="M459" s="34" t="n"/>
      <c r="N459" s="119" t="n"/>
      <c r="O459" s="34" t="n"/>
      <c r="P459" s="34" t="n"/>
      <c r="Q459" s="117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  <c r="AA459" s="34" t="n"/>
      <c r="AB459" s="34" t="n"/>
      <c r="AC459" s="34" t="n"/>
      <c r="AD459" s="34" t="n"/>
      <c r="AE459" s="34" t="n"/>
      <c r="AF459" s="34" t="n"/>
      <c r="AG459" s="34" t="n"/>
      <c r="AH459" s="34" t="n"/>
      <c r="AK459" s="34" t="n"/>
      <c r="AL459" s="34" t="n"/>
      <c r="AM459" s="39" t="n"/>
      <c r="AN459" s="34" t="n"/>
      <c r="AO459" s="34" t="n"/>
      <c r="AP459" s="34" t="n"/>
      <c r="AQ459" s="34" t="n"/>
      <c r="AR459" s="34" t="n"/>
      <c r="AS459" s="34" t="n"/>
      <c r="AU459" s="34" t="n"/>
      <c r="AV459" s="34" t="n"/>
      <c r="AW459" s="34" t="n"/>
      <c r="AX459" s="34" t="n"/>
      <c r="AY459" s="34" t="n"/>
      <c r="AZ459" s="34" t="n"/>
      <c r="BA459" s="34" t="n"/>
      <c r="BB459" s="34" t="n"/>
      <c r="BC459" s="34" t="n"/>
      <c r="BD459" s="34" t="n"/>
      <c r="BE459" s="34" t="n"/>
      <c r="BF459" s="34" t="n"/>
      <c r="BG459" s="34" t="n"/>
      <c r="BH459" s="34" t="n"/>
      <c r="BI459" s="34" t="n"/>
      <c r="BJ459" s="34" t="n"/>
      <c r="BK459" s="34" t="n"/>
      <c r="BL459" s="34" t="n"/>
      <c r="BM459" s="34" t="n"/>
      <c r="BN459" s="34" t="n"/>
      <c r="BO459" s="34" t="n"/>
      <c r="BP459" s="34" t="n"/>
      <c r="BQ459" s="34" t="n"/>
      <c r="BR459" s="82" t="n"/>
      <c r="BS459" s="34" t="n"/>
      <c r="BT459" s="34" t="n"/>
      <c r="BU459" s="34" t="n"/>
      <c r="BV459" s="34" t="n"/>
      <c r="BW459" s="34" t="n"/>
      <c r="BX459" s="34" t="n"/>
      <c r="BY459" s="34" t="n"/>
      <c r="BZ459" s="34" t="n"/>
      <c r="CA459" s="34" t="n"/>
      <c r="CB459" s="33" t="n"/>
      <c r="CC459" s="34" t="n"/>
      <c r="CD459" s="34" t="n"/>
      <c r="CE459" s="82" t="n"/>
      <c r="CF459" s="34" t="n"/>
      <c r="CG459" s="34" t="n"/>
      <c r="CH459" s="34" t="n"/>
      <c r="CI459" s="34" t="n"/>
      <c r="CJ459" s="34" t="n"/>
    </row>
    <row r="460">
      <c r="A460" s="29" t="n"/>
      <c r="B460" s="29" t="n"/>
      <c r="C460" s="35" t="n"/>
      <c r="D460" s="36" t="n"/>
      <c r="E460" s="147" t="n"/>
      <c r="F460" s="30" t="n"/>
      <c r="G460" s="30" t="n"/>
      <c r="H460" s="30" t="n"/>
      <c r="I460" s="30" t="n"/>
      <c r="J460" s="119" t="n"/>
      <c r="K460" s="34" t="n"/>
      <c r="L460" s="119" t="n"/>
      <c r="M460" s="34" t="n"/>
      <c r="N460" s="119" t="n"/>
      <c r="O460" s="34" t="n"/>
      <c r="P460" s="34" t="n"/>
      <c r="Q460" s="117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  <c r="AA460" s="34" t="n"/>
      <c r="AB460" s="34" t="n"/>
      <c r="AC460" s="34" t="n"/>
      <c r="AD460" s="34" t="n"/>
      <c r="AE460" s="34" t="n"/>
      <c r="AF460" s="34" t="n"/>
      <c r="AG460" s="34" t="n"/>
      <c r="AH460" s="34" t="n"/>
      <c r="AK460" s="34" t="n"/>
      <c r="AL460" s="34" t="n"/>
      <c r="AM460" s="39" t="n"/>
      <c r="AN460" s="34" t="n"/>
      <c r="AO460" s="34" t="n"/>
      <c r="AP460" s="34" t="n"/>
      <c r="AQ460" s="34" t="n"/>
      <c r="AR460" s="34" t="n"/>
      <c r="AS460" s="34" t="n"/>
      <c r="AU460" s="34" t="n"/>
      <c r="AV460" s="34" t="n"/>
      <c r="AW460" s="34" t="n"/>
      <c r="AX460" s="34" t="n"/>
      <c r="AY460" s="34" t="n"/>
      <c r="AZ460" s="34" t="n"/>
      <c r="BA460" s="34" t="n"/>
      <c r="BB460" s="34" t="n"/>
      <c r="BC460" s="34" t="n"/>
      <c r="BD460" s="34" t="n"/>
      <c r="BE460" s="34" t="n"/>
      <c r="BF460" s="34" t="n"/>
      <c r="BG460" s="34" t="n"/>
      <c r="BH460" s="34" t="n"/>
      <c r="BI460" s="34" t="n"/>
      <c r="BJ460" s="34" t="n"/>
      <c r="BK460" s="34" t="n"/>
      <c r="BL460" s="34" t="n"/>
      <c r="BM460" s="34" t="n"/>
      <c r="BN460" s="34" t="n"/>
      <c r="BO460" s="34" t="n"/>
      <c r="BP460" s="34" t="n"/>
      <c r="BQ460" s="34" t="n"/>
      <c r="BR460" s="82" t="n"/>
      <c r="BS460" s="34" t="n"/>
      <c r="BT460" s="34" t="n"/>
      <c r="BU460" s="34" t="n"/>
      <c r="BV460" s="34" t="n"/>
      <c r="BW460" s="34" t="n"/>
      <c r="BX460" s="34" t="n"/>
      <c r="BY460" s="34" t="n"/>
      <c r="BZ460" s="34" t="n"/>
      <c r="CA460" s="34" t="n"/>
      <c r="CB460" s="33" t="n"/>
      <c r="CC460" s="34" t="n"/>
      <c r="CD460" s="34" t="n"/>
      <c r="CE460" s="82" t="n"/>
      <c r="CF460" s="34" t="n"/>
      <c r="CG460" s="34" t="n"/>
      <c r="CH460" s="34" t="n"/>
      <c r="CI460" s="34" t="n"/>
      <c r="CJ460" s="34" t="n"/>
    </row>
    <row r="461">
      <c r="A461" s="29" t="n"/>
      <c r="B461" s="29" t="n"/>
      <c r="C461" s="35" t="n"/>
      <c r="D461" s="36" t="n"/>
      <c r="E461" s="147" t="n"/>
      <c r="F461" s="30" t="n"/>
      <c r="G461" s="30" t="n"/>
      <c r="H461" s="30" t="n"/>
      <c r="I461" s="30" t="n"/>
      <c r="J461" s="119" t="n"/>
      <c r="K461" s="34" t="n"/>
      <c r="L461" s="119" t="n"/>
      <c r="M461" s="34" t="n"/>
      <c r="N461" s="119" t="n"/>
      <c r="O461" s="34" t="n"/>
      <c r="P461" s="34" t="n"/>
      <c r="Q461" s="117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  <c r="AA461" s="34" t="n"/>
      <c r="AB461" s="34" t="n"/>
      <c r="AC461" s="34" t="n"/>
      <c r="AD461" s="34" t="n"/>
      <c r="AE461" s="34" t="n"/>
      <c r="AF461" s="34" t="n"/>
      <c r="AG461" s="34" t="n"/>
      <c r="AH461" s="34" t="n"/>
      <c r="AK461" s="34" t="n"/>
      <c r="AL461" s="34" t="n"/>
      <c r="AM461" s="39" t="n"/>
      <c r="AN461" s="34" t="n"/>
      <c r="AO461" s="34" t="n"/>
      <c r="AP461" s="34" t="n"/>
      <c r="AQ461" s="34" t="n"/>
      <c r="AR461" s="34" t="n"/>
      <c r="AS461" s="34" t="n"/>
      <c r="AU461" s="34" t="n"/>
      <c r="AV461" s="34" t="n"/>
      <c r="AW461" s="34" t="n"/>
      <c r="AX461" s="34" t="n"/>
      <c r="AY461" s="34" t="n"/>
      <c r="AZ461" s="34" t="n"/>
      <c r="BA461" s="34" t="n"/>
      <c r="BB461" s="34" t="n"/>
      <c r="BC461" s="34" t="n"/>
      <c r="BD461" s="34" t="n"/>
      <c r="BE461" s="34" t="n"/>
      <c r="BF461" s="34" t="n"/>
      <c r="BG461" s="34" t="n"/>
      <c r="BH461" s="34" t="n"/>
      <c r="BI461" s="34" t="n"/>
      <c r="BJ461" s="34" t="n"/>
      <c r="BK461" s="34" t="n"/>
      <c r="BL461" s="34" t="n"/>
      <c r="BM461" s="34" t="n"/>
      <c r="BN461" s="34" t="n"/>
      <c r="BO461" s="34" t="n"/>
      <c r="BP461" s="34" t="n"/>
      <c r="BQ461" s="34" t="n"/>
      <c r="BR461" s="82" t="n"/>
      <c r="BS461" s="34" t="n"/>
      <c r="BT461" s="34" t="n"/>
      <c r="BU461" s="34" t="n"/>
      <c r="BV461" s="34" t="n"/>
      <c r="BW461" s="34" t="n"/>
      <c r="BX461" s="34" t="n"/>
      <c r="BY461" s="34" t="n"/>
      <c r="BZ461" s="34" t="n"/>
      <c r="CA461" s="34" t="n"/>
      <c r="CB461" s="33" t="n"/>
      <c r="CC461" s="34" t="n"/>
      <c r="CD461" s="34" t="n"/>
      <c r="CE461" s="82" t="n"/>
      <c r="CF461" s="34" t="n"/>
      <c r="CG461" s="34" t="n"/>
      <c r="CH461" s="34" t="n"/>
      <c r="CI461" s="34" t="n"/>
      <c r="CJ461" s="34" t="n"/>
    </row>
    <row r="462">
      <c r="A462" s="29" t="n"/>
      <c r="B462" s="29" t="n"/>
      <c r="C462" s="35" t="n"/>
      <c r="D462" s="36" t="n"/>
      <c r="E462" s="147" t="n"/>
      <c r="F462" s="30" t="n"/>
      <c r="G462" s="30" t="n"/>
      <c r="H462" s="30" t="n"/>
      <c r="I462" s="30" t="n"/>
      <c r="J462" s="119" t="n"/>
      <c r="K462" s="34" t="n"/>
      <c r="L462" s="119" t="n"/>
      <c r="M462" s="34" t="n"/>
      <c r="N462" s="119" t="n"/>
      <c r="O462" s="34" t="n"/>
      <c r="P462" s="34" t="n"/>
      <c r="Q462" s="117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  <c r="AA462" s="34" t="n"/>
      <c r="AB462" s="34" t="n"/>
      <c r="AC462" s="34" t="n"/>
      <c r="AD462" s="34" t="n"/>
      <c r="AE462" s="34" t="n"/>
      <c r="AF462" s="34" t="n"/>
      <c r="AG462" s="34" t="n"/>
      <c r="AH462" s="34" t="n"/>
      <c r="AK462" s="34" t="n"/>
      <c r="AL462" s="34" t="n"/>
      <c r="AM462" s="39" t="n"/>
      <c r="AN462" s="34" t="n"/>
      <c r="AO462" s="34" t="n"/>
      <c r="AP462" s="34" t="n"/>
      <c r="AQ462" s="34" t="n"/>
      <c r="AR462" s="34" t="n"/>
      <c r="AS462" s="34" t="n"/>
      <c r="AU462" s="34" t="n"/>
      <c r="AV462" s="34" t="n"/>
      <c r="AW462" s="34" t="n"/>
      <c r="AX462" s="34" t="n"/>
      <c r="AY462" s="34" t="n"/>
      <c r="AZ462" s="34" t="n"/>
      <c r="BA462" s="34" t="n"/>
      <c r="BB462" s="34" t="n"/>
      <c r="BC462" s="34" t="n"/>
      <c r="BD462" s="34" t="n"/>
      <c r="BE462" s="34" t="n"/>
      <c r="BF462" s="34" t="n"/>
      <c r="BG462" s="34" t="n"/>
      <c r="BH462" s="34" t="n"/>
      <c r="BI462" s="34" t="n"/>
      <c r="BJ462" s="34" t="n"/>
      <c r="BK462" s="34" t="n"/>
      <c r="BL462" s="34" t="n"/>
      <c r="BM462" s="34" t="n"/>
      <c r="BN462" s="34" t="n"/>
      <c r="BO462" s="34" t="n"/>
      <c r="BP462" s="34" t="n"/>
      <c r="BQ462" s="34" t="n"/>
      <c r="BR462" s="82" t="n"/>
      <c r="BS462" s="34" t="n"/>
      <c r="BT462" s="34" t="n"/>
      <c r="BU462" s="34" t="n"/>
      <c r="BV462" s="34" t="n"/>
      <c r="BW462" s="34" t="n"/>
      <c r="BX462" s="34" t="n"/>
      <c r="BY462" s="34" t="n"/>
      <c r="BZ462" s="34" t="n"/>
      <c r="CA462" s="34" t="n"/>
      <c r="CB462" s="33" t="n"/>
      <c r="CC462" s="34" t="n"/>
      <c r="CD462" s="34" t="n"/>
      <c r="CE462" s="82" t="n"/>
      <c r="CF462" s="34" t="n"/>
      <c r="CG462" s="34" t="n"/>
      <c r="CH462" s="34" t="n"/>
      <c r="CI462" s="34" t="n"/>
      <c r="CJ462" s="34" t="n"/>
    </row>
    <row r="463">
      <c r="A463" s="29" t="n"/>
      <c r="B463" s="29" t="n"/>
      <c r="C463" s="35" t="n"/>
      <c r="D463" s="36" t="n"/>
      <c r="E463" s="147" t="n"/>
      <c r="F463" s="30" t="n"/>
      <c r="G463" s="30" t="n"/>
      <c r="H463" s="30" t="n"/>
      <c r="I463" s="30" t="n"/>
      <c r="J463" s="119" t="n"/>
      <c r="K463" s="34" t="n"/>
      <c r="L463" s="119" t="n"/>
      <c r="M463" s="34" t="n"/>
      <c r="N463" s="119" t="n"/>
      <c r="O463" s="34" t="n"/>
      <c r="P463" s="34" t="n"/>
      <c r="Q463" s="117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  <c r="AA463" s="34" t="n"/>
      <c r="AB463" s="34" t="n"/>
      <c r="AC463" s="34" t="n"/>
      <c r="AD463" s="34" t="n"/>
      <c r="AE463" s="34" t="n"/>
      <c r="AF463" s="34" t="n"/>
      <c r="AG463" s="34" t="n"/>
      <c r="AH463" s="34" t="n"/>
      <c r="AK463" s="34" t="n"/>
      <c r="AL463" s="34" t="n"/>
      <c r="AM463" s="39" t="n"/>
      <c r="AN463" s="34" t="n"/>
      <c r="AO463" s="34" t="n"/>
      <c r="AP463" s="34" t="n"/>
      <c r="AQ463" s="34" t="n"/>
      <c r="AR463" s="34" t="n"/>
      <c r="AS463" s="34" t="n"/>
      <c r="AU463" s="34" t="n"/>
      <c r="AV463" s="34" t="n"/>
      <c r="AW463" s="34" t="n"/>
      <c r="AX463" s="34" t="n"/>
      <c r="AY463" s="34" t="n"/>
      <c r="AZ463" s="34" t="n"/>
      <c r="BA463" s="34" t="n"/>
      <c r="BB463" s="34" t="n"/>
      <c r="BC463" s="34" t="n"/>
      <c r="BD463" s="34" t="n"/>
      <c r="BE463" s="34" t="n"/>
      <c r="BF463" s="34" t="n"/>
      <c r="BG463" s="34" t="n"/>
      <c r="BH463" s="34" t="n"/>
      <c r="BI463" s="34" t="n"/>
      <c r="BJ463" s="34" t="n"/>
      <c r="BK463" s="34" t="n"/>
      <c r="BL463" s="34" t="n"/>
      <c r="BM463" s="34" t="n"/>
      <c r="BN463" s="34" t="n"/>
      <c r="BO463" s="34" t="n"/>
      <c r="BP463" s="34" t="n"/>
      <c r="BQ463" s="34" t="n"/>
      <c r="BR463" s="82" t="n"/>
      <c r="BS463" s="34" t="n"/>
      <c r="BT463" s="34" t="n"/>
      <c r="BU463" s="34" t="n"/>
      <c r="BV463" s="34" t="n"/>
      <c r="BW463" s="34" t="n"/>
      <c r="BX463" s="34" t="n"/>
      <c r="BY463" s="34" t="n"/>
      <c r="BZ463" s="34" t="n"/>
      <c r="CA463" s="34" t="n"/>
      <c r="CB463" s="33" t="n"/>
      <c r="CC463" s="34" t="n"/>
      <c r="CD463" s="34" t="n"/>
      <c r="CE463" s="82" t="n"/>
      <c r="CF463" s="34" t="n"/>
      <c r="CG463" s="34" t="n"/>
      <c r="CH463" s="34" t="n"/>
      <c r="CI463" s="34" t="n"/>
      <c r="CJ463" s="34" t="n"/>
    </row>
    <row r="464">
      <c r="A464" s="29" t="n"/>
      <c r="B464" s="29" t="n"/>
      <c r="C464" s="35" t="n"/>
      <c r="D464" s="36" t="n"/>
      <c r="E464" s="147" t="n"/>
      <c r="F464" s="30" t="n"/>
      <c r="G464" s="30" t="n"/>
      <c r="H464" s="30" t="n"/>
      <c r="I464" s="30" t="n"/>
      <c r="J464" s="119" t="n"/>
      <c r="K464" s="34" t="n"/>
      <c r="L464" s="119" t="n"/>
      <c r="M464" s="34" t="n"/>
      <c r="N464" s="119" t="n"/>
      <c r="O464" s="34" t="n"/>
      <c r="P464" s="34" t="n"/>
      <c r="Q464" s="117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  <c r="AA464" s="34" t="n"/>
      <c r="AB464" s="34" t="n"/>
      <c r="AC464" s="34" t="n"/>
      <c r="AD464" s="34" t="n"/>
      <c r="AE464" s="34" t="n"/>
      <c r="AF464" s="34" t="n"/>
      <c r="AG464" s="34" t="n"/>
      <c r="AH464" s="34" t="n"/>
      <c r="AK464" s="34" t="n"/>
      <c r="AL464" s="34" t="n"/>
      <c r="AM464" s="39" t="n"/>
      <c r="AN464" s="34" t="n"/>
      <c r="AO464" s="34" t="n"/>
      <c r="AP464" s="34" t="n"/>
      <c r="AQ464" s="34" t="n"/>
      <c r="AR464" s="34" t="n"/>
      <c r="AS464" s="34" t="n"/>
      <c r="AU464" s="34" t="n"/>
      <c r="AV464" s="34" t="n"/>
      <c r="AW464" s="34" t="n"/>
      <c r="AX464" s="34" t="n"/>
      <c r="AY464" s="34" t="n"/>
      <c r="AZ464" s="34" t="n"/>
      <c r="BA464" s="34" t="n"/>
      <c r="BB464" s="34" t="n"/>
      <c r="BC464" s="34" t="n"/>
      <c r="BD464" s="34" t="n"/>
      <c r="BE464" s="34" t="n"/>
      <c r="BF464" s="34" t="n"/>
      <c r="BG464" s="34" t="n"/>
      <c r="BH464" s="34" t="n"/>
      <c r="BI464" s="34" t="n"/>
      <c r="BJ464" s="34" t="n"/>
      <c r="BK464" s="34" t="n"/>
      <c r="BL464" s="34" t="n"/>
      <c r="BM464" s="34" t="n"/>
      <c r="BN464" s="34" t="n"/>
      <c r="BO464" s="34" t="n"/>
      <c r="BP464" s="34" t="n"/>
      <c r="BQ464" s="34" t="n"/>
      <c r="BR464" s="82" t="n"/>
      <c r="BS464" s="34" t="n"/>
      <c r="BT464" s="34" t="n"/>
      <c r="BU464" s="34" t="n"/>
      <c r="BV464" s="34" t="n"/>
      <c r="BW464" s="34" t="n"/>
      <c r="BX464" s="34" t="n"/>
      <c r="BY464" s="34" t="n"/>
      <c r="BZ464" s="34" t="n"/>
      <c r="CA464" s="34" t="n"/>
      <c r="CB464" s="33" t="n"/>
      <c r="CC464" s="34" t="n"/>
      <c r="CD464" s="34" t="n"/>
      <c r="CE464" s="82" t="n"/>
      <c r="CF464" s="34" t="n"/>
      <c r="CG464" s="34" t="n"/>
      <c r="CH464" s="34" t="n"/>
      <c r="CI464" s="34" t="n"/>
      <c r="CJ464" s="34" t="n"/>
    </row>
    <row r="465">
      <c r="A465" s="29" t="n"/>
      <c r="B465" s="29" t="n"/>
      <c r="C465" s="35" t="n"/>
      <c r="D465" s="36" t="n"/>
      <c r="E465" s="147" t="n"/>
      <c r="F465" s="30" t="n"/>
      <c r="G465" s="30" t="n"/>
      <c r="H465" s="30" t="n"/>
      <c r="I465" s="30" t="n"/>
      <c r="J465" s="119" t="n"/>
      <c r="K465" s="34" t="n"/>
      <c r="L465" s="119" t="n"/>
      <c r="M465" s="34" t="n"/>
      <c r="N465" s="119" t="n"/>
      <c r="O465" s="34" t="n"/>
      <c r="P465" s="34" t="n"/>
      <c r="Q465" s="117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  <c r="AA465" s="34" t="n"/>
      <c r="AB465" s="34" t="n"/>
      <c r="AC465" s="34" t="n"/>
      <c r="AD465" s="34" t="n"/>
      <c r="AE465" s="34" t="n"/>
      <c r="AF465" s="34" t="n"/>
      <c r="AG465" s="34" t="n"/>
      <c r="AH465" s="34" t="n"/>
      <c r="AK465" s="34" t="n"/>
      <c r="AL465" s="34" t="n"/>
      <c r="AM465" s="39" t="n"/>
      <c r="AN465" s="34" t="n"/>
      <c r="AO465" s="34" t="n"/>
      <c r="AP465" s="34" t="n"/>
      <c r="AQ465" s="34" t="n"/>
      <c r="AR465" s="34" t="n"/>
      <c r="AS465" s="34" t="n"/>
      <c r="AU465" s="34" t="n"/>
      <c r="AV465" s="34" t="n"/>
      <c r="AW465" s="34" t="n"/>
      <c r="AX465" s="34" t="n"/>
      <c r="AY465" s="34" t="n"/>
      <c r="AZ465" s="34" t="n"/>
      <c r="BA465" s="34" t="n"/>
      <c r="BB465" s="34" t="n"/>
      <c r="BC465" s="34" t="n"/>
      <c r="BD465" s="34" t="n"/>
      <c r="BE465" s="34" t="n"/>
      <c r="BF465" s="34" t="n"/>
      <c r="BG465" s="34" t="n"/>
      <c r="BH465" s="34" t="n"/>
      <c r="BI465" s="34" t="n"/>
      <c r="BJ465" s="34" t="n"/>
      <c r="BK465" s="34" t="n"/>
      <c r="BL465" s="34" t="n"/>
      <c r="BM465" s="34" t="n"/>
      <c r="BN465" s="34" t="n"/>
      <c r="BO465" s="34" t="n"/>
      <c r="BP465" s="34" t="n"/>
      <c r="BQ465" s="34" t="n"/>
      <c r="BR465" s="82" t="n"/>
      <c r="BS465" s="34" t="n"/>
      <c r="BT465" s="34" t="n"/>
      <c r="BU465" s="34" t="n"/>
      <c r="BV465" s="34" t="n"/>
      <c r="BW465" s="34" t="n"/>
      <c r="BX465" s="34" t="n"/>
      <c r="BY465" s="34" t="n"/>
      <c r="BZ465" s="34" t="n"/>
      <c r="CA465" s="34" t="n"/>
      <c r="CB465" s="33" t="n"/>
      <c r="CC465" s="34" t="n"/>
      <c r="CD465" s="34" t="n"/>
      <c r="CE465" s="82" t="n"/>
      <c r="CF465" s="34" t="n"/>
      <c r="CG465" s="34" t="n"/>
      <c r="CH465" s="34" t="n"/>
      <c r="CI465" s="34" t="n"/>
      <c r="CJ465" s="34" t="n"/>
    </row>
    <row r="466">
      <c r="A466" s="29" t="n"/>
      <c r="B466" s="29" t="n"/>
      <c r="C466" s="35" t="n"/>
      <c r="D466" s="36" t="n"/>
      <c r="E466" s="147" t="n"/>
      <c r="F466" s="30" t="n"/>
      <c r="G466" s="30" t="n"/>
      <c r="H466" s="30" t="n"/>
      <c r="I466" s="30" t="n"/>
      <c r="J466" s="119" t="n"/>
      <c r="K466" s="34" t="n"/>
      <c r="L466" s="119" t="n"/>
      <c r="M466" s="34" t="n"/>
      <c r="N466" s="119" t="n"/>
      <c r="O466" s="34" t="n"/>
      <c r="P466" s="34" t="n"/>
      <c r="Q466" s="117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  <c r="AA466" s="34" t="n"/>
      <c r="AB466" s="34" t="n"/>
      <c r="AC466" s="34" t="n"/>
      <c r="AD466" s="34" t="n"/>
      <c r="AE466" s="34" t="n"/>
      <c r="AF466" s="34" t="n"/>
      <c r="AG466" s="34" t="n"/>
      <c r="AH466" s="34" t="n"/>
      <c r="AK466" s="34" t="n"/>
      <c r="AL466" s="34" t="n"/>
      <c r="AM466" s="39" t="n"/>
      <c r="AN466" s="34" t="n"/>
      <c r="AO466" s="34" t="n"/>
      <c r="AP466" s="34" t="n"/>
      <c r="AQ466" s="34" t="n"/>
      <c r="AR466" s="34" t="n"/>
      <c r="AS466" s="34" t="n"/>
      <c r="AU466" s="34" t="n"/>
      <c r="AV466" s="34" t="n"/>
      <c r="AW466" s="34" t="n"/>
      <c r="AX466" s="34" t="n"/>
      <c r="AY466" s="34" t="n"/>
      <c r="AZ466" s="34" t="n"/>
      <c r="BA466" s="34" t="n"/>
      <c r="BB466" s="34" t="n"/>
      <c r="BC466" s="34" t="n"/>
      <c r="BD466" s="34" t="n"/>
      <c r="BE466" s="34" t="n"/>
      <c r="BF466" s="34" t="n"/>
      <c r="BG466" s="34" t="n"/>
      <c r="BH466" s="34" t="n"/>
      <c r="BI466" s="34" t="n"/>
      <c r="BJ466" s="34" t="n"/>
      <c r="BK466" s="34" t="n"/>
      <c r="BL466" s="34" t="n"/>
      <c r="BM466" s="34" t="n"/>
      <c r="BN466" s="34" t="n"/>
      <c r="BO466" s="34" t="n"/>
      <c r="BP466" s="34" t="n"/>
      <c r="BQ466" s="34" t="n"/>
      <c r="BR466" s="82" t="n"/>
      <c r="BS466" s="34" t="n"/>
      <c r="BT466" s="34" t="n"/>
      <c r="BU466" s="34" t="n"/>
      <c r="BV466" s="34" t="n"/>
      <c r="BW466" s="34" t="n"/>
      <c r="BX466" s="34" t="n"/>
      <c r="BY466" s="34" t="n"/>
      <c r="BZ466" s="34" t="n"/>
      <c r="CA466" s="34" t="n"/>
      <c r="CB466" s="33" t="n"/>
      <c r="CC466" s="34" t="n"/>
      <c r="CD466" s="34" t="n"/>
      <c r="CE466" s="82" t="n"/>
      <c r="CF466" s="34" t="n"/>
      <c r="CG466" s="34" t="n"/>
      <c r="CH466" s="34" t="n"/>
      <c r="CI466" s="34" t="n"/>
      <c r="CJ466" s="34" t="n"/>
    </row>
    <row r="467">
      <c r="A467" s="29" t="n"/>
      <c r="B467" s="29" t="n"/>
      <c r="C467" s="35" t="n"/>
      <c r="D467" s="36" t="n"/>
      <c r="E467" s="147" t="n"/>
      <c r="F467" s="30" t="n"/>
      <c r="G467" s="30" t="n"/>
      <c r="H467" s="30" t="n"/>
      <c r="I467" s="30" t="n"/>
      <c r="J467" s="119" t="n"/>
      <c r="K467" s="34" t="n"/>
      <c r="L467" s="119" t="n"/>
      <c r="M467" s="34" t="n"/>
      <c r="N467" s="119" t="n"/>
      <c r="O467" s="34" t="n"/>
      <c r="P467" s="34" t="n"/>
      <c r="Q467" s="117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  <c r="AA467" s="34" t="n"/>
      <c r="AB467" s="34" t="n"/>
      <c r="AC467" s="34" t="n"/>
      <c r="AD467" s="34" t="n"/>
      <c r="AE467" s="34" t="n"/>
      <c r="AF467" s="34" t="n"/>
      <c r="AG467" s="34" t="n"/>
      <c r="AH467" s="34" t="n"/>
      <c r="AK467" s="34" t="n"/>
      <c r="AL467" s="34" t="n"/>
      <c r="AM467" s="39" t="n"/>
      <c r="AN467" s="34" t="n"/>
      <c r="AO467" s="34" t="n"/>
      <c r="AP467" s="34" t="n"/>
      <c r="AQ467" s="34" t="n"/>
      <c r="AR467" s="34" t="n"/>
      <c r="AS467" s="34" t="n"/>
      <c r="AU467" s="34" t="n"/>
      <c r="AV467" s="34" t="n"/>
      <c r="AW467" s="34" t="n"/>
      <c r="AX467" s="34" t="n"/>
      <c r="AY467" s="34" t="n"/>
      <c r="AZ467" s="34" t="n"/>
      <c r="BA467" s="34" t="n"/>
      <c r="BB467" s="34" t="n"/>
      <c r="BC467" s="34" t="n"/>
      <c r="BD467" s="34" t="n"/>
      <c r="BE467" s="34" t="n"/>
      <c r="BF467" s="34" t="n"/>
      <c r="BG467" s="34" t="n"/>
      <c r="BH467" s="34" t="n"/>
      <c r="BI467" s="34" t="n"/>
      <c r="BJ467" s="34" t="n"/>
      <c r="BK467" s="34" t="n"/>
      <c r="BL467" s="34" t="n"/>
      <c r="BM467" s="34" t="n"/>
      <c r="BN467" s="34" t="n"/>
      <c r="BO467" s="34" t="n"/>
      <c r="BP467" s="34" t="n"/>
      <c r="BQ467" s="34" t="n"/>
      <c r="BR467" s="82" t="n"/>
      <c r="BS467" s="34" t="n"/>
      <c r="BT467" s="34" t="n"/>
      <c r="BU467" s="34" t="n"/>
      <c r="BV467" s="34" t="n"/>
      <c r="BW467" s="34" t="n"/>
      <c r="BX467" s="34" t="n"/>
      <c r="BY467" s="34" t="n"/>
      <c r="BZ467" s="34" t="n"/>
      <c r="CA467" s="34" t="n"/>
      <c r="CB467" s="33" t="n"/>
      <c r="CC467" s="34" t="n"/>
      <c r="CD467" s="34" t="n"/>
      <c r="CE467" s="82" t="n"/>
      <c r="CF467" s="34" t="n"/>
      <c r="CG467" s="34" t="n"/>
      <c r="CH467" s="34" t="n"/>
      <c r="CI467" s="34" t="n"/>
      <c r="CJ467" s="34" t="n"/>
    </row>
    <row r="468">
      <c r="A468" s="29" t="n"/>
      <c r="B468" s="29" t="n"/>
      <c r="C468" s="35" t="n"/>
      <c r="D468" s="36" t="n"/>
      <c r="E468" s="147" t="n"/>
      <c r="F468" s="30" t="n"/>
      <c r="G468" s="30" t="n"/>
      <c r="H468" s="30" t="n"/>
      <c r="I468" s="30" t="n"/>
      <c r="J468" s="119" t="n"/>
      <c r="K468" s="34" t="n"/>
      <c r="L468" s="119" t="n"/>
      <c r="M468" s="34" t="n"/>
      <c r="N468" s="119" t="n"/>
      <c r="O468" s="34" t="n"/>
      <c r="P468" s="34" t="n"/>
      <c r="Q468" s="117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  <c r="AA468" s="34" t="n"/>
      <c r="AB468" s="34" t="n"/>
      <c r="AC468" s="34" t="n"/>
      <c r="AD468" s="34" t="n"/>
      <c r="AE468" s="34" t="n"/>
      <c r="AF468" s="34" t="n"/>
      <c r="AG468" s="34" t="n"/>
      <c r="AH468" s="34" t="n"/>
      <c r="AK468" s="34" t="n"/>
      <c r="AL468" s="34" t="n"/>
      <c r="AM468" s="39" t="n"/>
      <c r="AN468" s="34" t="n"/>
      <c r="AO468" s="34" t="n"/>
      <c r="AP468" s="34" t="n"/>
      <c r="AQ468" s="34" t="n"/>
      <c r="AR468" s="34" t="n"/>
      <c r="AS468" s="34" t="n"/>
      <c r="AU468" s="34" t="n"/>
      <c r="AV468" s="34" t="n"/>
      <c r="AW468" s="34" t="n"/>
      <c r="AX468" s="34" t="n"/>
      <c r="AY468" s="34" t="n"/>
      <c r="AZ468" s="34" t="n"/>
      <c r="BA468" s="34" t="n"/>
      <c r="BB468" s="34" t="n"/>
      <c r="BC468" s="34" t="n"/>
      <c r="BD468" s="34" t="n"/>
      <c r="BE468" s="34" t="n"/>
      <c r="BF468" s="34" t="n"/>
      <c r="BG468" s="34" t="n"/>
      <c r="BH468" s="34" t="n"/>
      <c r="BI468" s="34" t="n"/>
      <c r="BJ468" s="34" t="n"/>
      <c r="BK468" s="34" t="n"/>
      <c r="BL468" s="34" t="n"/>
      <c r="BM468" s="34" t="n"/>
      <c r="BN468" s="34" t="n"/>
      <c r="BO468" s="34" t="n"/>
      <c r="BP468" s="34" t="n"/>
      <c r="BQ468" s="34" t="n"/>
      <c r="BR468" s="82" t="n"/>
      <c r="BS468" s="34" t="n"/>
      <c r="BT468" s="34" t="n"/>
      <c r="BU468" s="34" t="n"/>
      <c r="BV468" s="34" t="n"/>
      <c r="BW468" s="34" t="n"/>
      <c r="BX468" s="34" t="n"/>
      <c r="BY468" s="34" t="n"/>
      <c r="BZ468" s="34" t="n"/>
      <c r="CA468" s="34" t="n"/>
      <c r="CB468" s="33" t="n"/>
      <c r="CC468" s="34" t="n"/>
      <c r="CD468" s="34" t="n"/>
      <c r="CE468" s="82" t="n"/>
      <c r="CF468" s="34" t="n"/>
      <c r="CG468" s="34" t="n"/>
      <c r="CH468" s="34" t="n"/>
      <c r="CI468" s="34" t="n"/>
      <c r="CJ468" s="34" t="n"/>
    </row>
    <row r="469">
      <c r="A469" s="29" t="n"/>
      <c r="B469" s="29" t="n"/>
      <c r="C469" s="35" t="n"/>
      <c r="D469" s="36" t="n"/>
      <c r="E469" s="147" t="n"/>
      <c r="F469" s="30" t="n"/>
      <c r="G469" s="30" t="n"/>
      <c r="H469" s="30" t="n"/>
      <c r="I469" s="30" t="n"/>
      <c r="J469" s="119" t="n"/>
      <c r="K469" s="34" t="n"/>
      <c r="L469" s="119" t="n"/>
      <c r="M469" s="34" t="n"/>
      <c r="N469" s="119" t="n"/>
      <c r="O469" s="34" t="n"/>
      <c r="P469" s="34" t="n"/>
      <c r="Q469" s="117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  <c r="AA469" s="34" t="n"/>
      <c r="AB469" s="34" t="n"/>
      <c r="AC469" s="34" t="n"/>
      <c r="AD469" s="34" t="n"/>
      <c r="AE469" s="34" t="n"/>
      <c r="AF469" s="34" t="n"/>
      <c r="AG469" s="34" t="n"/>
      <c r="AH469" s="34" t="n"/>
      <c r="AK469" s="34" t="n"/>
      <c r="AL469" s="34" t="n"/>
      <c r="AM469" s="39" t="n"/>
      <c r="AN469" s="34" t="n"/>
      <c r="AO469" s="34" t="n"/>
      <c r="AP469" s="34" t="n"/>
      <c r="AQ469" s="34" t="n"/>
      <c r="AR469" s="34" t="n"/>
      <c r="AS469" s="34" t="n"/>
      <c r="AU469" s="34" t="n"/>
      <c r="AV469" s="34" t="n"/>
      <c r="AW469" s="34" t="n"/>
      <c r="AX469" s="34" t="n"/>
      <c r="AY469" s="34" t="n"/>
      <c r="AZ469" s="34" t="n"/>
      <c r="BA469" s="34" t="n"/>
      <c r="BB469" s="34" t="n"/>
      <c r="BC469" s="34" t="n"/>
      <c r="BD469" s="34" t="n"/>
      <c r="BE469" s="34" t="n"/>
      <c r="BF469" s="34" t="n"/>
      <c r="BG469" s="34" t="n"/>
      <c r="BH469" s="34" t="n"/>
      <c r="BI469" s="34" t="n"/>
      <c r="BJ469" s="34" t="n"/>
      <c r="BK469" s="34" t="n"/>
      <c r="BL469" s="34" t="n"/>
      <c r="BM469" s="34" t="n"/>
      <c r="BN469" s="34" t="n"/>
      <c r="BO469" s="34" t="n"/>
      <c r="BP469" s="34" t="n"/>
      <c r="BQ469" s="34" t="n"/>
      <c r="BR469" s="82" t="n"/>
      <c r="BS469" s="34" t="n"/>
      <c r="BT469" s="34" t="n"/>
      <c r="BU469" s="34" t="n"/>
      <c r="BV469" s="34" t="n"/>
      <c r="BW469" s="34" t="n"/>
      <c r="BX469" s="34" t="n"/>
      <c r="BY469" s="34" t="n"/>
      <c r="BZ469" s="34" t="n"/>
      <c r="CA469" s="34" t="n"/>
      <c r="CB469" s="33" t="n"/>
      <c r="CC469" s="34" t="n"/>
      <c r="CD469" s="34" t="n"/>
      <c r="CE469" s="82" t="n"/>
      <c r="CF469" s="34" t="n"/>
      <c r="CG469" s="34" t="n"/>
      <c r="CH469" s="34" t="n"/>
      <c r="CI469" s="34" t="n"/>
      <c r="CJ469" s="34" t="n"/>
    </row>
    <row r="470">
      <c r="A470" s="29" t="n"/>
      <c r="B470" s="29" t="n"/>
      <c r="C470" s="35" t="n"/>
      <c r="D470" s="36" t="n"/>
      <c r="E470" s="147" t="n"/>
      <c r="F470" s="30" t="n"/>
      <c r="G470" s="30" t="n"/>
      <c r="H470" s="30" t="n"/>
      <c r="I470" s="30" t="n"/>
      <c r="J470" s="119" t="n"/>
      <c r="K470" s="34" t="n"/>
      <c r="L470" s="119" t="n"/>
      <c r="M470" s="34" t="n"/>
      <c r="N470" s="119" t="n"/>
      <c r="O470" s="34" t="n"/>
      <c r="P470" s="34" t="n"/>
      <c r="Q470" s="117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  <c r="AA470" s="34" t="n"/>
      <c r="AB470" s="34" t="n"/>
      <c r="AC470" s="34" t="n"/>
      <c r="AD470" s="34" t="n"/>
      <c r="AE470" s="34" t="n"/>
      <c r="AF470" s="34" t="n"/>
      <c r="AG470" s="34" t="n"/>
      <c r="AH470" s="34" t="n"/>
      <c r="AK470" s="34" t="n"/>
      <c r="AL470" s="34" t="n"/>
      <c r="AM470" s="39" t="n"/>
      <c r="AN470" s="34" t="n"/>
      <c r="AO470" s="34" t="n"/>
      <c r="AP470" s="34" t="n"/>
      <c r="AQ470" s="34" t="n"/>
      <c r="AR470" s="34" t="n"/>
      <c r="AS470" s="34" t="n"/>
      <c r="AU470" s="34" t="n"/>
      <c r="AV470" s="34" t="n"/>
      <c r="AW470" s="34" t="n"/>
      <c r="AX470" s="34" t="n"/>
      <c r="AY470" s="34" t="n"/>
      <c r="AZ470" s="34" t="n"/>
      <c r="BA470" s="34" t="n"/>
      <c r="BB470" s="34" t="n"/>
      <c r="BC470" s="34" t="n"/>
      <c r="BD470" s="34" t="n"/>
      <c r="BE470" s="34" t="n"/>
      <c r="BF470" s="34" t="n"/>
      <c r="BG470" s="34" t="n"/>
      <c r="BH470" s="34" t="n"/>
      <c r="BI470" s="34" t="n"/>
      <c r="BJ470" s="34" t="n"/>
      <c r="BK470" s="34" t="n"/>
      <c r="BL470" s="34" t="n"/>
      <c r="BM470" s="34" t="n"/>
      <c r="BN470" s="34" t="n"/>
      <c r="BO470" s="34" t="n"/>
      <c r="BP470" s="34" t="n"/>
      <c r="BQ470" s="34" t="n"/>
      <c r="BR470" s="82" t="n"/>
      <c r="BS470" s="34" t="n"/>
      <c r="BT470" s="34" t="n"/>
      <c r="BU470" s="34" t="n"/>
      <c r="BV470" s="34" t="n"/>
      <c r="BW470" s="34" t="n"/>
      <c r="BX470" s="34" t="n"/>
      <c r="BY470" s="34" t="n"/>
      <c r="BZ470" s="34" t="n"/>
      <c r="CA470" s="34" t="n"/>
      <c r="CB470" s="33" t="n"/>
      <c r="CC470" s="34" t="n"/>
      <c r="CD470" s="34" t="n"/>
      <c r="CE470" s="82" t="n"/>
      <c r="CF470" s="34" t="n"/>
      <c r="CG470" s="34" t="n"/>
      <c r="CH470" s="34" t="n"/>
      <c r="CI470" s="34" t="n"/>
      <c r="CJ470" s="34" t="n"/>
    </row>
    <row r="471">
      <c r="A471" s="29" t="n"/>
      <c r="B471" s="29" t="n"/>
      <c r="C471" s="35" t="n"/>
      <c r="D471" s="36" t="n"/>
      <c r="E471" s="147" t="n"/>
      <c r="F471" s="30" t="n"/>
      <c r="G471" s="30" t="n"/>
      <c r="H471" s="30" t="n"/>
      <c r="I471" s="30" t="n"/>
      <c r="J471" s="119" t="n"/>
      <c r="K471" s="34" t="n"/>
      <c r="L471" s="119" t="n"/>
      <c r="M471" s="34" t="n"/>
      <c r="N471" s="119" t="n"/>
      <c r="O471" s="34" t="n"/>
      <c r="P471" s="34" t="n"/>
      <c r="Q471" s="117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  <c r="AA471" s="34" t="n"/>
      <c r="AB471" s="34" t="n"/>
      <c r="AC471" s="34" t="n"/>
      <c r="AD471" s="34" t="n"/>
      <c r="AE471" s="34" t="n"/>
      <c r="AF471" s="34" t="n"/>
      <c r="AG471" s="34" t="n"/>
      <c r="AH471" s="34" t="n"/>
      <c r="AK471" s="34" t="n"/>
      <c r="AL471" s="34" t="n"/>
      <c r="AM471" s="39" t="n"/>
      <c r="AN471" s="34" t="n"/>
      <c r="AO471" s="34" t="n"/>
      <c r="AP471" s="34" t="n"/>
      <c r="AQ471" s="34" t="n"/>
      <c r="AR471" s="34" t="n"/>
      <c r="AS471" s="34" t="n"/>
      <c r="AU471" s="34" t="n"/>
      <c r="AV471" s="34" t="n"/>
      <c r="AW471" s="34" t="n"/>
      <c r="AX471" s="34" t="n"/>
      <c r="AY471" s="34" t="n"/>
      <c r="AZ471" s="34" t="n"/>
      <c r="BA471" s="34" t="n"/>
      <c r="BB471" s="34" t="n"/>
      <c r="BC471" s="34" t="n"/>
      <c r="BD471" s="34" t="n"/>
      <c r="BE471" s="34" t="n"/>
      <c r="BF471" s="34" t="n"/>
      <c r="BG471" s="34" t="n"/>
      <c r="BH471" s="34" t="n"/>
      <c r="BI471" s="34" t="n"/>
      <c r="BJ471" s="34" t="n"/>
      <c r="BK471" s="34" t="n"/>
      <c r="BL471" s="34" t="n"/>
      <c r="BM471" s="34" t="n"/>
      <c r="BN471" s="34" t="n"/>
      <c r="BO471" s="34" t="n"/>
      <c r="BP471" s="34" t="n"/>
      <c r="BQ471" s="34" t="n"/>
      <c r="BR471" s="82" t="n"/>
      <c r="BS471" s="34" t="n"/>
      <c r="BT471" s="34" t="n"/>
      <c r="BU471" s="34" t="n"/>
      <c r="BV471" s="34" t="n"/>
      <c r="BW471" s="34" t="n"/>
      <c r="BX471" s="34" t="n"/>
      <c r="BY471" s="34" t="n"/>
      <c r="BZ471" s="34" t="n"/>
      <c r="CA471" s="34" t="n"/>
      <c r="CB471" s="33" t="n"/>
      <c r="CC471" s="34" t="n"/>
      <c r="CD471" s="34" t="n"/>
      <c r="CE471" s="82" t="n"/>
      <c r="CF471" s="34" t="n"/>
      <c r="CG471" s="34" t="n"/>
      <c r="CH471" s="34" t="n"/>
      <c r="CI471" s="34" t="n"/>
      <c r="CJ471" s="34" t="n"/>
    </row>
    <row r="472">
      <c r="A472" s="29" t="n"/>
      <c r="B472" s="29" t="n"/>
      <c r="C472" s="35" t="n"/>
      <c r="D472" s="36" t="n"/>
      <c r="E472" s="147" t="n"/>
      <c r="F472" s="30" t="n"/>
      <c r="G472" s="30" t="n"/>
      <c r="H472" s="30" t="n"/>
      <c r="I472" s="30" t="n"/>
      <c r="J472" s="119" t="n"/>
      <c r="K472" s="34" t="n"/>
      <c r="L472" s="119" t="n"/>
      <c r="M472" s="34" t="n"/>
      <c r="N472" s="119" t="n"/>
      <c r="O472" s="34" t="n"/>
      <c r="P472" s="34" t="n"/>
      <c r="Q472" s="117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  <c r="AA472" s="34" t="n"/>
      <c r="AB472" s="34" t="n"/>
      <c r="AC472" s="34" t="n"/>
      <c r="AD472" s="34" t="n"/>
      <c r="AE472" s="34" t="n"/>
      <c r="AF472" s="34" t="n"/>
      <c r="AG472" s="34" t="n"/>
      <c r="AH472" s="34" t="n"/>
      <c r="AK472" s="34" t="n"/>
      <c r="AL472" s="34" t="n"/>
      <c r="AM472" s="39" t="n"/>
      <c r="AN472" s="34" t="n"/>
      <c r="AO472" s="34" t="n"/>
      <c r="AP472" s="34" t="n"/>
      <c r="AQ472" s="34" t="n"/>
      <c r="AR472" s="34" t="n"/>
      <c r="AS472" s="34" t="n"/>
      <c r="AU472" s="34" t="n"/>
      <c r="AV472" s="34" t="n"/>
      <c r="AW472" s="34" t="n"/>
      <c r="AX472" s="34" t="n"/>
      <c r="AY472" s="34" t="n"/>
      <c r="AZ472" s="34" t="n"/>
      <c r="BA472" s="34" t="n"/>
      <c r="BB472" s="34" t="n"/>
      <c r="BC472" s="34" t="n"/>
      <c r="BD472" s="34" t="n"/>
      <c r="BE472" s="34" t="n"/>
      <c r="BF472" s="34" t="n"/>
      <c r="BG472" s="34" t="n"/>
      <c r="BH472" s="34" t="n"/>
      <c r="BI472" s="34" t="n"/>
      <c r="BJ472" s="34" t="n"/>
      <c r="BK472" s="34" t="n"/>
      <c r="BL472" s="34" t="n"/>
      <c r="BM472" s="34" t="n"/>
      <c r="BN472" s="34" t="n"/>
      <c r="BO472" s="34" t="n"/>
      <c r="BP472" s="34" t="n"/>
      <c r="BQ472" s="34" t="n"/>
      <c r="BR472" s="82" t="n"/>
      <c r="BS472" s="34" t="n"/>
      <c r="BT472" s="34" t="n"/>
      <c r="BU472" s="34" t="n"/>
      <c r="BV472" s="34" t="n"/>
      <c r="BW472" s="34" t="n"/>
      <c r="BX472" s="34" t="n"/>
      <c r="BY472" s="34" t="n"/>
      <c r="BZ472" s="34" t="n"/>
      <c r="CA472" s="34" t="n"/>
      <c r="CB472" s="33" t="n"/>
      <c r="CC472" s="34" t="n"/>
      <c r="CD472" s="34" t="n"/>
      <c r="CE472" s="82" t="n"/>
      <c r="CF472" s="34" t="n"/>
      <c r="CG472" s="34" t="n"/>
      <c r="CH472" s="34" t="n"/>
      <c r="CI472" s="34" t="n"/>
      <c r="CJ472" s="34" t="n"/>
    </row>
    <row r="473">
      <c r="A473" s="29" t="n"/>
      <c r="B473" s="29" t="n"/>
      <c r="C473" s="35" t="n"/>
      <c r="D473" s="36" t="n"/>
      <c r="E473" s="147" t="n"/>
      <c r="F473" s="30" t="n"/>
      <c r="G473" s="30" t="n"/>
      <c r="H473" s="30" t="n"/>
      <c r="I473" s="30" t="n"/>
      <c r="J473" s="119" t="n"/>
      <c r="K473" s="34" t="n"/>
      <c r="L473" s="119" t="n"/>
      <c r="M473" s="34" t="n"/>
      <c r="N473" s="119" t="n"/>
      <c r="O473" s="34" t="n"/>
      <c r="P473" s="34" t="n"/>
      <c r="Q473" s="117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  <c r="AA473" s="34" t="n"/>
      <c r="AB473" s="34" t="n"/>
      <c r="AC473" s="34" t="n"/>
      <c r="AD473" s="34" t="n"/>
      <c r="AE473" s="34" t="n"/>
      <c r="AF473" s="34" t="n"/>
      <c r="AG473" s="34" t="n"/>
      <c r="AH473" s="34" t="n"/>
      <c r="AK473" s="34" t="n"/>
      <c r="AL473" s="34" t="n"/>
      <c r="AM473" s="39" t="n"/>
      <c r="AN473" s="34" t="n"/>
      <c r="AO473" s="34" t="n"/>
      <c r="AP473" s="34" t="n"/>
      <c r="AQ473" s="34" t="n"/>
      <c r="AR473" s="34" t="n"/>
      <c r="AS473" s="34" t="n"/>
      <c r="AU473" s="34" t="n"/>
      <c r="AV473" s="34" t="n"/>
      <c r="AW473" s="34" t="n"/>
      <c r="AX473" s="34" t="n"/>
      <c r="AY473" s="34" t="n"/>
      <c r="AZ473" s="34" t="n"/>
      <c r="BA473" s="34" t="n"/>
      <c r="BB473" s="34" t="n"/>
      <c r="BC473" s="34" t="n"/>
      <c r="BD473" s="34" t="n"/>
      <c r="BE473" s="34" t="n"/>
      <c r="BF473" s="34" t="n"/>
      <c r="BG473" s="34" t="n"/>
      <c r="BH473" s="34" t="n"/>
      <c r="BI473" s="34" t="n"/>
      <c r="BJ473" s="34" t="n"/>
      <c r="BK473" s="34" t="n"/>
      <c r="BL473" s="34" t="n"/>
      <c r="BM473" s="34" t="n"/>
      <c r="BN473" s="34" t="n"/>
      <c r="BO473" s="34" t="n"/>
      <c r="BP473" s="34" t="n"/>
      <c r="BQ473" s="34" t="n"/>
      <c r="BR473" s="82" t="n"/>
      <c r="BS473" s="34" t="n"/>
      <c r="BT473" s="34" t="n"/>
      <c r="BU473" s="34" t="n"/>
      <c r="BV473" s="34" t="n"/>
      <c r="BW473" s="34" t="n"/>
      <c r="BX473" s="34" t="n"/>
      <c r="BY473" s="34" t="n"/>
      <c r="BZ473" s="34" t="n"/>
      <c r="CA473" s="34" t="n"/>
      <c r="CB473" s="33" t="n"/>
      <c r="CC473" s="34" t="n"/>
      <c r="CD473" s="34" t="n"/>
      <c r="CE473" s="82" t="n"/>
      <c r="CF473" s="34" t="n"/>
      <c r="CG473" s="34" t="n"/>
      <c r="CH473" s="34" t="n"/>
      <c r="CI473" s="34" t="n"/>
      <c r="CJ473" s="34" t="n"/>
    </row>
    <row r="474">
      <c r="A474" s="29" t="n"/>
      <c r="B474" s="29" t="n"/>
      <c r="C474" s="35" t="n"/>
      <c r="D474" s="36" t="n"/>
      <c r="E474" s="147" t="n"/>
      <c r="F474" s="30" t="n"/>
      <c r="G474" s="30" t="n"/>
      <c r="H474" s="30" t="n"/>
      <c r="I474" s="30" t="n"/>
      <c r="J474" s="119" t="n"/>
      <c r="K474" s="34" t="n"/>
      <c r="L474" s="119" t="n"/>
      <c r="M474" s="34" t="n"/>
      <c r="N474" s="119" t="n"/>
      <c r="O474" s="34" t="n"/>
      <c r="P474" s="34" t="n"/>
      <c r="Q474" s="117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  <c r="AA474" s="34" t="n"/>
      <c r="AB474" s="34" t="n"/>
      <c r="AC474" s="34" t="n"/>
      <c r="AD474" s="34" t="n"/>
      <c r="AE474" s="34" t="n"/>
      <c r="AF474" s="34" t="n"/>
      <c r="AG474" s="34" t="n"/>
      <c r="AH474" s="34" t="n"/>
      <c r="AK474" s="34" t="n"/>
      <c r="AL474" s="34" t="n"/>
      <c r="AM474" s="39" t="n"/>
      <c r="AN474" s="34" t="n"/>
      <c r="AO474" s="34" t="n"/>
      <c r="AP474" s="34" t="n"/>
      <c r="AQ474" s="34" t="n"/>
      <c r="AR474" s="34" t="n"/>
      <c r="AS474" s="34" t="n"/>
      <c r="AU474" s="34" t="n"/>
      <c r="AV474" s="34" t="n"/>
      <c r="AW474" s="34" t="n"/>
      <c r="AX474" s="34" t="n"/>
      <c r="AY474" s="34" t="n"/>
      <c r="AZ474" s="34" t="n"/>
      <c r="BA474" s="34" t="n"/>
      <c r="BB474" s="34" t="n"/>
      <c r="BC474" s="34" t="n"/>
      <c r="BD474" s="34" t="n"/>
      <c r="BE474" s="34" t="n"/>
      <c r="BF474" s="34" t="n"/>
      <c r="BG474" s="34" t="n"/>
      <c r="BH474" s="34" t="n"/>
      <c r="BI474" s="34" t="n"/>
      <c r="BJ474" s="34" t="n"/>
      <c r="BK474" s="34" t="n"/>
      <c r="BL474" s="34" t="n"/>
      <c r="BM474" s="34" t="n"/>
      <c r="BN474" s="34" t="n"/>
      <c r="BO474" s="34" t="n"/>
      <c r="BP474" s="34" t="n"/>
      <c r="BQ474" s="34" t="n"/>
      <c r="BR474" s="82" t="n"/>
      <c r="BS474" s="34" t="n"/>
      <c r="BT474" s="34" t="n"/>
      <c r="BU474" s="34" t="n"/>
      <c r="BV474" s="34" t="n"/>
      <c r="BW474" s="34" t="n"/>
      <c r="BX474" s="34" t="n"/>
      <c r="BY474" s="34" t="n"/>
      <c r="BZ474" s="34" t="n"/>
      <c r="CA474" s="34" t="n"/>
      <c r="CB474" s="33" t="n"/>
      <c r="CC474" s="34" t="n"/>
      <c r="CD474" s="34" t="n"/>
      <c r="CE474" s="82" t="n"/>
      <c r="CF474" s="34" t="n"/>
      <c r="CG474" s="34" t="n"/>
      <c r="CH474" s="34" t="n"/>
      <c r="CI474" s="34" t="n"/>
      <c r="CJ474" s="34" t="n"/>
    </row>
    <row r="475">
      <c r="A475" s="29" t="n"/>
      <c r="B475" s="29" t="n"/>
      <c r="C475" s="35" t="n"/>
      <c r="D475" s="36" t="n"/>
      <c r="E475" s="147" t="n"/>
      <c r="F475" s="30" t="n"/>
      <c r="G475" s="30" t="n"/>
      <c r="H475" s="30" t="n"/>
      <c r="I475" s="30" t="n"/>
      <c r="J475" s="119" t="n"/>
      <c r="K475" s="34" t="n"/>
      <c r="L475" s="119" t="n"/>
      <c r="M475" s="34" t="n"/>
      <c r="N475" s="119" t="n"/>
      <c r="O475" s="34" t="n"/>
      <c r="P475" s="34" t="n"/>
      <c r="Q475" s="117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  <c r="AA475" s="34" t="n"/>
      <c r="AB475" s="34" t="n"/>
      <c r="AC475" s="34" t="n"/>
      <c r="AD475" s="34" t="n"/>
      <c r="AE475" s="34" t="n"/>
      <c r="AF475" s="34" t="n"/>
      <c r="AG475" s="34" t="n"/>
      <c r="AH475" s="34" t="n"/>
      <c r="AK475" s="34" t="n"/>
      <c r="AL475" s="34" t="n"/>
      <c r="AM475" s="39" t="n"/>
      <c r="AN475" s="34" t="n"/>
      <c r="AO475" s="34" t="n"/>
      <c r="AP475" s="34" t="n"/>
      <c r="AQ475" s="34" t="n"/>
      <c r="AR475" s="34" t="n"/>
      <c r="AS475" s="34" t="n"/>
      <c r="AU475" s="34" t="n"/>
      <c r="AV475" s="34" t="n"/>
      <c r="AW475" s="34" t="n"/>
      <c r="AX475" s="34" t="n"/>
      <c r="AY475" s="34" t="n"/>
      <c r="AZ475" s="34" t="n"/>
      <c r="BA475" s="34" t="n"/>
      <c r="BB475" s="34" t="n"/>
      <c r="BC475" s="34" t="n"/>
      <c r="BD475" s="34" t="n"/>
      <c r="BE475" s="34" t="n"/>
      <c r="BF475" s="34" t="n"/>
      <c r="BG475" s="34" t="n"/>
      <c r="BH475" s="34" t="n"/>
      <c r="BI475" s="34" t="n"/>
      <c r="BJ475" s="34" t="n"/>
      <c r="BK475" s="34" t="n"/>
      <c r="BL475" s="34" t="n"/>
      <c r="BM475" s="34" t="n"/>
      <c r="BN475" s="34" t="n"/>
      <c r="BO475" s="34" t="n"/>
      <c r="BP475" s="34" t="n"/>
      <c r="BQ475" s="34" t="n"/>
      <c r="BR475" s="82" t="n"/>
      <c r="BS475" s="34" t="n"/>
      <c r="BT475" s="34" t="n"/>
      <c r="BU475" s="34" t="n"/>
      <c r="BV475" s="34" t="n"/>
      <c r="BW475" s="34" t="n"/>
      <c r="BX475" s="34" t="n"/>
      <c r="BY475" s="34" t="n"/>
      <c r="BZ475" s="34" t="n"/>
      <c r="CA475" s="34" t="n"/>
      <c r="CB475" s="33" t="n"/>
      <c r="CC475" s="34" t="n"/>
      <c r="CD475" s="34" t="n"/>
      <c r="CE475" s="82" t="n"/>
      <c r="CF475" s="34" t="n"/>
      <c r="CG475" s="34" t="n"/>
      <c r="CH475" s="34" t="n"/>
      <c r="CI475" s="34" t="n"/>
      <c r="CJ475" s="34" t="n"/>
    </row>
    <row r="476">
      <c r="A476" s="29" t="n"/>
      <c r="B476" s="29" t="n"/>
      <c r="C476" s="35" t="n"/>
      <c r="D476" s="36" t="n"/>
      <c r="E476" s="147" t="n"/>
      <c r="F476" s="30" t="n"/>
      <c r="G476" s="30" t="n"/>
      <c r="H476" s="30" t="n"/>
      <c r="I476" s="30" t="n"/>
      <c r="J476" s="119" t="n"/>
      <c r="K476" s="34" t="n"/>
      <c r="L476" s="119" t="n"/>
      <c r="M476" s="34" t="n"/>
      <c r="N476" s="119" t="n"/>
      <c r="O476" s="34" t="n"/>
      <c r="P476" s="34" t="n"/>
      <c r="Q476" s="117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  <c r="AA476" s="34" t="n"/>
      <c r="AB476" s="34" t="n"/>
      <c r="AC476" s="34" t="n"/>
      <c r="AD476" s="34" t="n"/>
      <c r="AE476" s="34" t="n"/>
      <c r="AF476" s="34" t="n"/>
      <c r="AG476" s="34" t="n"/>
      <c r="AH476" s="34" t="n"/>
      <c r="AK476" s="34" t="n"/>
      <c r="AL476" s="34" t="n"/>
      <c r="AM476" s="39" t="n"/>
      <c r="AN476" s="34" t="n"/>
      <c r="AO476" s="34" t="n"/>
      <c r="AP476" s="34" t="n"/>
      <c r="AQ476" s="34" t="n"/>
      <c r="AR476" s="34" t="n"/>
      <c r="AS476" s="34" t="n"/>
      <c r="AU476" s="34" t="n"/>
      <c r="AV476" s="34" t="n"/>
      <c r="AW476" s="34" t="n"/>
      <c r="AX476" s="34" t="n"/>
      <c r="AY476" s="34" t="n"/>
      <c r="AZ476" s="34" t="n"/>
      <c r="BA476" s="34" t="n"/>
      <c r="BB476" s="34" t="n"/>
      <c r="BC476" s="34" t="n"/>
      <c r="BD476" s="34" t="n"/>
      <c r="BE476" s="34" t="n"/>
      <c r="BF476" s="34" t="n"/>
      <c r="BG476" s="34" t="n"/>
      <c r="BH476" s="34" t="n"/>
      <c r="BI476" s="34" t="n"/>
      <c r="BJ476" s="34" t="n"/>
      <c r="BK476" s="34" t="n"/>
      <c r="BL476" s="34" t="n"/>
      <c r="BM476" s="34" t="n"/>
      <c r="BN476" s="34" t="n"/>
      <c r="BO476" s="34" t="n"/>
      <c r="BP476" s="34" t="n"/>
      <c r="BQ476" s="34" t="n"/>
      <c r="BR476" s="82" t="n"/>
      <c r="BS476" s="34" t="n"/>
      <c r="BT476" s="34" t="n"/>
      <c r="BU476" s="34" t="n"/>
      <c r="BV476" s="34" t="n"/>
      <c r="BW476" s="34" t="n"/>
      <c r="BX476" s="34" t="n"/>
      <c r="BY476" s="34" t="n"/>
      <c r="BZ476" s="34" t="n"/>
      <c r="CA476" s="34" t="n"/>
      <c r="CB476" s="33" t="n"/>
      <c r="CC476" s="34" t="n"/>
      <c r="CD476" s="34" t="n"/>
      <c r="CE476" s="82" t="n"/>
      <c r="CF476" s="34" t="n"/>
      <c r="CG476" s="34" t="n"/>
      <c r="CH476" s="34" t="n"/>
      <c r="CI476" s="34" t="n"/>
      <c r="CJ476" s="34" t="n"/>
    </row>
    <row r="477">
      <c r="A477" s="29" t="n"/>
      <c r="B477" s="29" t="n"/>
      <c r="C477" s="35" t="n"/>
      <c r="D477" s="36" t="n"/>
      <c r="E477" s="147" t="n"/>
      <c r="F477" s="30" t="n"/>
      <c r="G477" s="30" t="n"/>
      <c r="H477" s="30" t="n"/>
      <c r="I477" s="30" t="n"/>
      <c r="J477" s="119" t="n"/>
      <c r="K477" s="34" t="n"/>
      <c r="L477" s="119" t="n"/>
      <c r="M477" s="34" t="n"/>
      <c r="N477" s="119" t="n"/>
      <c r="O477" s="34" t="n"/>
      <c r="P477" s="34" t="n"/>
      <c r="Q477" s="117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  <c r="AA477" s="34" t="n"/>
      <c r="AB477" s="34" t="n"/>
      <c r="AC477" s="34" t="n"/>
      <c r="AD477" s="34" t="n"/>
      <c r="AE477" s="34" t="n"/>
      <c r="AF477" s="34" t="n"/>
      <c r="AG477" s="34" t="n"/>
      <c r="AH477" s="34" t="n"/>
      <c r="AK477" s="34" t="n"/>
      <c r="AL477" s="34" t="n"/>
      <c r="AM477" s="39" t="n"/>
      <c r="AN477" s="34" t="n"/>
      <c r="AO477" s="34" t="n"/>
      <c r="AP477" s="34" t="n"/>
      <c r="AQ477" s="34" t="n"/>
      <c r="AR477" s="34" t="n"/>
      <c r="AS477" s="34" t="n"/>
      <c r="AU477" s="34" t="n"/>
      <c r="AV477" s="34" t="n"/>
      <c r="AW477" s="34" t="n"/>
      <c r="AX477" s="34" t="n"/>
      <c r="AY477" s="34" t="n"/>
      <c r="AZ477" s="34" t="n"/>
      <c r="BA477" s="34" t="n"/>
      <c r="BB477" s="34" t="n"/>
      <c r="BC477" s="34" t="n"/>
      <c r="BD477" s="34" t="n"/>
      <c r="BE477" s="34" t="n"/>
      <c r="BF477" s="34" t="n"/>
      <c r="BG477" s="34" t="n"/>
      <c r="BH477" s="34" t="n"/>
      <c r="BI477" s="34" t="n"/>
      <c r="BJ477" s="34" t="n"/>
      <c r="BK477" s="34" t="n"/>
      <c r="BL477" s="34" t="n"/>
      <c r="BM477" s="34" t="n"/>
      <c r="BN477" s="34" t="n"/>
      <c r="BO477" s="34" t="n"/>
      <c r="BP477" s="34" t="n"/>
      <c r="BQ477" s="34" t="n"/>
      <c r="BR477" s="82" t="n"/>
      <c r="BS477" s="34" t="n"/>
      <c r="BT477" s="34" t="n"/>
      <c r="BU477" s="34" t="n"/>
      <c r="BV477" s="34" t="n"/>
      <c r="BW477" s="34" t="n"/>
      <c r="BX477" s="34" t="n"/>
      <c r="BY477" s="34" t="n"/>
      <c r="BZ477" s="34" t="n"/>
      <c r="CA477" s="34" t="n"/>
      <c r="CB477" s="33" t="n"/>
      <c r="CC477" s="34" t="n"/>
      <c r="CD477" s="34" t="n"/>
      <c r="CE477" s="82" t="n"/>
      <c r="CF477" s="34" t="n"/>
      <c r="CG477" s="34" t="n"/>
      <c r="CH477" s="34" t="n"/>
      <c r="CI477" s="34" t="n"/>
      <c r="CJ477" s="34" t="n"/>
    </row>
    <row r="478">
      <c r="A478" s="29" t="n"/>
      <c r="B478" s="29" t="n"/>
      <c r="C478" s="35" t="n"/>
      <c r="D478" s="36" t="n"/>
      <c r="E478" s="147" t="n"/>
      <c r="F478" s="30" t="n"/>
      <c r="G478" s="30" t="n"/>
      <c r="H478" s="30" t="n"/>
      <c r="I478" s="30" t="n"/>
      <c r="J478" s="119" t="n"/>
      <c r="K478" s="34" t="n"/>
      <c r="L478" s="119" t="n"/>
      <c r="M478" s="34" t="n"/>
      <c r="N478" s="119" t="n"/>
      <c r="O478" s="34" t="n"/>
      <c r="P478" s="34" t="n"/>
      <c r="Q478" s="117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  <c r="AA478" s="34" t="n"/>
      <c r="AB478" s="34" t="n"/>
      <c r="AC478" s="34" t="n"/>
      <c r="AD478" s="34" t="n"/>
      <c r="AE478" s="34" t="n"/>
      <c r="AF478" s="34" t="n"/>
      <c r="AG478" s="34" t="n"/>
      <c r="AH478" s="34" t="n"/>
      <c r="AK478" s="34" t="n"/>
      <c r="AL478" s="34" t="n"/>
      <c r="AM478" s="39" t="n"/>
      <c r="AN478" s="34" t="n"/>
      <c r="AO478" s="34" t="n"/>
      <c r="AP478" s="34" t="n"/>
      <c r="AQ478" s="34" t="n"/>
      <c r="AR478" s="34" t="n"/>
      <c r="AS478" s="34" t="n"/>
      <c r="AU478" s="34" t="n"/>
      <c r="AV478" s="34" t="n"/>
      <c r="AW478" s="34" t="n"/>
      <c r="AX478" s="34" t="n"/>
      <c r="AY478" s="34" t="n"/>
      <c r="AZ478" s="34" t="n"/>
      <c r="BA478" s="34" t="n"/>
      <c r="BB478" s="34" t="n"/>
      <c r="BC478" s="34" t="n"/>
      <c r="BD478" s="34" t="n"/>
      <c r="BE478" s="34" t="n"/>
      <c r="BF478" s="34" t="n"/>
      <c r="BG478" s="34" t="n"/>
      <c r="BH478" s="34" t="n"/>
      <c r="BI478" s="34" t="n"/>
      <c r="BJ478" s="34" t="n"/>
      <c r="BK478" s="34" t="n"/>
      <c r="BL478" s="34" t="n"/>
      <c r="BM478" s="34" t="n"/>
      <c r="BN478" s="34" t="n"/>
      <c r="BO478" s="34" t="n"/>
      <c r="BP478" s="34" t="n"/>
      <c r="BQ478" s="34" t="n"/>
      <c r="BR478" s="82" t="n"/>
      <c r="BS478" s="34" t="n"/>
      <c r="BT478" s="34" t="n"/>
      <c r="BU478" s="34" t="n"/>
      <c r="BV478" s="34" t="n"/>
      <c r="BW478" s="34" t="n"/>
      <c r="BX478" s="34" t="n"/>
      <c r="BY478" s="34" t="n"/>
      <c r="BZ478" s="34" t="n"/>
      <c r="CA478" s="34" t="n"/>
      <c r="CB478" s="33" t="n"/>
      <c r="CC478" s="34" t="n"/>
      <c r="CD478" s="34" t="n"/>
      <c r="CE478" s="82" t="n"/>
      <c r="CF478" s="34" t="n"/>
      <c r="CG478" s="34" t="n"/>
      <c r="CH478" s="34" t="n"/>
      <c r="CI478" s="34" t="n"/>
      <c r="CJ478" s="34" t="n"/>
    </row>
    <row r="479">
      <c r="A479" s="29" t="n"/>
      <c r="B479" s="29" t="n"/>
      <c r="C479" s="35" t="n"/>
      <c r="D479" s="36" t="n"/>
      <c r="E479" s="147" t="n"/>
      <c r="F479" s="30" t="n"/>
      <c r="G479" s="30" t="n"/>
      <c r="H479" s="30" t="n"/>
      <c r="I479" s="30" t="n"/>
      <c r="J479" s="119" t="n"/>
      <c r="K479" s="34" t="n"/>
      <c r="L479" s="119" t="n"/>
      <c r="M479" s="34" t="n"/>
      <c r="N479" s="119" t="n"/>
      <c r="O479" s="34" t="n"/>
      <c r="P479" s="34" t="n"/>
      <c r="Q479" s="117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  <c r="AA479" s="34" t="n"/>
      <c r="AB479" s="34" t="n"/>
      <c r="AC479" s="34" t="n"/>
      <c r="AD479" s="34" t="n"/>
      <c r="AE479" s="34" t="n"/>
      <c r="AF479" s="34" t="n"/>
      <c r="AG479" s="34" t="n"/>
      <c r="AH479" s="34" t="n"/>
      <c r="AK479" s="34" t="n"/>
      <c r="AL479" s="34" t="n"/>
      <c r="AM479" s="39" t="n"/>
      <c r="AN479" s="34" t="n"/>
      <c r="AO479" s="34" t="n"/>
      <c r="AP479" s="34" t="n"/>
      <c r="AQ479" s="34" t="n"/>
      <c r="AR479" s="34" t="n"/>
      <c r="AS479" s="34" t="n"/>
      <c r="AU479" s="34" t="n"/>
      <c r="AV479" s="34" t="n"/>
      <c r="AW479" s="34" t="n"/>
      <c r="AX479" s="34" t="n"/>
      <c r="AY479" s="34" t="n"/>
      <c r="AZ479" s="34" t="n"/>
      <c r="BA479" s="34" t="n"/>
      <c r="BB479" s="34" t="n"/>
      <c r="BC479" s="34" t="n"/>
      <c r="BD479" s="34" t="n"/>
      <c r="BE479" s="34" t="n"/>
      <c r="BF479" s="34" t="n"/>
      <c r="BG479" s="34" t="n"/>
      <c r="BH479" s="34" t="n"/>
      <c r="BI479" s="34" t="n"/>
      <c r="BJ479" s="34" t="n"/>
      <c r="BK479" s="34" t="n"/>
      <c r="BL479" s="34" t="n"/>
      <c r="BM479" s="34" t="n"/>
      <c r="BN479" s="34" t="n"/>
      <c r="BO479" s="34" t="n"/>
      <c r="BP479" s="34" t="n"/>
      <c r="BQ479" s="34" t="n"/>
      <c r="BR479" s="82" t="n"/>
      <c r="BS479" s="34" t="n"/>
      <c r="BT479" s="34" t="n"/>
      <c r="BU479" s="34" t="n"/>
      <c r="BV479" s="34" t="n"/>
      <c r="BW479" s="34" t="n"/>
      <c r="BX479" s="34" t="n"/>
      <c r="BY479" s="34" t="n"/>
      <c r="BZ479" s="34" t="n"/>
      <c r="CA479" s="34" t="n"/>
      <c r="CB479" s="33" t="n"/>
      <c r="CC479" s="34" t="n"/>
      <c r="CD479" s="34" t="n"/>
      <c r="CE479" s="82" t="n"/>
      <c r="CF479" s="34" t="n"/>
      <c r="CG479" s="34" t="n"/>
      <c r="CH479" s="34" t="n"/>
      <c r="CI479" s="34" t="n"/>
      <c r="CJ479" s="34" t="n"/>
    </row>
    <row r="480">
      <c r="A480" s="29" t="n"/>
      <c r="B480" s="29" t="n"/>
      <c r="C480" s="35" t="n"/>
      <c r="D480" s="36" t="n"/>
      <c r="E480" s="147" t="n"/>
      <c r="F480" s="30" t="n"/>
      <c r="G480" s="30" t="n"/>
      <c r="H480" s="30" t="n"/>
      <c r="I480" s="30" t="n"/>
      <c r="J480" s="119" t="n"/>
      <c r="K480" s="34" t="n"/>
      <c r="L480" s="119" t="n"/>
      <c r="M480" s="34" t="n"/>
      <c r="N480" s="119" t="n"/>
      <c r="O480" s="34" t="n"/>
      <c r="P480" s="34" t="n"/>
      <c r="Q480" s="117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  <c r="AA480" s="34" t="n"/>
      <c r="AB480" s="34" t="n"/>
      <c r="AC480" s="34" t="n"/>
      <c r="AD480" s="34" t="n"/>
      <c r="AE480" s="34" t="n"/>
      <c r="AF480" s="34" t="n"/>
      <c r="AG480" s="34" t="n"/>
      <c r="AH480" s="34" t="n"/>
      <c r="AK480" s="34" t="n"/>
      <c r="AL480" s="34" t="n"/>
      <c r="AM480" s="39" t="n"/>
      <c r="AN480" s="34" t="n"/>
      <c r="AO480" s="34" t="n"/>
      <c r="AP480" s="34" t="n"/>
      <c r="AQ480" s="34" t="n"/>
      <c r="AR480" s="34" t="n"/>
      <c r="AS480" s="34" t="n"/>
      <c r="AU480" s="34" t="n"/>
      <c r="AV480" s="34" t="n"/>
      <c r="AW480" s="34" t="n"/>
      <c r="AX480" s="34" t="n"/>
      <c r="AY480" s="34" t="n"/>
      <c r="AZ480" s="34" t="n"/>
      <c r="BA480" s="34" t="n"/>
      <c r="BB480" s="34" t="n"/>
      <c r="BC480" s="34" t="n"/>
      <c r="BD480" s="34" t="n"/>
      <c r="BE480" s="34" t="n"/>
      <c r="BF480" s="34" t="n"/>
      <c r="BG480" s="34" t="n"/>
      <c r="BH480" s="34" t="n"/>
      <c r="BI480" s="34" t="n"/>
      <c r="BJ480" s="34" t="n"/>
      <c r="BK480" s="34" t="n"/>
      <c r="BL480" s="34" t="n"/>
      <c r="BM480" s="34" t="n"/>
      <c r="BN480" s="34" t="n"/>
      <c r="BO480" s="34" t="n"/>
      <c r="BP480" s="34" t="n"/>
      <c r="BQ480" s="34" t="n"/>
      <c r="BR480" s="82" t="n"/>
      <c r="BS480" s="34" t="n"/>
      <c r="BT480" s="34" t="n"/>
      <c r="BU480" s="34" t="n"/>
      <c r="BV480" s="34" t="n"/>
      <c r="BW480" s="34" t="n"/>
      <c r="BX480" s="34" t="n"/>
      <c r="BY480" s="34" t="n"/>
      <c r="BZ480" s="34" t="n"/>
      <c r="CA480" s="34" t="n"/>
      <c r="CB480" s="33" t="n"/>
      <c r="CC480" s="34" t="n"/>
      <c r="CD480" s="34" t="n"/>
      <c r="CE480" s="82" t="n"/>
      <c r="CF480" s="34" t="n"/>
      <c r="CG480" s="34" t="n"/>
      <c r="CH480" s="34" t="n"/>
      <c r="CI480" s="34" t="n"/>
      <c r="CJ480" s="34" t="n"/>
    </row>
    <row r="481">
      <c r="A481" s="29" t="n"/>
      <c r="B481" s="29" t="n"/>
      <c r="C481" s="35" t="n"/>
      <c r="D481" s="36" t="n"/>
      <c r="E481" s="147" t="n"/>
      <c r="F481" s="30" t="n"/>
      <c r="G481" s="30" t="n"/>
      <c r="H481" s="30" t="n"/>
      <c r="I481" s="30" t="n"/>
      <c r="J481" s="119" t="n"/>
      <c r="K481" s="34" t="n"/>
      <c r="L481" s="119" t="n"/>
      <c r="M481" s="34" t="n"/>
      <c r="N481" s="119" t="n"/>
      <c r="O481" s="34" t="n"/>
      <c r="P481" s="34" t="n"/>
      <c r="Q481" s="117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  <c r="AA481" s="34" t="n"/>
      <c r="AB481" s="34" t="n"/>
      <c r="AC481" s="34" t="n"/>
      <c r="AD481" s="34" t="n"/>
      <c r="AE481" s="34" t="n"/>
      <c r="AF481" s="34" t="n"/>
      <c r="AG481" s="34" t="n"/>
      <c r="AH481" s="34" t="n"/>
      <c r="AK481" s="34" t="n"/>
      <c r="AL481" s="34" t="n"/>
      <c r="AM481" s="39" t="n"/>
      <c r="AN481" s="34" t="n"/>
      <c r="AO481" s="34" t="n"/>
      <c r="AP481" s="34" t="n"/>
      <c r="AQ481" s="34" t="n"/>
      <c r="AR481" s="34" t="n"/>
      <c r="AS481" s="34" t="n"/>
      <c r="AU481" s="34" t="n"/>
      <c r="AV481" s="34" t="n"/>
      <c r="AW481" s="34" t="n"/>
      <c r="AX481" s="34" t="n"/>
      <c r="AY481" s="34" t="n"/>
      <c r="AZ481" s="34" t="n"/>
      <c r="BA481" s="34" t="n"/>
      <c r="BB481" s="34" t="n"/>
      <c r="BC481" s="34" t="n"/>
      <c r="BD481" s="34" t="n"/>
      <c r="BE481" s="34" t="n"/>
      <c r="BF481" s="34" t="n"/>
      <c r="BG481" s="34" t="n"/>
      <c r="BH481" s="34" t="n"/>
      <c r="BI481" s="34" t="n"/>
      <c r="BJ481" s="34" t="n"/>
      <c r="BK481" s="34" t="n"/>
      <c r="BL481" s="34" t="n"/>
      <c r="BM481" s="34" t="n"/>
      <c r="BN481" s="34" t="n"/>
      <c r="BO481" s="34" t="n"/>
      <c r="BP481" s="34" t="n"/>
      <c r="BQ481" s="34" t="n"/>
      <c r="BR481" s="82" t="n"/>
      <c r="BS481" s="34" t="n"/>
      <c r="BT481" s="34" t="n"/>
      <c r="BU481" s="34" t="n"/>
      <c r="BV481" s="34" t="n"/>
      <c r="BW481" s="34" t="n"/>
      <c r="BX481" s="34" t="n"/>
      <c r="BY481" s="34" t="n"/>
      <c r="BZ481" s="34" t="n"/>
      <c r="CA481" s="34" t="n"/>
      <c r="CB481" s="33" t="n"/>
      <c r="CC481" s="34" t="n"/>
      <c r="CD481" s="34" t="n"/>
      <c r="CE481" s="82" t="n"/>
      <c r="CF481" s="34" t="n"/>
      <c r="CG481" s="34" t="n"/>
      <c r="CH481" s="34" t="n"/>
      <c r="CI481" s="34" t="n"/>
      <c r="CJ481" s="34" t="n"/>
    </row>
    <row r="482">
      <c r="A482" s="29" t="n"/>
      <c r="B482" s="29" t="n"/>
      <c r="C482" s="35" t="n"/>
      <c r="D482" s="36" t="n"/>
      <c r="E482" s="147" t="n"/>
      <c r="F482" s="30" t="n"/>
      <c r="G482" s="30" t="n"/>
      <c r="H482" s="30" t="n"/>
      <c r="I482" s="30" t="n"/>
      <c r="J482" s="119" t="n"/>
      <c r="K482" s="34" t="n"/>
      <c r="L482" s="119" t="n"/>
      <c r="M482" s="34" t="n"/>
      <c r="N482" s="119" t="n"/>
      <c r="O482" s="34" t="n"/>
      <c r="P482" s="34" t="n"/>
      <c r="Q482" s="117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  <c r="AA482" s="34" t="n"/>
      <c r="AB482" s="34" t="n"/>
      <c r="AC482" s="34" t="n"/>
      <c r="AD482" s="34" t="n"/>
      <c r="AE482" s="34" t="n"/>
      <c r="AF482" s="34" t="n"/>
      <c r="AG482" s="34" t="n"/>
      <c r="AH482" s="34" t="n"/>
      <c r="AK482" s="34" t="n"/>
      <c r="AL482" s="34" t="n"/>
      <c r="AM482" s="39" t="n"/>
      <c r="AN482" s="34" t="n"/>
      <c r="AO482" s="34" t="n"/>
      <c r="AP482" s="34" t="n"/>
      <c r="AQ482" s="34" t="n"/>
      <c r="AR482" s="34" t="n"/>
      <c r="AS482" s="34" t="n"/>
      <c r="AU482" s="34" t="n"/>
      <c r="AV482" s="34" t="n"/>
      <c r="AW482" s="34" t="n"/>
      <c r="AX482" s="34" t="n"/>
      <c r="AY482" s="34" t="n"/>
      <c r="AZ482" s="34" t="n"/>
      <c r="BA482" s="34" t="n"/>
      <c r="BB482" s="34" t="n"/>
      <c r="BC482" s="34" t="n"/>
      <c r="BD482" s="34" t="n"/>
      <c r="BE482" s="34" t="n"/>
      <c r="BF482" s="34" t="n"/>
      <c r="BG482" s="34" t="n"/>
      <c r="BH482" s="34" t="n"/>
      <c r="BI482" s="34" t="n"/>
      <c r="BJ482" s="34" t="n"/>
      <c r="BK482" s="34" t="n"/>
      <c r="BL482" s="34" t="n"/>
      <c r="BM482" s="34" t="n"/>
      <c r="BN482" s="34" t="n"/>
      <c r="BO482" s="34" t="n"/>
      <c r="BP482" s="34" t="n"/>
      <c r="BQ482" s="34" t="n"/>
      <c r="BR482" s="82" t="n"/>
      <c r="BS482" s="34" t="n"/>
      <c r="BT482" s="34" t="n"/>
      <c r="BU482" s="34" t="n"/>
      <c r="BV482" s="34" t="n"/>
      <c r="BW482" s="34" t="n"/>
      <c r="BX482" s="34" t="n"/>
      <c r="BY482" s="34" t="n"/>
      <c r="BZ482" s="34" t="n"/>
      <c r="CA482" s="34" t="n"/>
      <c r="CB482" s="33" t="n"/>
      <c r="CC482" s="34" t="n"/>
      <c r="CD482" s="34" t="n"/>
      <c r="CE482" s="82" t="n"/>
      <c r="CF482" s="34" t="n"/>
      <c r="CG482" s="34" t="n"/>
      <c r="CH482" s="34" t="n"/>
      <c r="CI482" s="34" t="n"/>
      <c r="CJ482" s="34" t="n"/>
    </row>
    <row r="483">
      <c r="A483" s="29" t="n"/>
      <c r="B483" s="29" t="n"/>
      <c r="C483" s="35" t="n"/>
      <c r="D483" s="36" t="n"/>
      <c r="E483" s="147" t="n"/>
      <c r="F483" s="30" t="n"/>
      <c r="G483" s="30" t="n"/>
      <c r="H483" s="30" t="n"/>
      <c r="I483" s="30" t="n"/>
      <c r="J483" s="119" t="n"/>
      <c r="K483" s="34" t="n"/>
      <c r="L483" s="119" t="n"/>
      <c r="M483" s="34" t="n"/>
      <c r="N483" s="119" t="n"/>
      <c r="O483" s="34" t="n"/>
      <c r="P483" s="34" t="n"/>
      <c r="Q483" s="117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  <c r="AA483" s="34" t="n"/>
      <c r="AB483" s="34" t="n"/>
      <c r="AC483" s="34" t="n"/>
      <c r="AD483" s="34" t="n"/>
      <c r="AE483" s="34" t="n"/>
      <c r="AF483" s="34" t="n"/>
      <c r="AG483" s="34" t="n"/>
      <c r="AH483" s="34" t="n"/>
      <c r="AK483" s="34" t="n"/>
      <c r="AL483" s="34" t="n"/>
      <c r="AM483" s="39" t="n"/>
      <c r="AN483" s="34" t="n"/>
      <c r="AO483" s="34" t="n"/>
      <c r="AP483" s="34" t="n"/>
      <c r="AQ483" s="34" t="n"/>
      <c r="AR483" s="34" t="n"/>
      <c r="AS483" s="34" t="n"/>
      <c r="AU483" s="34" t="n"/>
      <c r="AV483" s="34" t="n"/>
      <c r="AW483" s="34" t="n"/>
      <c r="AX483" s="34" t="n"/>
      <c r="AY483" s="34" t="n"/>
      <c r="AZ483" s="34" t="n"/>
      <c r="BA483" s="34" t="n"/>
      <c r="BB483" s="34" t="n"/>
      <c r="BC483" s="34" t="n"/>
      <c r="BD483" s="34" t="n"/>
      <c r="BE483" s="34" t="n"/>
      <c r="BF483" s="34" t="n"/>
      <c r="BG483" s="34" t="n"/>
      <c r="BH483" s="34" t="n"/>
      <c r="BI483" s="34" t="n"/>
      <c r="BJ483" s="34" t="n"/>
      <c r="BK483" s="34" t="n"/>
      <c r="BL483" s="34" t="n"/>
      <c r="BM483" s="34" t="n"/>
      <c r="BN483" s="34" t="n"/>
      <c r="BO483" s="34" t="n"/>
      <c r="BP483" s="34" t="n"/>
      <c r="BQ483" s="34" t="n"/>
      <c r="BR483" s="82" t="n"/>
      <c r="BS483" s="34" t="n"/>
      <c r="BT483" s="34" t="n"/>
      <c r="BU483" s="34" t="n"/>
      <c r="BV483" s="34" t="n"/>
      <c r="BW483" s="34" t="n"/>
      <c r="BX483" s="34" t="n"/>
      <c r="BY483" s="34" t="n"/>
      <c r="BZ483" s="34" t="n"/>
      <c r="CA483" s="34" t="n"/>
      <c r="CB483" s="33" t="n"/>
      <c r="CC483" s="34" t="n"/>
      <c r="CD483" s="34" t="n"/>
      <c r="CE483" s="82" t="n"/>
      <c r="CF483" s="34" t="n"/>
      <c r="CG483" s="34" t="n"/>
      <c r="CH483" s="34" t="n"/>
      <c r="CI483" s="34" t="n"/>
      <c r="CJ483" s="34" t="n"/>
    </row>
    <row r="484">
      <c r="A484" s="29" t="n"/>
      <c r="B484" s="29" t="n"/>
      <c r="C484" s="35" t="n"/>
      <c r="D484" s="36" t="n"/>
      <c r="E484" s="147" t="n"/>
      <c r="F484" s="30" t="n"/>
      <c r="G484" s="30" t="n"/>
      <c r="H484" s="30" t="n"/>
      <c r="I484" s="30" t="n"/>
      <c r="J484" s="119" t="n"/>
      <c r="K484" s="34" t="n"/>
      <c r="L484" s="119" t="n"/>
      <c r="M484" s="34" t="n"/>
      <c r="N484" s="119" t="n"/>
      <c r="O484" s="34" t="n"/>
      <c r="P484" s="34" t="n"/>
      <c r="Q484" s="117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  <c r="AA484" s="34" t="n"/>
      <c r="AB484" s="34" t="n"/>
      <c r="AC484" s="34" t="n"/>
      <c r="AD484" s="34" t="n"/>
      <c r="AE484" s="34" t="n"/>
      <c r="AF484" s="34" t="n"/>
      <c r="AG484" s="34" t="n"/>
      <c r="AH484" s="34" t="n"/>
      <c r="AK484" s="34" t="n"/>
      <c r="AL484" s="34" t="n"/>
      <c r="AM484" s="39" t="n"/>
      <c r="AN484" s="34" t="n"/>
      <c r="AO484" s="34" t="n"/>
      <c r="AP484" s="34" t="n"/>
      <c r="AQ484" s="34" t="n"/>
      <c r="AR484" s="34" t="n"/>
      <c r="AS484" s="34" t="n"/>
      <c r="AU484" s="34" t="n"/>
      <c r="AV484" s="34" t="n"/>
      <c r="AW484" s="34" t="n"/>
      <c r="AX484" s="34" t="n"/>
      <c r="AY484" s="34" t="n"/>
      <c r="AZ484" s="34" t="n"/>
      <c r="BA484" s="34" t="n"/>
      <c r="BB484" s="34" t="n"/>
      <c r="BC484" s="34" t="n"/>
      <c r="BD484" s="34" t="n"/>
      <c r="BE484" s="34" t="n"/>
      <c r="BF484" s="34" t="n"/>
      <c r="BG484" s="34" t="n"/>
      <c r="BH484" s="34" t="n"/>
      <c r="BI484" s="34" t="n"/>
      <c r="BJ484" s="34" t="n"/>
      <c r="BK484" s="34" t="n"/>
      <c r="BL484" s="34" t="n"/>
      <c r="BM484" s="34" t="n"/>
      <c r="BN484" s="34" t="n"/>
      <c r="BO484" s="34" t="n"/>
      <c r="BP484" s="34" t="n"/>
      <c r="BQ484" s="34" t="n"/>
      <c r="BR484" s="82" t="n"/>
      <c r="BS484" s="34" t="n"/>
      <c r="BT484" s="34" t="n"/>
      <c r="BU484" s="34" t="n"/>
      <c r="BV484" s="34" t="n"/>
      <c r="BW484" s="34" t="n"/>
      <c r="BX484" s="34" t="n"/>
      <c r="BY484" s="34" t="n"/>
      <c r="BZ484" s="34" t="n"/>
      <c r="CA484" s="34" t="n"/>
      <c r="CB484" s="33" t="n"/>
      <c r="CC484" s="34" t="n"/>
      <c r="CD484" s="34" t="n"/>
      <c r="CE484" s="82" t="n"/>
      <c r="CF484" s="34" t="n"/>
      <c r="CG484" s="34" t="n"/>
      <c r="CH484" s="34" t="n"/>
      <c r="CI484" s="34" t="n"/>
      <c r="CJ484" s="34" t="n"/>
    </row>
    <row r="485">
      <c r="A485" s="29" t="n"/>
      <c r="B485" s="29" t="n"/>
      <c r="C485" s="35" t="n"/>
      <c r="D485" s="36" t="n"/>
      <c r="E485" s="147" t="n"/>
      <c r="F485" s="30" t="n"/>
      <c r="G485" s="30" t="n"/>
      <c r="H485" s="30" t="n"/>
      <c r="I485" s="30" t="n"/>
      <c r="J485" s="119" t="n"/>
      <c r="K485" s="34" t="n"/>
      <c r="L485" s="119" t="n"/>
      <c r="M485" s="34" t="n"/>
      <c r="N485" s="119" t="n"/>
      <c r="O485" s="34" t="n"/>
      <c r="P485" s="34" t="n"/>
      <c r="Q485" s="117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  <c r="AA485" s="34" t="n"/>
      <c r="AB485" s="34" t="n"/>
      <c r="AC485" s="34" t="n"/>
      <c r="AD485" s="34" t="n"/>
      <c r="AE485" s="34" t="n"/>
      <c r="AF485" s="34" t="n"/>
      <c r="AG485" s="34" t="n"/>
      <c r="AH485" s="34" t="n"/>
      <c r="AK485" s="34" t="n"/>
      <c r="AL485" s="34" t="n"/>
      <c r="AM485" s="39" t="n"/>
      <c r="AN485" s="34" t="n"/>
      <c r="AO485" s="34" t="n"/>
      <c r="AP485" s="34" t="n"/>
      <c r="AQ485" s="34" t="n"/>
      <c r="AR485" s="34" t="n"/>
      <c r="AS485" s="34" t="n"/>
      <c r="AU485" s="34" t="n"/>
      <c r="AV485" s="34" t="n"/>
      <c r="AW485" s="34" t="n"/>
      <c r="AX485" s="34" t="n"/>
      <c r="AY485" s="34" t="n"/>
      <c r="AZ485" s="34" t="n"/>
      <c r="BA485" s="34" t="n"/>
      <c r="BB485" s="34" t="n"/>
      <c r="BC485" s="34" t="n"/>
      <c r="BD485" s="34" t="n"/>
      <c r="BE485" s="34" t="n"/>
      <c r="BF485" s="34" t="n"/>
      <c r="BG485" s="34" t="n"/>
      <c r="BH485" s="34" t="n"/>
      <c r="BI485" s="34" t="n"/>
      <c r="BJ485" s="34" t="n"/>
      <c r="BK485" s="34" t="n"/>
      <c r="BL485" s="34" t="n"/>
      <c r="BM485" s="34" t="n"/>
      <c r="BN485" s="34" t="n"/>
      <c r="BO485" s="34" t="n"/>
      <c r="BP485" s="34" t="n"/>
      <c r="BQ485" s="34" t="n"/>
      <c r="BR485" s="82" t="n"/>
      <c r="BS485" s="34" t="n"/>
      <c r="BT485" s="34" t="n"/>
      <c r="BU485" s="34" t="n"/>
      <c r="BV485" s="34" t="n"/>
      <c r="BW485" s="34" t="n"/>
      <c r="BX485" s="34" t="n"/>
      <c r="BY485" s="34" t="n"/>
      <c r="BZ485" s="34" t="n"/>
      <c r="CA485" s="34" t="n"/>
      <c r="CB485" s="33" t="n"/>
      <c r="CC485" s="34" t="n"/>
      <c r="CD485" s="34" t="n"/>
      <c r="CE485" s="82" t="n"/>
      <c r="CF485" s="34" t="n"/>
      <c r="CG485" s="34" t="n"/>
      <c r="CH485" s="34" t="n"/>
      <c r="CI485" s="34" t="n"/>
      <c r="CJ485" s="34" t="n"/>
    </row>
    <row r="486">
      <c r="A486" s="29" t="n"/>
      <c r="B486" s="29" t="n"/>
      <c r="C486" s="35" t="n"/>
      <c r="D486" s="36" t="n"/>
      <c r="E486" s="147" t="n"/>
      <c r="F486" s="30" t="n"/>
      <c r="G486" s="30" t="n"/>
      <c r="H486" s="30" t="n"/>
      <c r="I486" s="30" t="n"/>
      <c r="J486" s="119" t="n"/>
      <c r="K486" s="34" t="n"/>
      <c r="L486" s="119" t="n"/>
      <c r="M486" s="34" t="n"/>
      <c r="N486" s="119" t="n"/>
      <c r="O486" s="34" t="n"/>
      <c r="P486" s="34" t="n"/>
      <c r="Q486" s="117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  <c r="AA486" s="34" t="n"/>
      <c r="AB486" s="34" t="n"/>
      <c r="AC486" s="34" t="n"/>
      <c r="AD486" s="34" t="n"/>
      <c r="AE486" s="34" t="n"/>
      <c r="AF486" s="34" t="n"/>
      <c r="AG486" s="34" t="n"/>
      <c r="AH486" s="34" t="n"/>
      <c r="AK486" s="34" t="n"/>
      <c r="AL486" s="34" t="n"/>
      <c r="AM486" s="39" t="n"/>
      <c r="AN486" s="34" t="n"/>
      <c r="AO486" s="34" t="n"/>
      <c r="AP486" s="34" t="n"/>
      <c r="AQ486" s="34" t="n"/>
      <c r="AR486" s="34" t="n"/>
      <c r="AS486" s="34" t="n"/>
      <c r="AU486" s="34" t="n"/>
      <c r="AV486" s="34" t="n"/>
      <c r="AW486" s="34" t="n"/>
      <c r="AX486" s="34" t="n"/>
      <c r="AY486" s="34" t="n"/>
      <c r="AZ486" s="34" t="n"/>
      <c r="BA486" s="34" t="n"/>
      <c r="BB486" s="34" t="n"/>
      <c r="BC486" s="34" t="n"/>
      <c r="BD486" s="34" t="n"/>
      <c r="BE486" s="34" t="n"/>
      <c r="BF486" s="34" t="n"/>
      <c r="BG486" s="34" t="n"/>
      <c r="BH486" s="34" t="n"/>
      <c r="BI486" s="34" t="n"/>
      <c r="BJ486" s="34" t="n"/>
      <c r="BK486" s="34" t="n"/>
      <c r="BL486" s="34" t="n"/>
      <c r="BM486" s="34" t="n"/>
      <c r="BN486" s="34" t="n"/>
      <c r="BO486" s="34" t="n"/>
      <c r="BP486" s="34" t="n"/>
      <c r="BQ486" s="34" t="n"/>
      <c r="BR486" s="82" t="n"/>
      <c r="BS486" s="34" t="n"/>
      <c r="BT486" s="34" t="n"/>
      <c r="BU486" s="34" t="n"/>
      <c r="BV486" s="34" t="n"/>
      <c r="BW486" s="34" t="n"/>
      <c r="BX486" s="34" t="n"/>
      <c r="BY486" s="34" t="n"/>
      <c r="BZ486" s="34" t="n"/>
      <c r="CA486" s="34" t="n"/>
      <c r="CB486" s="33" t="n"/>
      <c r="CC486" s="34" t="n"/>
      <c r="CD486" s="34" t="n"/>
      <c r="CE486" s="82" t="n"/>
      <c r="CF486" s="34" t="n"/>
      <c r="CG486" s="34" t="n"/>
      <c r="CH486" s="34" t="n"/>
      <c r="CI486" s="34" t="n"/>
      <c r="CJ486" s="34" t="n"/>
    </row>
    <row r="487">
      <c r="A487" s="29" t="n"/>
      <c r="B487" s="29" t="n"/>
      <c r="C487" s="35" t="n"/>
      <c r="D487" s="36" t="n"/>
      <c r="E487" s="147" t="n"/>
      <c r="F487" s="30" t="n"/>
      <c r="G487" s="30" t="n"/>
      <c r="H487" s="30" t="n"/>
      <c r="I487" s="30" t="n"/>
      <c r="J487" s="119" t="n"/>
      <c r="K487" s="34" t="n"/>
      <c r="L487" s="119" t="n"/>
      <c r="M487" s="34" t="n"/>
      <c r="N487" s="119" t="n"/>
      <c r="O487" s="34" t="n"/>
      <c r="P487" s="34" t="n"/>
      <c r="Q487" s="117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  <c r="AA487" s="34" t="n"/>
      <c r="AB487" s="34" t="n"/>
      <c r="AC487" s="34" t="n"/>
      <c r="AD487" s="34" t="n"/>
      <c r="AE487" s="34" t="n"/>
      <c r="AF487" s="34" t="n"/>
      <c r="AG487" s="34" t="n"/>
      <c r="AH487" s="34" t="n"/>
      <c r="AK487" s="34" t="n"/>
      <c r="AL487" s="34" t="n"/>
      <c r="AM487" s="39" t="n"/>
      <c r="AN487" s="34" t="n"/>
      <c r="AO487" s="34" t="n"/>
      <c r="AP487" s="34" t="n"/>
      <c r="AQ487" s="34" t="n"/>
      <c r="AR487" s="34" t="n"/>
      <c r="AS487" s="34" t="n"/>
      <c r="AU487" s="34" t="n"/>
      <c r="AV487" s="34" t="n"/>
      <c r="AW487" s="34" t="n"/>
      <c r="AX487" s="34" t="n"/>
      <c r="AY487" s="34" t="n"/>
      <c r="AZ487" s="34" t="n"/>
      <c r="BA487" s="34" t="n"/>
      <c r="BB487" s="34" t="n"/>
      <c r="BC487" s="34" t="n"/>
      <c r="BD487" s="34" t="n"/>
      <c r="BE487" s="34" t="n"/>
      <c r="BF487" s="34" t="n"/>
      <c r="BG487" s="34" t="n"/>
      <c r="BH487" s="34" t="n"/>
      <c r="BI487" s="34" t="n"/>
      <c r="BJ487" s="34" t="n"/>
      <c r="BK487" s="34" t="n"/>
      <c r="BL487" s="34" t="n"/>
      <c r="BM487" s="34" t="n"/>
      <c r="BN487" s="34" t="n"/>
      <c r="BO487" s="34" t="n"/>
      <c r="BP487" s="34" t="n"/>
      <c r="BQ487" s="34" t="n"/>
      <c r="BR487" s="82" t="n"/>
      <c r="BS487" s="34" t="n"/>
      <c r="BT487" s="34" t="n"/>
      <c r="BU487" s="34" t="n"/>
      <c r="BV487" s="34" t="n"/>
      <c r="BW487" s="34" t="n"/>
      <c r="BX487" s="34" t="n"/>
      <c r="BY487" s="34" t="n"/>
      <c r="BZ487" s="34" t="n"/>
      <c r="CA487" s="34" t="n"/>
      <c r="CB487" s="33" t="n"/>
      <c r="CC487" s="34" t="n"/>
      <c r="CD487" s="34" t="n"/>
      <c r="CE487" s="82" t="n"/>
      <c r="CF487" s="34" t="n"/>
      <c r="CG487" s="34" t="n"/>
      <c r="CH487" s="34" t="n"/>
      <c r="CI487" s="34" t="n"/>
      <c r="CJ487" s="34" t="n"/>
    </row>
    <row r="488">
      <c r="A488" s="29" t="n"/>
      <c r="B488" s="29" t="n"/>
      <c r="C488" s="35" t="n"/>
      <c r="D488" s="36" t="n"/>
      <c r="E488" s="147" t="n"/>
      <c r="F488" s="30" t="n"/>
      <c r="G488" s="30" t="n"/>
      <c r="H488" s="30" t="n"/>
      <c r="I488" s="30" t="n"/>
      <c r="J488" s="119" t="n"/>
      <c r="K488" s="34" t="n"/>
      <c r="L488" s="119" t="n"/>
      <c r="M488" s="34" t="n"/>
      <c r="N488" s="119" t="n"/>
      <c r="O488" s="34" t="n"/>
      <c r="P488" s="34" t="n"/>
      <c r="Q488" s="117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  <c r="AA488" s="34" t="n"/>
      <c r="AB488" s="34" t="n"/>
      <c r="AC488" s="34" t="n"/>
      <c r="AD488" s="34" t="n"/>
      <c r="AE488" s="34" t="n"/>
      <c r="AF488" s="34" t="n"/>
      <c r="AG488" s="34" t="n"/>
      <c r="AH488" s="34" t="n"/>
      <c r="AK488" s="34" t="n"/>
      <c r="AL488" s="34" t="n"/>
      <c r="AM488" s="39" t="n"/>
      <c r="AN488" s="34" t="n"/>
      <c r="AO488" s="34" t="n"/>
      <c r="AP488" s="34" t="n"/>
      <c r="AQ488" s="34" t="n"/>
      <c r="AR488" s="34" t="n"/>
      <c r="AS488" s="34" t="n"/>
      <c r="AU488" s="34" t="n"/>
      <c r="AV488" s="34" t="n"/>
      <c r="AW488" s="34" t="n"/>
      <c r="AX488" s="34" t="n"/>
      <c r="AY488" s="34" t="n"/>
      <c r="AZ488" s="34" t="n"/>
      <c r="BA488" s="34" t="n"/>
      <c r="BB488" s="34" t="n"/>
      <c r="BC488" s="34" t="n"/>
      <c r="BD488" s="34" t="n"/>
      <c r="BE488" s="34" t="n"/>
      <c r="BF488" s="34" t="n"/>
      <c r="BG488" s="34" t="n"/>
      <c r="BH488" s="34" t="n"/>
      <c r="BI488" s="34" t="n"/>
      <c r="BJ488" s="34" t="n"/>
      <c r="BK488" s="34" t="n"/>
      <c r="BL488" s="34" t="n"/>
      <c r="BM488" s="34" t="n"/>
      <c r="BN488" s="34" t="n"/>
      <c r="BO488" s="34" t="n"/>
      <c r="BP488" s="34" t="n"/>
      <c r="BQ488" s="34" t="n"/>
      <c r="BR488" s="82" t="n"/>
      <c r="BS488" s="34" t="n"/>
      <c r="BT488" s="34" t="n"/>
      <c r="BU488" s="34" t="n"/>
      <c r="BV488" s="34" t="n"/>
      <c r="BW488" s="34" t="n"/>
      <c r="BX488" s="34" t="n"/>
      <c r="BY488" s="34" t="n"/>
      <c r="BZ488" s="34" t="n"/>
      <c r="CA488" s="34" t="n"/>
      <c r="CB488" s="33" t="n"/>
      <c r="CC488" s="34" t="n"/>
      <c r="CD488" s="34" t="n"/>
      <c r="CE488" s="82" t="n"/>
      <c r="CF488" s="34" t="n"/>
      <c r="CG488" s="34" t="n"/>
      <c r="CH488" s="34" t="n"/>
      <c r="CI488" s="34" t="n"/>
      <c r="CJ488" s="34" t="n"/>
    </row>
    <row r="489">
      <c r="A489" s="29" t="n"/>
      <c r="B489" s="29" t="n"/>
      <c r="C489" s="35" t="n"/>
      <c r="D489" s="36" t="n"/>
      <c r="E489" s="147" t="n"/>
      <c r="F489" s="30" t="n"/>
      <c r="G489" s="30" t="n"/>
      <c r="H489" s="30" t="n"/>
      <c r="I489" s="30" t="n"/>
      <c r="J489" s="119" t="n"/>
      <c r="K489" s="34" t="n"/>
      <c r="L489" s="119" t="n"/>
      <c r="M489" s="34" t="n"/>
      <c r="N489" s="119" t="n"/>
      <c r="O489" s="34" t="n"/>
      <c r="P489" s="34" t="n"/>
      <c r="Q489" s="117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  <c r="AA489" s="34" t="n"/>
      <c r="AB489" s="34" t="n"/>
      <c r="AC489" s="34" t="n"/>
      <c r="AD489" s="34" t="n"/>
      <c r="AE489" s="34" t="n"/>
      <c r="AF489" s="34" t="n"/>
      <c r="AG489" s="34" t="n"/>
      <c r="AH489" s="34" t="n"/>
      <c r="AK489" s="34" t="n"/>
      <c r="AL489" s="34" t="n"/>
      <c r="AM489" s="39" t="n"/>
      <c r="AN489" s="34" t="n"/>
      <c r="AO489" s="34" t="n"/>
      <c r="AP489" s="34" t="n"/>
      <c r="AQ489" s="34" t="n"/>
      <c r="AR489" s="34" t="n"/>
      <c r="AS489" s="34" t="n"/>
      <c r="AU489" s="34" t="n"/>
      <c r="AV489" s="34" t="n"/>
      <c r="AW489" s="34" t="n"/>
      <c r="AX489" s="34" t="n"/>
      <c r="AY489" s="34" t="n"/>
      <c r="AZ489" s="34" t="n"/>
      <c r="BA489" s="34" t="n"/>
      <c r="BB489" s="34" t="n"/>
      <c r="BC489" s="34" t="n"/>
      <c r="BD489" s="34" t="n"/>
      <c r="BE489" s="34" t="n"/>
      <c r="BF489" s="34" t="n"/>
      <c r="BG489" s="34" t="n"/>
      <c r="BH489" s="34" t="n"/>
      <c r="BI489" s="34" t="n"/>
      <c r="BJ489" s="34" t="n"/>
      <c r="BK489" s="34" t="n"/>
      <c r="BL489" s="34" t="n"/>
      <c r="BM489" s="34" t="n"/>
      <c r="BN489" s="34" t="n"/>
      <c r="BO489" s="34" t="n"/>
      <c r="BP489" s="34" t="n"/>
      <c r="BQ489" s="34" t="n"/>
      <c r="BR489" s="82" t="n"/>
      <c r="BS489" s="34" t="n"/>
      <c r="BT489" s="34" t="n"/>
      <c r="BU489" s="34" t="n"/>
      <c r="BV489" s="34" t="n"/>
      <c r="BW489" s="34" t="n"/>
      <c r="BX489" s="34" t="n"/>
      <c r="BY489" s="34" t="n"/>
      <c r="BZ489" s="34" t="n"/>
      <c r="CA489" s="34" t="n"/>
      <c r="CB489" s="33" t="n"/>
      <c r="CC489" s="34" t="n"/>
      <c r="CD489" s="34" t="n"/>
      <c r="CE489" s="82" t="n"/>
      <c r="CF489" s="34" t="n"/>
      <c r="CG489" s="34" t="n"/>
      <c r="CH489" s="34" t="n"/>
      <c r="CI489" s="34" t="n"/>
      <c r="CJ489" s="34" t="n"/>
    </row>
    <row r="490">
      <c r="A490" s="29" t="n"/>
      <c r="B490" s="29" t="n"/>
      <c r="C490" s="35" t="n"/>
      <c r="D490" s="36" t="n"/>
      <c r="E490" s="147" t="n"/>
      <c r="F490" s="30" t="n"/>
      <c r="G490" s="30" t="n"/>
      <c r="H490" s="30" t="n"/>
      <c r="I490" s="30" t="n"/>
      <c r="J490" s="119" t="n"/>
      <c r="K490" s="34" t="n"/>
      <c r="L490" s="119" t="n"/>
      <c r="M490" s="34" t="n"/>
      <c r="N490" s="119" t="n"/>
      <c r="O490" s="34" t="n"/>
      <c r="P490" s="34" t="n"/>
      <c r="Q490" s="117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  <c r="AA490" s="34" t="n"/>
      <c r="AB490" s="34" t="n"/>
      <c r="AC490" s="34" t="n"/>
      <c r="AD490" s="34" t="n"/>
      <c r="AE490" s="34" t="n"/>
      <c r="AF490" s="34" t="n"/>
      <c r="AG490" s="34" t="n"/>
      <c r="AH490" s="34" t="n"/>
      <c r="AK490" s="34" t="n"/>
      <c r="AL490" s="34" t="n"/>
      <c r="AM490" s="39" t="n"/>
      <c r="AN490" s="34" t="n"/>
      <c r="AO490" s="34" t="n"/>
      <c r="AP490" s="34" t="n"/>
      <c r="AQ490" s="34" t="n"/>
      <c r="AR490" s="34" t="n"/>
      <c r="AS490" s="34" t="n"/>
      <c r="AU490" s="34" t="n"/>
      <c r="AV490" s="34" t="n"/>
      <c r="AW490" s="34" t="n"/>
      <c r="AX490" s="34" t="n"/>
      <c r="AY490" s="34" t="n"/>
      <c r="AZ490" s="34" t="n"/>
      <c r="BA490" s="34" t="n"/>
      <c r="BB490" s="34" t="n"/>
      <c r="BC490" s="34" t="n"/>
      <c r="BD490" s="34" t="n"/>
      <c r="BE490" s="34" t="n"/>
      <c r="BF490" s="34" t="n"/>
      <c r="BG490" s="34" t="n"/>
      <c r="BH490" s="34" t="n"/>
      <c r="BI490" s="34" t="n"/>
      <c r="BJ490" s="34" t="n"/>
      <c r="BK490" s="34" t="n"/>
      <c r="BL490" s="34" t="n"/>
      <c r="BM490" s="34" t="n"/>
      <c r="BN490" s="34" t="n"/>
      <c r="BO490" s="34" t="n"/>
      <c r="BP490" s="34" t="n"/>
      <c r="BQ490" s="34" t="n"/>
      <c r="BR490" s="82" t="n"/>
      <c r="BS490" s="34" t="n"/>
      <c r="BT490" s="34" t="n"/>
      <c r="BU490" s="34" t="n"/>
      <c r="BV490" s="34" t="n"/>
      <c r="BW490" s="34" t="n"/>
      <c r="BX490" s="34" t="n"/>
      <c r="BY490" s="34" t="n"/>
      <c r="BZ490" s="34" t="n"/>
      <c r="CA490" s="34" t="n"/>
      <c r="CB490" s="33" t="n"/>
      <c r="CC490" s="34" t="n"/>
      <c r="CD490" s="34" t="n"/>
      <c r="CE490" s="82" t="n"/>
      <c r="CF490" s="34" t="n"/>
      <c r="CG490" s="34" t="n"/>
      <c r="CH490" s="34" t="n"/>
      <c r="CI490" s="34" t="n"/>
      <c r="CJ490" s="34" t="n"/>
    </row>
    <row r="491">
      <c r="A491" s="29" t="n"/>
      <c r="B491" s="29" t="n"/>
      <c r="C491" s="35" t="n"/>
      <c r="D491" s="36" t="n"/>
      <c r="E491" s="147" t="n"/>
      <c r="F491" s="30" t="n"/>
      <c r="G491" s="30" t="n"/>
      <c r="H491" s="30" t="n"/>
      <c r="I491" s="30" t="n"/>
      <c r="J491" s="119" t="n"/>
      <c r="K491" s="34" t="n"/>
      <c r="L491" s="119" t="n"/>
      <c r="M491" s="34" t="n"/>
      <c r="N491" s="119" t="n"/>
      <c r="O491" s="34" t="n"/>
      <c r="P491" s="34" t="n"/>
      <c r="Q491" s="117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  <c r="AA491" s="34" t="n"/>
      <c r="AB491" s="34" t="n"/>
      <c r="AC491" s="34" t="n"/>
      <c r="AD491" s="34" t="n"/>
      <c r="AE491" s="34" t="n"/>
      <c r="AF491" s="34" t="n"/>
      <c r="AG491" s="34" t="n"/>
      <c r="AH491" s="34" t="n"/>
      <c r="AK491" s="34" t="n"/>
      <c r="AL491" s="34" t="n"/>
      <c r="AM491" s="39" t="n"/>
      <c r="AN491" s="34" t="n"/>
      <c r="AO491" s="34" t="n"/>
      <c r="AP491" s="34" t="n"/>
      <c r="AQ491" s="34" t="n"/>
      <c r="AR491" s="34" t="n"/>
      <c r="AS491" s="34" t="n"/>
      <c r="AU491" s="34" t="n"/>
      <c r="AV491" s="34" t="n"/>
      <c r="AW491" s="34" t="n"/>
      <c r="AX491" s="34" t="n"/>
      <c r="AY491" s="34" t="n"/>
      <c r="AZ491" s="34" t="n"/>
      <c r="BA491" s="34" t="n"/>
      <c r="BB491" s="34" t="n"/>
      <c r="BC491" s="34" t="n"/>
      <c r="BD491" s="34" t="n"/>
      <c r="BE491" s="34" t="n"/>
      <c r="BF491" s="34" t="n"/>
      <c r="BG491" s="34" t="n"/>
      <c r="BH491" s="34" t="n"/>
      <c r="BI491" s="34" t="n"/>
      <c r="BJ491" s="34" t="n"/>
      <c r="BK491" s="34" t="n"/>
      <c r="BL491" s="34" t="n"/>
      <c r="BM491" s="34" t="n"/>
      <c r="BN491" s="34" t="n"/>
      <c r="BO491" s="34" t="n"/>
      <c r="BP491" s="34" t="n"/>
      <c r="BQ491" s="34" t="n"/>
      <c r="BR491" s="82" t="n"/>
      <c r="BS491" s="34" t="n"/>
      <c r="BT491" s="34" t="n"/>
      <c r="BU491" s="34" t="n"/>
      <c r="BV491" s="34" t="n"/>
      <c r="BW491" s="34" t="n"/>
      <c r="BX491" s="34" t="n"/>
      <c r="BY491" s="34" t="n"/>
      <c r="BZ491" s="34" t="n"/>
      <c r="CA491" s="34" t="n"/>
      <c r="CB491" s="33" t="n"/>
      <c r="CC491" s="34" t="n"/>
      <c r="CD491" s="34" t="n"/>
      <c r="CE491" s="82" t="n"/>
      <c r="CF491" s="34" t="n"/>
      <c r="CG491" s="34" t="n"/>
      <c r="CH491" s="34" t="n"/>
      <c r="CI491" s="34" t="n"/>
      <c r="CJ491" s="34" t="n"/>
    </row>
    <row r="492">
      <c r="A492" s="29" t="n"/>
      <c r="B492" s="29" t="n"/>
      <c r="C492" s="35" t="n"/>
      <c r="D492" s="36" t="n"/>
      <c r="E492" s="147" t="n"/>
      <c r="F492" s="30" t="n"/>
      <c r="G492" s="30" t="n"/>
      <c r="H492" s="30" t="n"/>
      <c r="I492" s="30" t="n"/>
      <c r="J492" s="119" t="n"/>
      <c r="K492" s="34" t="n"/>
      <c r="L492" s="119" t="n"/>
      <c r="M492" s="34" t="n"/>
      <c r="N492" s="119" t="n"/>
      <c r="O492" s="34" t="n"/>
      <c r="P492" s="34" t="n"/>
      <c r="Q492" s="117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  <c r="AA492" s="34" t="n"/>
      <c r="AB492" s="34" t="n"/>
      <c r="AC492" s="34" t="n"/>
      <c r="AD492" s="34" t="n"/>
      <c r="AE492" s="34" t="n"/>
      <c r="AF492" s="34" t="n"/>
      <c r="AG492" s="34" t="n"/>
      <c r="AH492" s="34" t="n"/>
      <c r="AK492" s="34" t="n"/>
      <c r="AL492" s="34" t="n"/>
      <c r="AM492" s="39" t="n"/>
      <c r="AN492" s="34" t="n"/>
      <c r="AO492" s="34" t="n"/>
      <c r="AP492" s="34" t="n"/>
      <c r="AQ492" s="34" t="n"/>
      <c r="AR492" s="34" t="n"/>
      <c r="AS492" s="34" t="n"/>
      <c r="AU492" s="34" t="n"/>
      <c r="AV492" s="34" t="n"/>
      <c r="AW492" s="34" t="n"/>
      <c r="AX492" s="34" t="n"/>
      <c r="AY492" s="34" t="n"/>
      <c r="AZ492" s="34" t="n"/>
      <c r="BA492" s="34" t="n"/>
      <c r="BB492" s="34" t="n"/>
      <c r="BC492" s="34" t="n"/>
      <c r="BD492" s="34" t="n"/>
      <c r="BE492" s="34" t="n"/>
      <c r="BF492" s="34" t="n"/>
      <c r="BG492" s="34" t="n"/>
      <c r="BH492" s="34" t="n"/>
      <c r="BI492" s="34" t="n"/>
      <c r="BJ492" s="34" t="n"/>
      <c r="BK492" s="34" t="n"/>
      <c r="BL492" s="34" t="n"/>
      <c r="BM492" s="34" t="n"/>
      <c r="BN492" s="34" t="n"/>
      <c r="BO492" s="34" t="n"/>
      <c r="BP492" s="34" t="n"/>
      <c r="BQ492" s="34" t="n"/>
      <c r="BR492" s="82" t="n"/>
      <c r="BS492" s="34" t="n"/>
      <c r="BT492" s="34" t="n"/>
      <c r="BU492" s="34" t="n"/>
      <c r="BV492" s="34" t="n"/>
      <c r="BW492" s="34" t="n"/>
      <c r="BX492" s="34" t="n"/>
      <c r="BY492" s="34" t="n"/>
      <c r="BZ492" s="34" t="n"/>
      <c r="CA492" s="34" t="n"/>
      <c r="CB492" s="33" t="n"/>
      <c r="CC492" s="34" t="n"/>
      <c r="CD492" s="34" t="n"/>
      <c r="CE492" s="82" t="n"/>
      <c r="CF492" s="34" t="n"/>
      <c r="CG492" s="34" t="n"/>
      <c r="CH492" s="34" t="n"/>
      <c r="CI492" s="34" t="n"/>
      <c r="CJ492" s="34" t="n"/>
    </row>
    <row r="493">
      <c r="A493" s="29" t="n"/>
      <c r="B493" s="29" t="n"/>
      <c r="C493" s="35" t="n"/>
      <c r="D493" s="36" t="n"/>
      <c r="E493" s="147" t="n"/>
      <c r="F493" s="30" t="n"/>
      <c r="G493" s="30" t="n"/>
      <c r="H493" s="30" t="n"/>
      <c r="I493" s="30" t="n"/>
      <c r="J493" s="119" t="n"/>
      <c r="K493" s="34" t="n"/>
      <c r="L493" s="119" t="n"/>
      <c r="M493" s="34" t="n"/>
      <c r="N493" s="119" t="n"/>
      <c r="O493" s="34" t="n"/>
      <c r="P493" s="34" t="n"/>
      <c r="Q493" s="117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  <c r="AA493" s="34" t="n"/>
      <c r="AB493" s="34" t="n"/>
      <c r="AC493" s="34" t="n"/>
      <c r="AD493" s="34" t="n"/>
      <c r="AE493" s="34" t="n"/>
      <c r="AF493" s="34" t="n"/>
      <c r="AG493" s="34" t="n"/>
      <c r="AH493" s="34" t="n"/>
      <c r="AK493" s="34" t="n"/>
      <c r="AL493" s="34" t="n"/>
      <c r="AM493" s="39" t="n"/>
      <c r="AN493" s="34" t="n"/>
      <c r="AO493" s="34" t="n"/>
      <c r="AP493" s="34" t="n"/>
      <c r="AQ493" s="34" t="n"/>
      <c r="AR493" s="34" t="n"/>
      <c r="AS493" s="34" t="n"/>
      <c r="AU493" s="34" t="n"/>
      <c r="AV493" s="34" t="n"/>
      <c r="AW493" s="34" t="n"/>
      <c r="AX493" s="34" t="n"/>
      <c r="AY493" s="34" t="n"/>
      <c r="AZ493" s="34" t="n"/>
      <c r="BA493" s="34" t="n"/>
      <c r="BB493" s="34" t="n"/>
      <c r="BC493" s="34" t="n"/>
      <c r="BD493" s="34" t="n"/>
      <c r="BE493" s="34" t="n"/>
      <c r="BF493" s="34" t="n"/>
      <c r="BG493" s="34" t="n"/>
      <c r="BH493" s="34" t="n"/>
      <c r="BI493" s="34" t="n"/>
      <c r="BJ493" s="34" t="n"/>
      <c r="BK493" s="34" t="n"/>
      <c r="BL493" s="34" t="n"/>
      <c r="BM493" s="34" t="n"/>
      <c r="BN493" s="34" t="n"/>
      <c r="BO493" s="34" t="n"/>
      <c r="BP493" s="34" t="n"/>
      <c r="BQ493" s="34" t="n"/>
      <c r="BR493" s="82" t="n"/>
      <c r="BS493" s="34" t="n"/>
      <c r="BT493" s="34" t="n"/>
      <c r="BU493" s="34" t="n"/>
      <c r="BV493" s="34" t="n"/>
      <c r="BW493" s="34" t="n"/>
      <c r="BX493" s="34" t="n"/>
      <c r="BY493" s="34" t="n"/>
      <c r="BZ493" s="34" t="n"/>
      <c r="CA493" s="34" t="n"/>
      <c r="CB493" s="33" t="n"/>
      <c r="CC493" s="34" t="n"/>
      <c r="CD493" s="34" t="n"/>
      <c r="CE493" s="82" t="n"/>
      <c r="CF493" s="34" t="n"/>
      <c r="CG493" s="34" t="n"/>
      <c r="CH493" s="34" t="n"/>
      <c r="CI493" s="34" t="n"/>
      <c r="CJ493" s="34" t="n"/>
    </row>
    <row r="494">
      <c r="A494" s="29" t="n"/>
      <c r="B494" s="29" t="n"/>
      <c r="C494" s="35" t="n"/>
      <c r="D494" s="36" t="n"/>
      <c r="E494" s="147" t="n"/>
      <c r="F494" s="30" t="n"/>
      <c r="G494" s="30" t="n"/>
      <c r="H494" s="30" t="n"/>
      <c r="I494" s="30" t="n"/>
      <c r="J494" s="119" t="n"/>
      <c r="K494" s="34" t="n"/>
      <c r="L494" s="119" t="n"/>
      <c r="M494" s="34" t="n"/>
      <c r="N494" s="119" t="n"/>
      <c r="O494" s="34" t="n"/>
      <c r="P494" s="34" t="n"/>
      <c r="Q494" s="117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  <c r="AA494" s="34" t="n"/>
      <c r="AB494" s="34" t="n"/>
      <c r="AC494" s="34" t="n"/>
      <c r="AD494" s="34" t="n"/>
      <c r="AE494" s="34" t="n"/>
      <c r="AF494" s="34" t="n"/>
      <c r="AG494" s="34" t="n"/>
      <c r="AH494" s="34" t="n"/>
      <c r="AK494" s="34" t="n"/>
      <c r="AL494" s="34" t="n"/>
      <c r="AM494" s="39" t="n"/>
      <c r="AN494" s="34" t="n"/>
      <c r="AO494" s="34" t="n"/>
      <c r="AP494" s="34" t="n"/>
      <c r="AQ494" s="34" t="n"/>
      <c r="AR494" s="34" t="n"/>
      <c r="AS494" s="34" t="n"/>
      <c r="AU494" s="34" t="n"/>
      <c r="AV494" s="34" t="n"/>
      <c r="AW494" s="34" t="n"/>
      <c r="AX494" s="34" t="n"/>
      <c r="AY494" s="34" t="n"/>
      <c r="AZ494" s="34" t="n"/>
      <c r="BA494" s="34" t="n"/>
      <c r="BB494" s="34" t="n"/>
      <c r="BC494" s="34" t="n"/>
      <c r="BD494" s="34" t="n"/>
      <c r="BE494" s="34" t="n"/>
      <c r="BF494" s="34" t="n"/>
      <c r="BG494" s="34" t="n"/>
      <c r="BH494" s="34" t="n"/>
      <c r="BI494" s="34" t="n"/>
      <c r="BJ494" s="34" t="n"/>
      <c r="BK494" s="34" t="n"/>
      <c r="BL494" s="34" t="n"/>
      <c r="BM494" s="34" t="n"/>
      <c r="BN494" s="34" t="n"/>
      <c r="BO494" s="34" t="n"/>
      <c r="BP494" s="34" t="n"/>
      <c r="BQ494" s="34" t="n"/>
      <c r="BR494" s="82" t="n"/>
      <c r="BS494" s="34" t="n"/>
      <c r="BT494" s="34" t="n"/>
      <c r="BU494" s="34" t="n"/>
      <c r="BV494" s="34" t="n"/>
      <c r="BW494" s="34" t="n"/>
      <c r="BX494" s="34" t="n"/>
      <c r="BY494" s="34" t="n"/>
      <c r="BZ494" s="34" t="n"/>
      <c r="CA494" s="34" t="n"/>
      <c r="CB494" s="33" t="n"/>
      <c r="CC494" s="34" t="n"/>
      <c r="CD494" s="34" t="n"/>
      <c r="CE494" s="82" t="n"/>
      <c r="CF494" s="34" t="n"/>
      <c r="CG494" s="34" t="n"/>
      <c r="CH494" s="34" t="n"/>
      <c r="CI494" s="34" t="n"/>
      <c r="CJ494" s="34" t="n"/>
    </row>
    <row r="495">
      <c r="A495" s="29" t="n"/>
      <c r="B495" s="29" t="n"/>
      <c r="C495" s="35" t="n"/>
      <c r="D495" s="36" t="n"/>
      <c r="E495" s="147" t="n"/>
      <c r="F495" s="30" t="n"/>
      <c r="G495" s="30" t="n"/>
      <c r="H495" s="30" t="n"/>
      <c r="I495" s="30" t="n"/>
      <c r="J495" s="119" t="n"/>
      <c r="K495" s="34" t="n"/>
      <c r="L495" s="119" t="n"/>
      <c r="M495" s="34" t="n"/>
      <c r="N495" s="119" t="n"/>
      <c r="O495" s="34" t="n"/>
      <c r="P495" s="34" t="n"/>
      <c r="Q495" s="117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  <c r="AA495" s="34" t="n"/>
      <c r="AB495" s="34" t="n"/>
      <c r="AC495" s="34" t="n"/>
      <c r="AD495" s="34" t="n"/>
      <c r="AE495" s="34" t="n"/>
      <c r="AF495" s="34" t="n"/>
      <c r="AG495" s="34" t="n"/>
      <c r="AH495" s="34" t="n"/>
      <c r="AK495" s="34" t="n"/>
      <c r="AL495" s="34" t="n"/>
      <c r="AM495" s="39" t="n"/>
      <c r="AN495" s="34" t="n"/>
      <c r="AO495" s="34" t="n"/>
      <c r="AP495" s="34" t="n"/>
      <c r="AQ495" s="34" t="n"/>
      <c r="AR495" s="34" t="n"/>
      <c r="AS495" s="34" t="n"/>
      <c r="AU495" s="34" t="n"/>
      <c r="AV495" s="34" t="n"/>
      <c r="AW495" s="34" t="n"/>
      <c r="AX495" s="34" t="n"/>
      <c r="AY495" s="34" t="n"/>
      <c r="AZ495" s="34" t="n"/>
      <c r="BA495" s="34" t="n"/>
      <c r="BB495" s="34" t="n"/>
      <c r="BC495" s="34" t="n"/>
      <c r="BD495" s="34" t="n"/>
      <c r="BE495" s="34" t="n"/>
      <c r="BF495" s="34" t="n"/>
      <c r="BG495" s="34" t="n"/>
      <c r="BH495" s="34" t="n"/>
      <c r="BI495" s="34" t="n"/>
      <c r="BJ495" s="34" t="n"/>
      <c r="BK495" s="34" t="n"/>
      <c r="BL495" s="34" t="n"/>
      <c r="BM495" s="34" t="n"/>
      <c r="BN495" s="34" t="n"/>
      <c r="BO495" s="34" t="n"/>
      <c r="BP495" s="34" t="n"/>
      <c r="BQ495" s="34" t="n"/>
      <c r="BR495" s="82" t="n"/>
      <c r="BS495" s="34" t="n"/>
      <c r="BT495" s="34" t="n"/>
      <c r="BU495" s="34" t="n"/>
      <c r="BV495" s="34" t="n"/>
      <c r="BW495" s="34" t="n"/>
      <c r="BX495" s="34" t="n"/>
      <c r="BY495" s="34" t="n"/>
      <c r="BZ495" s="34" t="n"/>
      <c r="CA495" s="34" t="n"/>
      <c r="CB495" s="33" t="n"/>
      <c r="CC495" s="34" t="n"/>
      <c r="CD495" s="34" t="n"/>
      <c r="CE495" s="82" t="n"/>
      <c r="CF495" s="34" t="n"/>
      <c r="CG495" s="34" t="n"/>
      <c r="CH495" s="34" t="n"/>
      <c r="CI495" s="34" t="n"/>
      <c r="CJ495" s="34" t="n"/>
    </row>
    <row r="496">
      <c r="A496" s="29" t="n"/>
      <c r="B496" s="29" t="n"/>
      <c r="C496" s="35" t="n"/>
      <c r="D496" s="36" t="n"/>
      <c r="E496" s="147" t="n"/>
      <c r="F496" s="30" t="n"/>
      <c r="G496" s="30" t="n"/>
      <c r="H496" s="30" t="n"/>
      <c r="I496" s="30" t="n"/>
      <c r="J496" s="119" t="n"/>
      <c r="K496" s="34" t="n"/>
      <c r="L496" s="119" t="n"/>
      <c r="M496" s="34" t="n"/>
      <c r="N496" s="119" t="n"/>
      <c r="O496" s="34" t="n"/>
      <c r="P496" s="34" t="n"/>
      <c r="Q496" s="117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  <c r="AA496" s="34" t="n"/>
      <c r="AB496" s="34" t="n"/>
      <c r="AC496" s="34" t="n"/>
      <c r="AD496" s="34" t="n"/>
      <c r="AE496" s="34" t="n"/>
      <c r="AF496" s="34" t="n"/>
      <c r="AG496" s="34" t="n"/>
      <c r="AH496" s="34" t="n"/>
      <c r="AK496" s="34" t="n"/>
      <c r="AL496" s="34" t="n"/>
      <c r="AM496" s="39" t="n"/>
      <c r="AN496" s="34" t="n"/>
      <c r="AO496" s="34" t="n"/>
      <c r="AP496" s="34" t="n"/>
      <c r="AQ496" s="34" t="n"/>
      <c r="AR496" s="34" t="n"/>
      <c r="AS496" s="34" t="n"/>
      <c r="AU496" s="34" t="n"/>
      <c r="AV496" s="34" t="n"/>
      <c r="AW496" s="34" t="n"/>
      <c r="AX496" s="34" t="n"/>
      <c r="AY496" s="34" t="n"/>
      <c r="AZ496" s="34" t="n"/>
      <c r="BA496" s="34" t="n"/>
      <c r="BB496" s="34" t="n"/>
      <c r="BC496" s="34" t="n"/>
      <c r="BD496" s="34" t="n"/>
      <c r="BE496" s="34" t="n"/>
      <c r="BF496" s="34" t="n"/>
      <c r="BG496" s="34" t="n"/>
      <c r="BH496" s="34" t="n"/>
      <c r="BI496" s="34" t="n"/>
      <c r="BJ496" s="34" t="n"/>
      <c r="BK496" s="34" t="n"/>
      <c r="BL496" s="34" t="n"/>
      <c r="BM496" s="34" t="n"/>
      <c r="BN496" s="34" t="n"/>
      <c r="BO496" s="34" t="n"/>
      <c r="BP496" s="34" t="n"/>
      <c r="BQ496" s="34" t="n"/>
      <c r="BR496" s="82" t="n"/>
      <c r="BS496" s="34" t="n"/>
      <c r="BT496" s="34" t="n"/>
      <c r="BU496" s="34" t="n"/>
      <c r="BV496" s="34" t="n"/>
      <c r="BW496" s="34" t="n"/>
      <c r="BX496" s="34" t="n"/>
      <c r="BY496" s="34" t="n"/>
      <c r="BZ496" s="34" t="n"/>
      <c r="CA496" s="34" t="n"/>
      <c r="CB496" s="33" t="n"/>
      <c r="CC496" s="34" t="n"/>
      <c r="CD496" s="34" t="n"/>
      <c r="CE496" s="82" t="n"/>
      <c r="CF496" s="34" t="n"/>
      <c r="CG496" s="34" t="n"/>
      <c r="CH496" s="34" t="n"/>
      <c r="CI496" s="34" t="n"/>
      <c r="CJ496" s="34" t="n"/>
    </row>
    <row r="497">
      <c r="A497" s="29" t="n"/>
      <c r="B497" s="29" t="n"/>
      <c r="C497" s="35" t="n"/>
      <c r="D497" s="36" t="n"/>
      <c r="E497" s="147" t="n"/>
      <c r="F497" s="30" t="n"/>
      <c r="G497" s="30" t="n"/>
      <c r="H497" s="30" t="n"/>
      <c r="I497" s="30" t="n"/>
      <c r="J497" s="119" t="n"/>
      <c r="K497" s="34" t="n"/>
      <c r="L497" s="119" t="n"/>
      <c r="M497" s="34" t="n"/>
      <c r="N497" s="119" t="n"/>
      <c r="O497" s="34" t="n"/>
      <c r="P497" s="34" t="n"/>
      <c r="Q497" s="117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  <c r="AA497" s="34" t="n"/>
      <c r="AB497" s="34" t="n"/>
      <c r="AC497" s="34" t="n"/>
      <c r="AD497" s="34" t="n"/>
      <c r="AE497" s="34" t="n"/>
      <c r="AF497" s="34" t="n"/>
      <c r="AG497" s="34" t="n"/>
      <c r="AH497" s="34" t="n"/>
      <c r="AK497" s="34" t="n"/>
      <c r="AL497" s="34" t="n"/>
      <c r="AM497" s="39" t="n"/>
      <c r="AN497" s="34" t="n"/>
      <c r="AO497" s="34" t="n"/>
      <c r="AP497" s="34" t="n"/>
      <c r="AQ497" s="34" t="n"/>
      <c r="AR497" s="34" t="n"/>
      <c r="AS497" s="34" t="n"/>
      <c r="AU497" s="34" t="n"/>
      <c r="AV497" s="34" t="n"/>
      <c r="AW497" s="34" t="n"/>
      <c r="AX497" s="34" t="n"/>
      <c r="AY497" s="34" t="n"/>
      <c r="AZ497" s="34" t="n"/>
      <c r="BA497" s="34" t="n"/>
      <c r="BB497" s="34" t="n"/>
      <c r="BC497" s="34" t="n"/>
      <c r="BD497" s="34" t="n"/>
      <c r="BE497" s="34" t="n"/>
      <c r="BF497" s="34" t="n"/>
      <c r="BG497" s="34" t="n"/>
      <c r="BH497" s="34" t="n"/>
      <c r="BI497" s="34" t="n"/>
      <c r="BJ497" s="34" t="n"/>
      <c r="BK497" s="34" t="n"/>
      <c r="BL497" s="34" t="n"/>
      <c r="BM497" s="34" t="n"/>
      <c r="BN497" s="34" t="n"/>
      <c r="BO497" s="34" t="n"/>
      <c r="BP497" s="34" t="n"/>
      <c r="BQ497" s="34" t="n"/>
      <c r="BR497" s="82" t="n"/>
      <c r="BS497" s="34" t="n"/>
      <c r="BT497" s="34" t="n"/>
      <c r="BU497" s="34" t="n"/>
      <c r="BV497" s="34" t="n"/>
      <c r="BW497" s="34" t="n"/>
      <c r="BX497" s="34" t="n"/>
      <c r="BY497" s="34" t="n"/>
      <c r="BZ497" s="34" t="n"/>
      <c r="CA497" s="34" t="n"/>
      <c r="CB497" s="33" t="n"/>
      <c r="CC497" s="34" t="n"/>
      <c r="CD497" s="34" t="n"/>
      <c r="CE497" s="82" t="n"/>
      <c r="CF497" s="34" t="n"/>
      <c r="CG497" s="34" t="n"/>
      <c r="CH497" s="34" t="n"/>
      <c r="CI497" s="34" t="n"/>
      <c r="CJ497" s="34" t="n"/>
    </row>
    <row r="498">
      <c r="A498" s="29" t="n"/>
      <c r="B498" s="29" t="n"/>
      <c r="C498" s="35" t="n"/>
      <c r="D498" s="36" t="n"/>
      <c r="E498" s="147" t="n"/>
      <c r="F498" s="30" t="n"/>
      <c r="G498" s="30" t="n"/>
      <c r="H498" s="30" t="n"/>
      <c r="I498" s="30" t="n"/>
      <c r="J498" s="119" t="n"/>
      <c r="K498" s="34" t="n"/>
      <c r="L498" s="119" t="n"/>
      <c r="M498" s="34" t="n"/>
      <c r="N498" s="119" t="n"/>
      <c r="O498" s="34" t="n"/>
      <c r="P498" s="34" t="n"/>
      <c r="Q498" s="117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  <c r="AA498" s="34" t="n"/>
      <c r="AB498" s="34" t="n"/>
      <c r="AC498" s="34" t="n"/>
      <c r="AD498" s="34" t="n"/>
      <c r="AE498" s="34" t="n"/>
      <c r="AF498" s="34" t="n"/>
      <c r="AG498" s="34" t="n"/>
      <c r="AH498" s="34" t="n"/>
      <c r="AK498" s="34" t="n"/>
      <c r="AL498" s="34" t="n"/>
      <c r="AM498" s="39" t="n"/>
      <c r="AN498" s="34" t="n"/>
      <c r="AO498" s="34" t="n"/>
      <c r="AP498" s="34" t="n"/>
      <c r="AQ498" s="34" t="n"/>
      <c r="AR498" s="34" t="n"/>
      <c r="AS498" s="34" t="n"/>
      <c r="AU498" s="34" t="n"/>
      <c r="AV498" s="34" t="n"/>
      <c r="AW498" s="34" t="n"/>
      <c r="AX498" s="34" t="n"/>
      <c r="AY498" s="34" t="n"/>
      <c r="AZ498" s="34" t="n"/>
      <c r="BA498" s="34" t="n"/>
      <c r="BB498" s="34" t="n"/>
      <c r="BC498" s="34" t="n"/>
      <c r="BD498" s="34" t="n"/>
      <c r="BE498" s="34" t="n"/>
      <c r="BF498" s="34" t="n"/>
      <c r="BG498" s="34" t="n"/>
      <c r="BH498" s="34" t="n"/>
      <c r="BI498" s="34" t="n"/>
      <c r="BJ498" s="34" t="n"/>
      <c r="BK498" s="34" t="n"/>
      <c r="BL498" s="34" t="n"/>
      <c r="BM498" s="34" t="n"/>
      <c r="BN498" s="34" t="n"/>
      <c r="BO498" s="34" t="n"/>
      <c r="BP498" s="34" t="n"/>
      <c r="BQ498" s="34" t="n"/>
      <c r="BR498" s="82" t="n"/>
      <c r="BS498" s="34" t="n"/>
      <c r="BT498" s="34" t="n"/>
      <c r="BU498" s="34" t="n"/>
      <c r="BV498" s="34" t="n"/>
      <c r="BW498" s="34" t="n"/>
      <c r="BX498" s="34" t="n"/>
      <c r="BY498" s="34" t="n"/>
      <c r="BZ498" s="34" t="n"/>
      <c r="CA498" s="34" t="n"/>
      <c r="CB498" s="33" t="n"/>
      <c r="CC498" s="34" t="n"/>
      <c r="CD498" s="34" t="n"/>
      <c r="CE498" s="82" t="n"/>
      <c r="CF498" s="34" t="n"/>
      <c r="CG498" s="34" t="n"/>
      <c r="CH498" s="34" t="n"/>
      <c r="CI498" s="34" t="n"/>
      <c r="CJ498" s="34" t="n"/>
    </row>
    <row r="499">
      <c r="A499" s="29" t="n"/>
      <c r="B499" s="29" t="n"/>
      <c r="C499" s="35" t="n"/>
      <c r="D499" s="36" t="n"/>
      <c r="E499" s="147" t="n"/>
      <c r="F499" s="30" t="n"/>
      <c r="G499" s="30" t="n"/>
      <c r="H499" s="30" t="n"/>
      <c r="I499" s="30" t="n"/>
      <c r="J499" s="119" t="n"/>
      <c r="K499" s="34" t="n"/>
      <c r="L499" s="119" t="n"/>
      <c r="M499" s="34" t="n"/>
      <c r="N499" s="119" t="n"/>
      <c r="O499" s="34" t="n"/>
      <c r="P499" s="34" t="n"/>
      <c r="Q499" s="117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  <c r="AA499" s="34" t="n"/>
      <c r="AB499" s="34" t="n"/>
      <c r="AC499" s="34" t="n"/>
      <c r="AD499" s="34" t="n"/>
      <c r="AE499" s="34" t="n"/>
      <c r="AF499" s="34" t="n"/>
      <c r="AG499" s="34" t="n"/>
      <c r="AH499" s="34" t="n"/>
      <c r="AK499" s="34" t="n"/>
      <c r="AL499" s="34" t="n"/>
      <c r="AM499" s="39" t="n"/>
      <c r="AN499" s="34" t="n"/>
      <c r="AO499" s="34" t="n"/>
      <c r="AP499" s="34" t="n"/>
      <c r="AQ499" s="34" t="n"/>
      <c r="AR499" s="34" t="n"/>
      <c r="AS499" s="34" t="n"/>
      <c r="AU499" s="34" t="n"/>
      <c r="AV499" s="34" t="n"/>
      <c r="AW499" s="34" t="n"/>
      <c r="AX499" s="34" t="n"/>
      <c r="AY499" s="34" t="n"/>
      <c r="AZ499" s="34" t="n"/>
      <c r="BA499" s="34" t="n"/>
      <c r="BB499" s="34" t="n"/>
      <c r="BC499" s="34" t="n"/>
      <c r="BD499" s="34" t="n"/>
      <c r="BE499" s="34" t="n"/>
      <c r="BF499" s="34" t="n"/>
      <c r="BG499" s="34" t="n"/>
      <c r="BH499" s="34" t="n"/>
      <c r="BI499" s="34" t="n"/>
      <c r="BJ499" s="34" t="n"/>
      <c r="BK499" s="34" t="n"/>
      <c r="BL499" s="34" t="n"/>
      <c r="BM499" s="34" t="n"/>
      <c r="BN499" s="34" t="n"/>
      <c r="BO499" s="34" t="n"/>
      <c r="BP499" s="34" t="n"/>
      <c r="BQ499" s="34" t="n"/>
      <c r="BR499" s="82" t="n"/>
      <c r="BS499" s="34" t="n"/>
      <c r="BT499" s="34" t="n"/>
      <c r="BU499" s="34" t="n"/>
      <c r="BV499" s="34" t="n"/>
      <c r="BW499" s="34" t="n"/>
      <c r="BX499" s="34" t="n"/>
      <c r="BY499" s="34" t="n"/>
      <c r="BZ499" s="34" t="n"/>
      <c r="CA499" s="34" t="n"/>
      <c r="CB499" s="33" t="n"/>
      <c r="CC499" s="34" t="n"/>
      <c r="CD499" s="34" t="n"/>
      <c r="CE499" s="82" t="n"/>
      <c r="CF499" s="34" t="n"/>
      <c r="CG499" s="34" t="n"/>
      <c r="CH499" s="34" t="n"/>
      <c r="CI499" s="34" t="n"/>
      <c r="CJ499" s="34" t="n"/>
    </row>
    <row r="500">
      <c r="A500" s="29" t="n"/>
      <c r="B500" s="29" t="n"/>
      <c r="C500" s="35" t="n"/>
      <c r="D500" s="36" t="n"/>
      <c r="E500" s="147" t="n"/>
      <c r="F500" s="30" t="n"/>
      <c r="G500" s="30" t="n"/>
      <c r="H500" s="30" t="n"/>
      <c r="I500" s="30" t="n"/>
      <c r="J500" s="119" t="n"/>
      <c r="K500" s="34" t="n"/>
      <c r="L500" s="119" t="n"/>
      <c r="M500" s="34" t="n"/>
      <c r="N500" s="119" t="n"/>
      <c r="O500" s="34" t="n"/>
      <c r="P500" s="34" t="n"/>
      <c r="Q500" s="117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  <c r="AA500" s="34" t="n"/>
      <c r="AB500" s="34" t="n"/>
      <c r="AC500" s="34" t="n"/>
      <c r="AD500" s="34" t="n"/>
      <c r="AE500" s="34" t="n"/>
      <c r="AF500" s="34" t="n"/>
      <c r="AG500" s="34" t="n"/>
      <c r="AH500" s="34" t="n"/>
      <c r="AK500" s="34" t="n"/>
      <c r="AL500" s="34" t="n"/>
      <c r="AM500" s="39" t="n"/>
      <c r="AN500" s="34" t="n"/>
      <c r="AO500" s="34" t="n"/>
      <c r="AP500" s="34" t="n"/>
      <c r="AQ500" s="34" t="n"/>
      <c r="AR500" s="34" t="n"/>
      <c r="AS500" s="34" t="n"/>
      <c r="AU500" s="34" t="n"/>
      <c r="AV500" s="34" t="n"/>
      <c r="AW500" s="34" t="n"/>
      <c r="AX500" s="34" t="n"/>
      <c r="AY500" s="34" t="n"/>
      <c r="AZ500" s="34" t="n"/>
      <c r="BA500" s="34" t="n"/>
      <c r="BB500" s="34" t="n"/>
      <c r="BC500" s="34" t="n"/>
      <c r="BD500" s="34" t="n"/>
      <c r="BE500" s="34" t="n"/>
      <c r="BF500" s="34" t="n"/>
      <c r="BG500" s="34" t="n"/>
      <c r="BH500" s="34" t="n"/>
      <c r="BI500" s="34" t="n"/>
      <c r="BJ500" s="34" t="n"/>
      <c r="BK500" s="34" t="n"/>
      <c r="BL500" s="34" t="n"/>
      <c r="BM500" s="34" t="n"/>
      <c r="BN500" s="34" t="n"/>
      <c r="BO500" s="34" t="n"/>
      <c r="BP500" s="34" t="n"/>
      <c r="BQ500" s="34" t="n"/>
      <c r="BR500" s="82" t="n"/>
      <c r="BS500" s="34" t="n"/>
      <c r="BT500" s="34" t="n"/>
      <c r="BU500" s="34" t="n"/>
      <c r="BV500" s="34" t="n"/>
      <c r="BW500" s="34" t="n"/>
      <c r="BX500" s="34" t="n"/>
      <c r="BY500" s="34" t="n"/>
      <c r="BZ500" s="34" t="n"/>
      <c r="CA500" s="34" t="n"/>
      <c r="CB500" s="33" t="n"/>
      <c r="CC500" s="34" t="n"/>
      <c r="CD500" s="34" t="n"/>
      <c r="CE500" s="82" t="n"/>
      <c r="CF500" s="34" t="n"/>
      <c r="CG500" s="34" t="n"/>
      <c r="CH500" s="34" t="n"/>
      <c r="CI500" s="34" t="n"/>
      <c r="CJ500" s="34" t="n"/>
    </row>
    <row r="501">
      <c r="A501" s="29" t="n"/>
      <c r="B501" s="29" t="n"/>
      <c r="C501" s="35" t="n"/>
      <c r="D501" s="36" t="n"/>
      <c r="E501" s="147" t="n"/>
      <c r="F501" s="30" t="n"/>
      <c r="G501" s="30" t="n"/>
      <c r="H501" s="30" t="n"/>
      <c r="I501" s="30" t="n"/>
      <c r="J501" s="119" t="n"/>
      <c r="K501" s="34" t="n"/>
      <c r="L501" s="119" t="n"/>
      <c r="M501" s="34" t="n"/>
      <c r="N501" s="119" t="n"/>
      <c r="O501" s="34" t="n"/>
      <c r="P501" s="34" t="n"/>
      <c r="Q501" s="117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  <c r="AA501" s="34" t="n"/>
      <c r="AB501" s="34" t="n"/>
      <c r="AC501" s="34" t="n"/>
      <c r="AD501" s="34" t="n"/>
      <c r="AE501" s="34" t="n"/>
      <c r="AF501" s="34" t="n"/>
      <c r="AG501" s="34" t="n"/>
      <c r="AH501" s="34" t="n"/>
      <c r="AK501" s="34" t="n"/>
      <c r="AL501" s="34" t="n"/>
      <c r="AM501" s="39" t="n"/>
      <c r="AN501" s="34" t="n"/>
      <c r="AO501" s="34" t="n"/>
      <c r="AP501" s="34" t="n"/>
      <c r="AQ501" s="34" t="n"/>
      <c r="AR501" s="34" t="n"/>
      <c r="AS501" s="34" t="n"/>
      <c r="AU501" s="34" t="n"/>
      <c r="AV501" s="34" t="n"/>
      <c r="AW501" s="34" t="n"/>
      <c r="AX501" s="34" t="n"/>
      <c r="AY501" s="34" t="n"/>
      <c r="AZ501" s="34" t="n"/>
      <c r="BA501" s="34" t="n"/>
      <c r="BB501" s="34" t="n"/>
      <c r="BC501" s="34" t="n"/>
      <c r="BD501" s="34" t="n"/>
      <c r="BE501" s="34" t="n"/>
      <c r="BF501" s="34" t="n"/>
      <c r="BG501" s="34" t="n"/>
      <c r="BH501" s="34" t="n"/>
      <c r="BI501" s="34" t="n"/>
      <c r="BJ501" s="34" t="n"/>
      <c r="BK501" s="34" t="n"/>
      <c r="BL501" s="34" t="n"/>
      <c r="BM501" s="34" t="n"/>
      <c r="BN501" s="34" t="n"/>
      <c r="BO501" s="34" t="n"/>
      <c r="BP501" s="34" t="n"/>
      <c r="BQ501" s="34" t="n"/>
      <c r="BR501" s="82" t="n"/>
      <c r="BS501" s="34" t="n"/>
      <c r="BT501" s="34" t="n"/>
      <c r="BU501" s="34" t="n"/>
      <c r="BV501" s="34" t="n"/>
      <c r="BW501" s="34" t="n"/>
      <c r="BX501" s="34" t="n"/>
      <c r="BY501" s="34" t="n"/>
      <c r="BZ501" s="34" t="n"/>
      <c r="CA501" s="34" t="n"/>
      <c r="CB501" s="33" t="n"/>
      <c r="CC501" s="34" t="n"/>
      <c r="CD501" s="34" t="n"/>
      <c r="CE501" s="82" t="n"/>
      <c r="CF501" s="34" t="n"/>
      <c r="CG501" s="34" t="n"/>
      <c r="CH501" s="34" t="n"/>
      <c r="CI501" s="34" t="n"/>
      <c r="CJ501" s="34" t="n"/>
    </row>
    <row r="502">
      <c r="A502" s="29" t="n"/>
      <c r="B502" s="29" t="n"/>
      <c r="C502" s="35" t="n"/>
      <c r="D502" s="36" t="n"/>
      <c r="E502" s="147" t="n"/>
      <c r="F502" s="30" t="n"/>
      <c r="G502" s="30" t="n"/>
      <c r="H502" s="30" t="n"/>
      <c r="I502" s="30" t="n"/>
      <c r="J502" s="119" t="n"/>
      <c r="K502" s="34" t="n"/>
      <c r="L502" s="119" t="n"/>
      <c r="M502" s="34" t="n"/>
      <c r="N502" s="119" t="n"/>
      <c r="O502" s="34" t="n"/>
      <c r="P502" s="34" t="n"/>
      <c r="Q502" s="117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  <c r="AA502" s="34" t="n"/>
      <c r="AB502" s="34" t="n"/>
      <c r="AC502" s="34" t="n"/>
      <c r="AD502" s="34" t="n"/>
      <c r="AE502" s="34" t="n"/>
      <c r="AF502" s="34" t="n"/>
      <c r="AG502" s="34" t="n"/>
      <c r="AH502" s="34" t="n"/>
      <c r="AK502" s="34" t="n"/>
      <c r="AL502" s="34" t="n"/>
      <c r="AM502" s="39" t="n"/>
      <c r="AN502" s="34" t="n"/>
      <c r="AO502" s="34" t="n"/>
      <c r="AP502" s="34" t="n"/>
      <c r="AQ502" s="34" t="n"/>
      <c r="AR502" s="34" t="n"/>
      <c r="AS502" s="34" t="n"/>
      <c r="AU502" s="34" t="n"/>
      <c r="AV502" s="34" t="n"/>
      <c r="AW502" s="34" t="n"/>
      <c r="AX502" s="34" t="n"/>
      <c r="AY502" s="34" t="n"/>
      <c r="AZ502" s="34" t="n"/>
      <c r="BA502" s="34" t="n"/>
      <c r="BB502" s="34" t="n"/>
      <c r="BC502" s="34" t="n"/>
      <c r="BD502" s="34" t="n"/>
      <c r="BE502" s="34" t="n"/>
      <c r="BF502" s="34" t="n"/>
      <c r="BG502" s="34" t="n"/>
      <c r="BH502" s="34" t="n"/>
      <c r="BI502" s="34" t="n"/>
      <c r="BJ502" s="34" t="n"/>
      <c r="BK502" s="34" t="n"/>
      <c r="BL502" s="34" t="n"/>
      <c r="BM502" s="34" t="n"/>
      <c r="BN502" s="34" t="n"/>
      <c r="BO502" s="34" t="n"/>
      <c r="BP502" s="34" t="n"/>
      <c r="BQ502" s="34" t="n"/>
      <c r="BR502" s="82" t="n"/>
      <c r="BS502" s="34" t="n"/>
      <c r="BT502" s="34" t="n"/>
      <c r="BU502" s="34" t="n"/>
      <c r="BV502" s="34" t="n"/>
      <c r="BW502" s="34" t="n"/>
      <c r="BX502" s="34" t="n"/>
      <c r="BY502" s="34" t="n"/>
      <c r="BZ502" s="34" t="n"/>
      <c r="CA502" s="34" t="n"/>
      <c r="CB502" s="33" t="n"/>
      <c r="CC502" s="34" t="n"/>
      <c r="CD502" s="34" t="n"/>
      <c r="CE502" s="82" t="n"/>
      <c r="CF502" s="34" t="n"/>
      <c r="CG502" s="34" t="n"/>
      <c r="CH502" s="34" t="n"/>
      <c r="CI502" s="34" t="n"/>
      <c r="CJ502" s="34" t="n"/>
    </row>
    <row r="503">
      <c r="A503" s="29" t="n"/>
      <c r="B503" s="29" t="n"/>
      <c r="C503" s="35" t="n"/>
      <c r="D503" s="36" t="n"/>
      <c r="E503" s="147" t="n"/>
      <c r="F503" s="30" t="n"/>
      <c r="G503" s="30" t="n"/>
      <c r="H503" s="30" t="n"/>
      <c r="I503" s="30" t="n"/>
      <c r="J503" s="119" t="n"/>
      <c r="K503" s="34" t="n"/>
      <c r="L503" s="119" t="n"/>
      <c r="M503" s="34" t="n"/>
      <c r="N503" s="119" t="n"/>
      <c r="O503" s="34" t="n"/>
      <c r="P503" s="34" t="n"/>
      <c r="Q503" s="117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  <c r="AA503" s="34" t="n"/>
      <c r="AB503" s="34" t="n"/>
      <c r="AC503" s="34" t="n"/>
      <c r="AD503" s="34" t="n"/>
      <c r="AE503" s="34" t="n"/>
      <c r="AF503" s="34" t="n"/>
      <c r="AG503" s="34" t="n"/>
      <c r="AH503" s="34" t="n"/>
      <c r="AK503" s="34" t="n"/>
      <c r="AL503" s="34" t="n"/>
      <c r="AM503" s="39" t="n"/>
      <c r="AN503" s="34" t="n"/>
      <c r="AO503" s="34" t="n"/>
      <c r="AP503" s="34" t="n"/>
      <c r="AQ503" s="34" t="n"/>
      <c r="AR503" s="34" t="n"/>
      <c r="AS503" s="34" t="n"/>
      <c r="AU503" s="34" t="n"/>
      <c r="AV503" s="34" t="n"/>
      <c r="AW503" s="34" t="n"/>
      <c r="AX503" s="34" t="n"/>
      <c r="AY503" s="34" t="n"/>
      <c r="AZ503" s="34" t="n"/>
      <c r="BA503" s="34" t="n"/>
      <c r="BB503" s="34" t="n"/>
      <c r="BC503" s="34" t="n"/>
      <c r="BD503" s="34" t="n"/>
      <c r="BE503" s="34" t="n"/>
      <c r="BF503" s="34" t="n"/>
      <c r="BG503" s="34" t="n"/>
      <c r="BH503" s="34" t="n"/>
      <c r="BI503" s="34" t="n"/>
      <c r="BJ503" s="34" t="n"/>
      <c r="BK503" s="34" t="n"/>
      <c r="BL503" s="34" t="n"/>
      <c r="BM503" s="34" t="n"/>
      <c r="BN503" s="34" t="n"/>
      <c r="BO503" s="34" t="n"/>
      <c r="BP503" s="34" t="n"/>
      <c r="BQ503" s="34" t="n"/>
      <c r="BR503" s="82" t="n"/>
      <c r="BS503" s="34" t="n"/>
      <c r="BT503" s="34" t="n"/>
      <c r="BU503" s="34" t="n"/>
      <c r="BV503" s="34" t="n"/>
      <c r="BW503" s="34" t="n"/>
      <c r="BX503" s="34" t="n"/>
      <c r="BY503" s="34" t="n"/>
      <c r="BZ503" s="34" t="n"/>
      <c r="CA503" s="34" t="n"/>
      <c r="CB503" s="33" t="n"/>
      <c r="CC503" s="34" t="n"/>
      <c r="CD503" s="34" t="n"/>
      <c r="CE503" s="82" t="n"/>
      <c r="CF503" s="34" t="n"/>
      <c r="CG503" s="34" t="n"/>
      <c r="CH503" s="34" t="n"/>
      <c r="CI503" s="34" t="n"/>
      <c r="CJ503" s="34" t="n"/>
    </row>
    <row r="504">
      <c r="A504" s="29" t="n"/>
      <c r="B504" s="29" t="n"/>
      <c r="C504" s="35" t="n"/>
      <c r="D504" s="36" t="n"/>
      <c r="E504" s="147" t="n"/>
      <c r="F504" s="30" t="n"/>
      <c r="G504" s="30" t="n"/>
      <c r="H504" s="30" t="n"/>
      <c r="I504" s="30" t="n"/>
      <c r="J504" s="119" t="n"/>
      <c r="K504" s="34" t="n"/>
      <c r="L504" s="119" t="n"/>
      <c r="M504" s="34" t="n"/>
      <c r="N504" s="119" t="n"/>
      <c r="O504" s="34" t="n"/>
      <c r="P504" s="34" t="n"/>
      <c r="Q504" s="117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  <c r="AA504" s="34" t="n"/>
      <c r="AB504" s="34" t="n"/>
      <c r="AC504" s="34" t="n"/>
      <c r="AD504" s="34" t="n"/>
      <c r="AE504" s="34" t="n"/>
      <c r="AF504" s="34" t="n"/>
      <c r="AG504" s="34" t="n"/>
      <c r="AH504" s="34" t="n"/>
      <c r="AK504" s="34" t="n"/>
      <c r="AL504" s="34" t="n"/>
      <c r="AM504" s="39" t="n"/>
      <c r="AN504" s="34" t="n"/>
      <c r="AO504" s="34" t="n"/>
      <c r="AP504" s="34" t="n"/>
      <c r="AQ504" s="34" t="n"/>
      <c r="AR504" s="34" t="n"/>
      <c r="AS504" s="34" t="n"/>
      <c r="AU504" s="34" t="n"/>
      <c r="AV504" s="34" t="n"/>
      <c r="AW504" s="34" t="n"/>
      <c r="AX504" s="34" t="n"/>
      <c r="AY504" s="34" t="n"/>
      <c r="AZ504" s="34" t="n"/>
      <c r="BA504" s="34" t="n"/>
      <c r="BB504" s="34" t="n"/>
      <c r="BC504" s="34" t="n"/>
      <c r="BD504" s="34" t="n"/>
      <c r="BE504" s="34" t="n"/>
      <c r="BF504" s="34" t="n"/>
      <c r="BG504" s="34" t="n"/>
      <c r="BH504" s="34" t="n"/>
      <c r="BI504" s="34" t="n"/>
      <c r="BJ504" s="34" t="n"/>
      <c r="BK504" s="34" t="n"/>
      <c r="BL504" s="34" t="n"/>
      <c r="BM504" s="34" t="n"/>
      <c r="BN504" s="34" t="n"/>
      <c r="BO504" s="34" t="n"/>
      <c r="BP504" s="34" t="n"/>
      <c r="BQ504" s="34" t="n"/>
      <c r="BR504" s="82" t="n"/>
      <c r="BS504" s="34" t="n"/>
      <c r="BT504" s="34" t="n"/>
      <c r="BU504" s="34" t="n"/>
      <c r="BV504" s="34" t="n"/>
      <c r="BW504" s="34" t="n"/>
      <c r="BX504" s="34" t="n"/>
      <c r="BY504" s="34" t="n"/>
      <c r="BZ504" s="34" t="n"/>
      <c r="CA504" s="34" t="n"/>
      <c r="CB504" s="33" t="n"/>
      <c r="CC504" s="34" t="n"/>
      <c r="CD504" s="34" t="n"/>
      <c r="CE504" s="82" t="n"/>
      <c r="CF504" s="34" t="n"/>
      <c r="CG504" s="34" t="n"/>
      <c r="CH504" s="34" t="n"/>
      <c r="CI504" s="34" t="n"/>
      <c r="CJ504" s="34" t="n"/>
    </row>
    <row r="505">
      <c r="A505" s="29" t="n"/>
      <c r="B505" s="29" t="n"/>
      <c r="C505" s="35" t="n"/>
      <c r="D505" s="36" t="n"/>
      <c r="E505" s="147" t="n"/>
      <c r="F505" s="30" t="n"/>
      <c r="G505" s="30" t="n"/>
      <c r="H505" s="30" t="n"/>
      <c r="I505" s="30" t="n"/>
      <c r="J505" s="119" t="n"/>
      <c r="K505" s="34" t="n"/>
      <c r="L505" s="119" t="n"/>
      <c r="M505" s="34" t="n"/>
      <c r="N505" s="119" t="n"/>
      <c r="O505" s="34" t="n"/>
      <c r="P505" s="34" t="n"/>
      <c r="Q505" s="117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  <c r="AA505" s="34" t="n"/>
      <c r="AB505" s="34" t="n"/>
      <c r="AC505" s="34" t="n"/>
      <c r="AD505" s="34" t="n"/>
      <c r="AE505" s="34" t="n"/>
      <c r="AF505" s="34" t="n"/>
      <c r="AG505" s="34" t="n"/>
      <c r="AH505" s="34" t="n"/>
      <c r="AK505" s="34" t="n"/>
      <c r="AL505" s="34" t="n"/>
      <c r="AM505" s="39" t="n"/>
      <c r="AN505" s="34" t="n"/>
      <c r="AO505" s="34" t="n"/>
      <c r="AP505" s="34" t="n"/>
      <c r="AQ505" s="34" t="n"/>
      <c r="AR505" s="34" t="n"/>
      <c r="AS505" s="34" t="n"/>
      <c r="AU505" s="34" t="n"/>
      <c r="AV505" s="34" t="n"/>
      <c r="AW505" s="34" t="n"/>
      <c r="AX505" s="34" t="n"/>
      <c r="AY505" s="34" t="n"/>
      <c r="AZ505" s="34" t="n"/>
      <c r="BA505" s="34" t="n"/>
      <c r="BB505" s="34" t="n"/>
      <c r="BC505" s="34" t="n"/>
      <c r="BD505" s="34" t="n"/>
      <c r="BE505" s="34" t="n"/>
      <c r="BF505" s="34" t="n"/>
      <c r="BG505" s="34" t="n"/>
      <c r="BH505" s="34" t="n"/>
      <c r="BI505" s="34" t="n"/>
      <c r="BJ505" s="34" t="n"/>
      <c r="BK505" s="34" t="n"/>
      <c r="BL505" s="34" t="n"/>
      <c r="BM505" s="34" t="n"/>
      <c r="BN505" s="34" t="n"/>
      <c r="BO505" s="34" t="n"/>
      <c r="BP505" s="34" t="n"/>
      <c r="BQ505" s="34" t="n"/>
      <c r="BR505" s="82" t="n"/>
      <c r="BS505" s="34" t="n"/>
      <c r="BT505" s="34" t="n"/>
      <c r="BU505" s="34" t="n"/>
      <c r="BV505" s="34" t="n"/>
      <c r="BW505" s="34" t="n"/>
      <c r="BX505" s="34" t="n"/>
      <c r="BY505" s="34" t="n"/>
      <c r="BZ505" s="34" t="n"/>
      <c r="CA505" s="34" t="n"/>
      <c r="CB505" s="33" t="n"/>
      <c r="CC505" s="34" t="n"/>
      <c r="CD505" s="34" t="n"/>
      <c r="CE505" s="82" t="n"/>
      <c r="CF505" s="34" t="n"/>
      <c r="CG505" s="34" t="n"/>
      <c r="CH505" s="34" t="n"/>
      <c r="CI505" s="34" t="n"/>
      <c r="CJ505" s="34" t="n"/>
    </row>
    <row r="506">
      <c r="A506" s="29" t="n"/>
      <c r="B506" s="29" t="n"/>
      <c r="C506" s="35" t="n"/>
      <c r="D506" s="36" t="n"/>
      <c r="E506" s="147" t="n"/>
      <c r="F506" s="30" t="n"/>
      <c r="G506" s="30" t="n"/>
      <c r="H506" s="30" t="n"/>
      <c r="I506" s="30" t="n"/>
      <c r="J506" s="119" t="n"/>
      <c r="K506" s="34" t="n"/>
      <c r="L506" s="119" t="n"/>
      <c r="M506" s="34" t="n"/>
      <c r="N506" s="119" t="n"/>
      <c r="O506" s="34" t="n"/>
      <c r="P506" s="34" t="n"/>
      <c r="Q506" s="117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  <c r="AA506" s="34" t="n"/>
      <c r="AB506" s="34" t="n"/>
      <c r="AC506" s="34" t="n"/>
      <c r="AD506" s="34" t="n"/>
      <c r="AE506" s="34" t="n"/>
      <c r="AF506" s="34" t="n"/>
      <c r="AG506" s="34" t="n"/>
      <c r="AH506" s="34" t="n"/>
      <c r="AK506" s="34" t="n"/>
      <c r="AL506" s="34" t="n"/>
      <c r="AM506" s="39" t="n"/>
      <c r="AN506" s="34" t="n"/>
      <c r="AO506" s="34" t="n"/>
      <c r="AP506" s="34" t="n"/>
      <c r="AQ506" s="34" t="n"/>
      <c r="AR506" s="34" t="n"/>
      <c r="AS506" s="34" t="n"/>
      <c r="AU506" s="34" t="n"/>
      <c r="AV506" s="34" t="n"/>
      <c r="AW506" s="34" t="n"/>
      <c r="AX506" s="34" t="n"/>
      <c r="AY506" s="34" t="n"/>
      <c r="AZ506" s="34" t="n"/>
      <c r="BA506" s="34" t="n"/>
      <c r="BB506" s="34" t="n"/>
      <c r="BC506" s="34" t="n"/>
      <c r="BD506" s="34" t="n"/>
      <c r="BE506" s="34" t="n"/>
      <c r="BF506" s="34" t="n"/>
      <c r="BG506" s="34" t="n"/>
      <c r="BH506" s="34" t="n"/>
      <c r="BI506" s="34" t="n"/>
      <c r="BJ506" s="34" t="n"/>
      <c r="BK506" s="34" t="n"/>
      <c r="BL506" s="34" t="n"/>
      <c r="BM506" s="34" t="n"/>
      <c r="BN506" s="34" t="n"/>
      <c r="BO506" s="34" t="n"/>
      <c r="BP506" s="34" t="n"/>
      <c r="BQ506" s="34" t="n"/>
      <c r="BR506" s="82" t="n"/>
      <c r="BS506" s="34" t="n"/>
      <c r="BT506" s="34" t="n"/>
      <c r="BU506" s="34" t="n"/>
      <c r="BV506" s="34" t="n"/>
      <c r="BW506" s="34" t="n"/>
      <c r="BX506" s="34" t="n"/>
      <c r="BY506" s="34" t="n"/>
      <c r="BZ506" s="34" t="n"/>
      <c r="CA506" s="34" t="n"/>
      <c r="CB506" s="33" t="n"/>
      <c r="CC506" s="34" t="n"/>
      <c r="CD506" s="34" t="n"/>
      <c r="CE506" s="82" t="n"/>
      <c r="CF506" s="34" t="n"/>
      <c r="CG506" s="34" t="n"/>
      <c r="CH506" s="34" t="n"/>
      <c r="CI506" s="34" t="n"/>
      <c r="CJ506" s="34" t="n"/>
    </row>
    <row r="507">
      <c r="A507" s="29" t="n"/>
      <c r="B507" s="29" t="n"/>
      <c r="C507" s="35" t="n"/>
      <c r="D507" s="36" t="n"/>
      <c r="E507" s="147" t="n"/>
      <c r="F507" s="30" t="n"/>
      <c r="G507" s="30" t="n"/>
      <c r="H507" s="30" t="n"/>
      <c r="I507" s="30" t="n"/>
      <c r="J507" s="119" t="n"/>
      <c r="K507" s="34" t="n"/>
      <c r="L507" s="119" t="n"/>
      <c r="M507" s="34" t="n"/>
      <c r="N507" s="119" t="n"/>
      <c r="O507" s="34" t="n"/>
      <c r="P507" s="34" t="n"/>
      <c r="Q507" s="117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  <c r="AA507" s="34" t="n"/>
      <c r="AB507" s="34" t="n"/>
      <c r="AC507" s="34" t="n"/>
      <c r="AD507" s="34" t="n"/>
      <c r="AE507" s="34" t="n"/>
      <c r="AF507" s="34" t="n"/>
      <c r="AG507" s="34" t="n"/>
      <c r="AH507" s="34" t="n"/>
      <c r="AK507" s="34" t="n"/>
      <c r="AL507" s="34" t="n"/>
      <c r="AM507" s="39" t="n"/>
      <c r="AN507" s="34" t="n"/>
      <c r="AO507" s="34" t="n"/>
      <c r="AP507" s="34" t="n"/>
      <c r="AQ507" s="34" t="n"/>
      <c r="AR507" s="34" t="n"/>
      <c r="AS507" s="34" t="n"/>
      <c r="AU507" s="34" t="n"/>
      <c r="AV507" s="34" t="n"/>
      <c r="AW507" s="34" t="n"/>
      <c r="AX507" s="34" t="n"/>
      <c r="AY507" s="34" t="n"/>
      <c r="AZ507" s="34" t="n"/>
      <c r="BA507" s="34" t="n"/>
      <c r="BB507" s="34" t="n"/>
      <c r="BC507" s="34" t="n"/>
      <c r="BD507" s="34" t="n"/>
      <c r="BE507" s="34" t="n"/>
      <c r="BF507" s="34" t="n"/>
      <c r="BG507" s="34" t="n"/>
      <c r="BH507" s="34" t="n"/>
      <c r="BI507" s="34" t="n"/>
      <c r="BJ507" s="34" t="n"/>
      <c r="BK507" s="34" t="n"/>
      <c r="BL507" s="34" t="n"/>
      <c r="BM507" s="34" t="n"/>
      <c r="BN507" s="34" t="n"/>
      <c r="BO507" s="34" t="n"/>
      <c r="BP507" s="34" t="n"/>
      <c r="BQ507" s="34" t="n"/>
      <c r="BR507" s="82" t="n"/>
      <c r="BS507" s="34" t="n"/>
      <c r="BT507" s="34" t="n"/>
      <c r="BU507" s="34" t="n"/>
      <c r="BV507" s="34" t="n"/>
      <c r="BW507" s="34" t="n"/>
      <c r="BX507" s="34" t="n"/>
      <c r="BY507" s="34" t="n"/>
      <c r="BZ507" s="34" t="n"/>
      <c r="CA507" s="34" t="n"/>
      <c r="CB507" s="33" t="n"/>
      <c r="CC507" s="34" t="n"/>
      <c r="CD507" s="34" t="n"/>
      <c r="CE507" s="82" t="n"/>
      <c r="CF507" s="34" t="n"/>
      <c r="CG507" s="34" t="n"/>
      <c r="CH507" s="34" t="n"/>
      <c r="CI507" s="34" t="n"/>
      <c r="CJ507" s="34" t="n"/>
    </row>
    <row r="508">
      <c r="A508" s="29" t="n"/>
      <c r="B508" s="29" t="n"/>
      <c r="C508" s="35" t="n"/>
      <c r="D508" s="36" t="n"/>
      <c r="E508" s="147" t="n"/>
      <c r="F508" s="30" t="n"/>
      <c r="G508" s="30" t="n"/>
      <c r="H508" s="30" t="n"/>
      <c r="I508" s="30" t="n"/>
      <c r="J508" s="119" t="n"/>
      <c r="K508" s="34" t="n"/>
      <c r="L508" s="119" t="n"/>
      <c r="M508" s="34" t="n"/>
      <c r="N508" s="119" t="n"/>
      <c r="O508" s="34" t="n"/>
      <c r="P508" s="34" t="n"/>
      <c r="Q508" s="117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  <c r="AA508" s="34" t="n"/>
      <c r="AB508" s="34" t="n"/>
      <c r="AC508" s="34" t="n"/>
      <c r="AD508" s="34" t="n"/>
      <c r="AE508" s="34" t="n"/>
      <c r="AF508" s="34" t="n"/>
      <c r="AG508" s="34" t="n"/>
      <c r="AH508" s="34" t="n"/>
      <c r="AK508" s="34" t="n"/>
      <c r="AL508" s="34" t="n"/>
      <c r="AM508" s="39" t="n"/>
      <c r="AN508" s="34" t="n"/>
      <c r="AO508" s="34" t="n"/>
      <c r="AP508" s="34" t="n"/>
      <c r="AQ508" s="34" t="n"/>
      <c r="AR508" s="34" t="n"/>
      <c r="AS508" s="34" t="n"/>
      <c r="AU508" s="34" t="n"/>
      <c r="AV508" s="34" t="n"/>
      <c r="AW508" s="34" t="n"/>
      <c r="AX508" s="34" t="n"/>
      <c r="AY508" s="34" t="n"/>
      <c r="AZ508" s="34" t="n"/>
      <c r="BA508" s="34" t="n"/>
      <c r="BB508" s="34" t="n"/>
      <c r="BC508" s="34" t="n"/>
      <c r="BD508" s="34" t="n"/>
      <c r="BE508" s="34" t="n"/>
      <c r="BF508" s="34" t="n"/>
      <c r="BG508" s="34" t="n"/>
      <c r="BH508" s="34" t="n"/>
      <c r="BI508" s="34" t="n"/>
      <c r="BJ508" s="34" t="n"/>
      <c r="BK508" s="34" t="n"/>
      <c r="BL508" s="34" t="n"/>
      <c r="BM508" s="34" t="n"/>
      <c r="BN508" s="34" t="n"/>
      <c r="BO508" s="34" t="n"/>
      <c r="BP508" s="34" t="n"/>
      <c r="BQ508" s="34" t="n"/>
      <c r="BR508" s="82" t="n"/>
      <c r="BS508" s="34" t="n"/>
      <c r="BT508" s="34" t="n"/>
      <c r="BU508" s="34" t="n"/>
      <c r="BV508" s="34" t="n"/>
      <c r="BW508" s="34" t="n"/>
      <c r="BX508" s="34" t="n"/>
      <c r="BY508" s="34" t="n"/>
      <c r="BZ508" s="34" t="n"/>
      <c r="CA508" s="34" t="n"/>
      <c r="CB508" s="33" t="n"/>
      <c r="CC508" s="34" t="n"/>
      <c r="CD508" s="34" t="n"/>
      <c r="CE508" s="82" t="n"/>
      <c r="CF508" s="34" t="n"/>
      <c r="CG508" s="34" t="n"/>
      <c r="CH508" s="34" t="n"/>
      <c r="CI508" s="34" t="n"/>
      <c r="CJ508" s="34" t="n"/>
    </row>
    <row r="509">
      <c r="A509" s="29" t="n"/>
      <c r="B509" s="29" t="n"/>
      <c r="C509" s="35" t="n"/>
      <c r="D509" s="36" t="n"/>
      <c r="E509" s="147" t="n"/>
      <c r="F509" s="30" t="n"/>
      <c r="G509" s="30" t="n"/>
      <c r="H509" s="30" t="n"/>
      <c r="I509" s="30" t="n"/>
      <c r="J509" s="119" t="n"/>
      <c r="K509" s="34" t="n"/>
      <c r="L509" s="119" t="n"/>
      <c r="M509" s="34" t="n"/>
      <c r="N509" s="119" t="n"/>
      <c r="O509" s="34" t="n"/>
      <c r="P509" s="34" t="n"/>
      <c r="Q509" s="117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  <c r="AA509" s="34" t="n"/>
      <c r="AB509" s="34" t="n"/>
      <c r="AC509" s="34" t="n"/>
      <c r="AD509" s="34" t="n"/>
      <c r="AE509" s="34" t="n"/>
      <c r="AF509" s="34" t="n"/>
      <c r="AG509" s="34" t="n"/>
      <c r="AH509" s="34" t="n"/>
      <c r="AK509" s="34" t="n"/>
      <c r="AL509" s="34" t="n"/>
      <c r="AM509" s="39" t="n"/>
      <c r="AN509" s="34" t="n"/>
      <c r="AO509" s="34" t="n"/>
      <c r="AP509" s="34" t="n"/>
      <c r="AQ509" s="34" t="n"/>
      <c r="AR509" s="34" t="n"/>
      <c r="AS509" s="34" t="n"/>
      <c r="AU509" s="34" t="n"/>
      <c r="AV509" s="34" t="n"/>
      <c r="AW509" s="34" t="n"/>
      <c r="AX509" s="34" t="n"/>
      <c r="AY509" s="34" t="n"/>
      <c r="AZ509" s="34" t="n"/>
      <c r="BA509" s="34" t="n"/>
      <c r="BB509" s="34" t="n"/>
      <c r="BC509" s="34" t="n"/>
      <c r="BD509" s="34" t="n"/>
      <c r="BE509" s="34" t="n"/>
      <c r="BF509" s="34" t="n"/>
      <c r="BG509" s="34" t="n"/>
      <c r="BH509" s="34" t="n"/>
      <c r="BI509" s="34" t="n"/>
      <c r="BJ509" s="34" t="n"/>
      <c r="BK509" s="34" t="n"/>
      <c r="BL509" s="34" t="n"/>
      <c r="BM509" s="34" t="n"/>
      <c r="BN509" s="34" t="n"/>
      <c r="BO509" s="34" t="n"/>
      <c r="BP509" s="34" t="n"/>
      <c r="BQ509" s="34" t="n"/>
      <c r="BR509" s="82" t="n"/>
      <c r="BS509" s="34" t="n"/>
      <c r="BT509" s="34" t="n"/>
      <c r="BU509" s="34" t="n"/>
      <c r="BV509" s="34" t="n"/>
      <c r="BW509" s="34" t="n"/>
      <c r="BX509" s="34" t="n"/>
      <c r="BY509" s="34" t="n"/>
      <c r="BZ509" s="34" t="n"/>
      <c r="CA509" s="34" t="n"/>
      <c r="CB509" s="33" t="n"/>
      <c r="CC509" s="34" t="n"/>
      <c r="CD509" s="34" t="n"/>
      <c r="CE509" s="82" t="n"/>
      <c r="CF509" s="34" t="n"/>
      <c r="CG509" s="34" t="n"/>
      <c r="CH509" s="34" t="n"/>
      <c r="CI509" s="34" t="n"/>
      <c r="CJ509" s="34" t="n"/>
    </row>
    <row r="510">
      <c r="A510" s="29" t="n"/>
      <c r="B510" s="29" t="n"/>
      <c r="C510" s="35" t="n"/>
      <c r="D510" s="36" t="n"/>
      <c r="E510" s="147" t="n"/>
      <c r="F510" s="30" t="n"/>
      <c r="G510" s="30" t="n"/>
      <c r="H510" s="30" t="n"/>
      <c r="I510" s="30" t="n"/>
      <c r="J510" s="119" t="n"/>
      <c r="K510" s="34" t="n"/>
      <c r="L510" s="119" t="n"/>
      <c r="M510" s="34" t="n"/>
      <c r="N510" s="119" t="n"/>
      <c r="O510" s="34" t="n"/>
      <c r="P510" s="34" t="n"/>
      <c r="Q510" s="117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  <c r="AA510" s="34" t="n"/>
      <c r="AB510" s="34" t="n"/>
      <c r="AC510" s="34" t="n"/>
      <c r="AD510" s="34" t="n"/>
      <c r="AE510" s="34" t="n"/>
      <c r="AF510" s="34" t="n"/>
      <c r="AG510" s="34" t="n"/>
      <c r="AH510" s="34" t="n"/>
      <c r="AK510" s="34" t="n"/>
      <c r="AL510" s="34" t="n"/>
      <c r="AM510" s="39" t="n"/>
      <c r="AN510" s="34" t="n"/>
      <c r="AO510" s="34" t="n"/>
      <c r="AP510" s="34" t="n"/>
      <c r="AQ510" s="34" t="n"/>
      <c r="AR510" s="34" t="n"/>
      <c r="AS510" s="34" t="n"/>
      <c r="AU510" s="34" t="n"/>
      <c r="AV510" s="34" t="n"/>
      <c r="AW510" s="34" t="n"/>
      <c r="AX510" s="34" t="n"/>
      <c r="AY510" s="34" t="n"/>
      <c r="AZ510" s="34" t="n"/>
      <c r="BA510" s="34" t="n"/>
      <c r="BB510" s="34" t="n"/>
      <c r="BC510" s="34" t="n"/>
      <c r="BD510" s="34" t="n"/>
      <c r="BE510" s="34" t="n"/>
      <c r="BF510" s="34" t="n"/>
      <c r="BG510" s="34" t="n"/>
      <c r="BH510" s="34" t="n"/>
      <c r="BI510" s="34" t="n"/>
      <c r="BJ510" s="34" t="n"/>
      <c r="BK510" s="34" t="n"/>
      <c r="BL510" s="34" t="n"/>
      <c r="BM510" s="34" t="n"/>
      <c r="BN510" s="34" t="n"/>
      <c r="BO510" s="34" t="n"/>
      <c r="BP510" s="34" t="n"/>
      <c r="BQ510" s="34" t="n"/>
      <c r="BR510" s="82" t="n"/>
      <c r="BS510" s="34" t="n"/>
      <c r="BT510" s="34" t="n"/>
      <c r="BU510" s="34" t="n"/>
      <c r="BV510" s="34" t="n"/>
      <c r="BW510" s="34" t="n"/>
      <c r="BX510" s="34" t="n"/>
      <c r="BY510" s="34" t="n"/>
      <c r="BZ510" s="34" t="n"/>
      <c r="CA510" s="34" t="n"/>
      <c r="CB510" s="33" t="n"/>
      <c r="CC510" s="34" t="n"/>
      <c r="CD510" s="34" t="n"/>
      <c r="CE510" s="82" t="n"/>
      <c r="CF510" s="34" t="n"/>
      <c r="CG510" s="34" t="n"/>
      <c r="CH510" s="34" t="n"/>
      <c r="CI510" s="34" t="n"/>
      <c r="CJ510" s="34" t="n"/>
    </row>
    <row r="511">
      <c r="A511" s="29" t="n"/>
      <c r="B511" s="29" t="n"/>
      <c r="C511" s="35" t="n"/>
      <c r="D511" s="36" t="n"/>
      <c r="E511" s="147" t="n"/>
      <c r="F511" s="30" t="n"/>
      <c r="G511" s="30" t="n"/>
      <c r="H511" s="30" t="n"/>
      <c r="I511" s="30" t="n"/>
      <c r="J511" s="119" t="n"/>
      <c r="K511" s="34" t="n"/>
      <c r="L511" s="119" t="n"/>
      <c r="M511" s="34" t="n"/>
      <c r="N511" s="119" t="n"/>
      <c r="O511" s="34" t="n"/>
      <c r="P511" s="34" t="n"/>
      <c r="Q511" s="117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  <c r="AA511" s="34" t="n"/>
      <c r="AB511" s="34" t="n"/>
      <c r="AC511" s="34" t="n"/>
      <c r="AD511" s="34" t="n"/>
      <c r="AE511" s="34" t="n"/>
      <c r="AF511" s="34" t="n"/>
      <c r="AG511" s="34" t="n"/>
      <c r="AH511" s="34" t="n"/>
      <c r="AK511" s="34" t="n"/>
      <c r="AL511" s="34" t="n"/>
      <c r="AM511" s="39" t="n"/>
      <c r="AN511" s="34" t="n"/>
      <c r="AO511" s="34" t="n"/>
      <c r="AP511" s="34" t="n"/>
      <c r="AQ511" s="34" t="n"/>
      <c r="AR511" s="34" t="n"/>
      <c r="AS511" s="34" t="n"/>
      <c r="AU511" s="34" t="n"/>
      <c r="AV511" s="34" t="n"/>
      <c r="AW511" s="34" t="n"/>
      <c r="AX511" s="34" t="n"/>
      <c r="AY511" s="34" t="n"/>
      <c r="AZ511" s="34" t="n"/>
      <c r="BA511" s="34" t="n"/>
      <c r="BB511" s="34" t="n"/>
      <c r="BC511" s="34" t="n"/>
      <c r="BD511" s="34" t="n"/>
      <c r="BE511" s="34" t="n"/>
      <c r="BF511" s="34" t="n"/>
      <c r="BG511" s="34" t="n"/>
      <c r="BH511" s="34" t="n"/>
      <c r="BI511" s="34" t="n"/>
      <c r="BJ511" s="34" t="n"/>
      <c r="BK511" s="34" t="n"/>
      <c r="BL511" s="34" t="n"/>
      <c r="BM511" s="34" t="n"/>
      <c r="BN511" s="34" t="n"/>
      <c r="BO511" s="34" t="n"/>
      <c r="BP511" s="34" t="n"/>
      <c r="BQ511" s="34" t="n"/>
      <c r="BR511" s="82" t="n"/>
      <c r="BS511" s="34" t="n"/>
      <c r="BT511" s="34" t="n"/>
      <c r="BU511" s="34" t="n"/>
      <c r="BV511" s="34" t="n"/>
      <c r="BW511" s="34" t="n"/>
      <c r="BX511" s="34" t="n"/>
      <c r="BY511" s="34" t="n"/>
      <c r="BZ511" s="34" t="n"/>
      <c r="CA511" s="34" t="n"/>
      <c r="CB511" s="33" t="n"/>
      <c r="CC511" s="34" t="n"/>
      <c r="CD511" s="34" t="n"/>
      <c r="CE511" s="82" t="n"/>
      <c r="CF511" s="34" t="n"/>
      <c r="CG511" s="34" t="n"/>
      <c r="CH511" s="34" t="n"/>
      <c r="CI511" s="34" t="n"/>
      <c r="CJ511" s="34" t="n"/>
    </row>
    <row r="512">
      <c r="A512" s="29" t="n"/>
      <c r="B512" s="29" t="n"/>
      <c r="C512" s="35" t="n"/>
      <c r="D512" s="36" t="n"/>
      <c r="E512" s="147" t="n"/>
      <c r="F512" s="30" t="n"/>
      <c r="G512" s="30" t="n"/>
      <c r="H512" s="30" t="n"/>
      <c r="I512" s="30" t="n"/>
      <c r="J512" s="119" t="n"/>
      <c r="K512" s="34" t="n"/>
      <c r="L512" s="119" t="n"/>
      <c r="M512" s="34" t="n"/>
      <c r="N512" s="119" t="n"/>
      <c r="O512" s="34" t="n"/>
      <c r="P512" s="34" t="n"/>
      <c r="Q512" s="117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  <c r="AA512" s="34" t="n"/>
      <c r="AB512" s="34" t="n"/>
      <c r="AC512" s="34" t="n"/>
      <c r="AD512" s="34" t="n"/>
      <c r="AE512" s="34" t="n"/>
      <c r="AF512" s="34" t="n"/>
      <c r="AG512" s="34" t="n"/>
      <c r="AH512" s="34" t="n"/>
      <c r="AK512" s="34" t="n"/>
      <c r="AL512" s="34" t="n"/>
      <c r="AM512" s="39" t="n"/>
      <c r="AN512" s="34" t="n"/>
      <c r="AO512" s="34" t="n"/>
      <c r="AP512" s="34" t="n"/>
      <c r="AQ512" s="34" t="n"/>
      <c r="AR512" s="34" t="n"/>
      <c r="AS512" s="34" t="n"/>
      <c r="AU512" s="34" t="n"/>
      <c r="AV512" s="34" t="n"/>
      <c r="AW512" s="34" t="n"/>
      <c r="AX512" s="34" t="n"/>
      <c r="AY512" s="34" t="n"/>
      <c r="AZ512" s="34" t="n"/>
      <c r="BA512" s="34" t="n"/>
      <c r="BB512" s="34" t="n"/>
      <c r="BC512" s="34" t="n"/>
      <c r="BD512" s="34" t="n"/>
      <c r="BE512" s="34" t="n"/>
      <c r="BF512" s="34" t="n"/>
      <c r="BG512" s="34" t="n"/>
      <c r="BH512" s="34" t="n"/>
      <c r="BI512" s="34" t="n"/>
      <c r="BJ512" s="34" t="n"/>
      <c r="BK512" s="34" t="n"/>
      <c r="BL512" s="34" t="n"/>
      <c r="BM512" s="34" t="n"/>
      <c r="BN512" s="34" t="n"/>
      <c r="BO512" s="34" t="n"/>
      <c r="BP512" s="34" t="n"/>
      <c r="BQ512" s="34" t="n"/>
      <c r="BR512" s="82" t="n"/>
      <c r="BS512" s="34" t="n"/>
      <c r="BT512" s="34" t="n"/>
      <c r="BU512" s="34" t="n"/>
      <c r="BV512" s="34" t="n"/>
      <c r="BW512" s="34" t="n"/>
      <c r="BX512" s="34" t="n"/>
      <c r="BY512" s="34" t="n"/>
      <c r="BZ512" s="34" t="n"/>
      <c r="CA512" s="34" t="n"/>
      <c r="CB512" s="33" t="n"/>
      <c r="CC512" s="34" t="n"/>
      <c r="CD512" s="34" t="n"/>
      <c r="CE512" s="82" t="n"/>
      <c r="CF512" s="34" t="n"/>
      <c r="CG512" s="34" t="n"/>
      <c r="CH512" s="34" t="n"/>
      <c r="CI512" s="34" t="n"/>
      <c r="CJ512" s="34" t="n"/>
    </row>
    <row r="513">
      <c r="A513" s="29" t="n"/>
      <c r="B513" s="29" t="n"/>
      <c r="C513" s="35" t="n"/>
      <c r="D513" s="36" t="n"/>
      <c r="E513" s="147" t="n"/>
      <c r="F513" s="30" t="n"/>
      <c r="G513" s="30" t="n"/>
      <c r="H513" s="30" t="n"/>
      <c r="I513" s="30" t="n"/>
      <c r="J513" s="119" t="n"/>
      <c r="K513" s="34" t="n"/>
      <c r="L513" s="119" t="n"/>
      <c r="M513" s="34" t="n"/>
      <c r="N513" s="119" t="n"/>
      <c r="O513" s="34" t="n"/>
      <c r="P513" s="34" t="n"/>
      <c r="Q513" s="117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  <c r="AA513" s="34" t="n"/>
      <c r="AB513" s="34" t="n"/>
      <c r="AC513" s="34" t="n"/>
      <c r="AD513" s="34" t="n"/>
      <c r="AE513" s="34" t="n"/>
      <c r="AF513" s="34" t="n"/>
      <c r="AG513" s="34" t="n"/>
      <c r="AH513" s="34" t="n"/>
      <c r="AK513" s="34" t="n"/>
      <c r="AL513" s="34" t="n"/>
      <c r="AM513" s="39" t="n"/>
      <c r="AN513" s="34" t="n"/>
      <c r="AO513" s="34" t="n"/>
      <c r="AP513" s="34" t="n"/>
      <c r="AQ513" s="34" t="n"/>
      <c r="AR513" s="34" t="n"/>
      <c r="AS513" s="34" t="n"/>
      <c r="AU513" s="34" t="n"/>
      <c r="AV513" s="34" t="n"/>
      <c r="AW513" s="34" t="n"/>
      <c r="AX513" s="34" t="n"/>
      <c r="AY513" s="34" t="n"/>
      <c r="AZ513" s="34" t="n"/>
      <c r="BA513" s="34" t="n"/>
      <c r="BB513" s="34" t="n"/>
      <c r="BC513" s="34" t="n"/>
      <c r="BD513" s="34" t="n"/>
      <c r="BE513" s="34" t="n"/>
      <c r="BF513" s="34" t="n"/>
      <c r="BG513" s="34" t="n"/>
      <c r="BH513" s="34" t="n"/>
      <c r="BI513" s="34" t="n"/>
      <c r="BJ513" s="34" t="n"/>
      <c r="BK513" s="34" t="n"/>
      <c r="BL513" s="34" t="n"/>
      <c r="BM513" s="34" t="n"/>
      <c r="BN513" s="34" t="n"/>
      <c r="BO513" s="34" t="n"/>
      <c r="BP513" s="34" t="n"/>
      <c r="BQ513" s="34" t="n"/>
      <c r="BR513" s="82" t="n"/>
      <c r="BS513" s="34" t="n"/>
      <c r="BT513" s="34" t="n"/>
      <c r="BU513" s="34" t="n"/>
      <c r="BV513" s="34" t="n"/>
      <c r="BW513" s="34" t="n"/>
      <c r="BX513" s="34" t="n"/>
      <c r="BY513" s="34" t="n"/>
      <c r="BZ513" s="34" t="n"/>
      <c r="CA513" s="34" t="n"/>
      <c r="CB513" s="33" t="n"/>
      <c r="CC513" s="34" t="n"/>
      <c r="CD513" s="34" t="n"/>
      <c r="CE513" s="82" t="n"/>
      <c r="CF513" s="34" t="n"/>
      <c r="CG513" s="34" t="n"/>
      <c r="CH513" s="34" t="n"/>
      <c r="CI513" s="34" t="n"/>
      <c r="CJ513" s="34" t="n"/>
    </row>
    <row r="514">
      <c r="A514" s="29" t="n"/>
      <c r="B514" s="29" t="n"/>
      <c r="C514" s="35" t="n"/>
      <c r="D514" s="36" t="n"/>
      <c r="E514" s="147" t="n"/>
      <c r="F514" s="30" t="n"/>
      <c r="G514" s="30" t="n"/>
      <c r="H514" s="30" t="n"/>
      <c r="I514" s="30" t="n"/>
      <c r="J514" s="119" t="n"/>
      <c r="K514" s="34" t="n"/>
      <c r="L514" s="119" t="n"/>
      <c r="M514" s="34" t="n"/>
      <c r="N514" s="119" t="n"/>
      <c r="O514" s="34" t="n"/>
      <c r="P514" s="34" t="n"/>
      <c r="Q514" s="117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  <c r="AA514" s="34" t="n"/>
      <c r="AB514" s="34" t="n"/>
      <c r="AC514" s="34" t="n"/>
      <c r="AD514" s="34" t="n"/>
      <c r="AE514" s="34" t="n"/>
      <c r="AF514" s="34" t="n"/>
      <c r="AG514" s="34" t="n"/>
      <c r="AH514" s="34" t="n"/>
      <c r="AK514" s="34" t="n"/>
      <c r="AL514" s="34" t="n"/>
      <c r="AM514" s="39" t="n"/>
      <c r="AN514" s="34" t="n"/>
      <c r="AO514" s="34" t="n"/>
      <c r="AP514" s="34" t="n"/>
      <c r="AQ514" s="34" t="n"/>
      <c r="AR514" s="34" t="n"/>
      <c r="AS514" s="34" t="n"/>
      <c r="AU514" s="34" t="n"/>
      <c r="AV514" s="34" t="n"/>
      <c r="AW514" s="34" t="n"/>
      <c r="AX514" s="34" t="n"/>
      <c r="AY514" s="34" t="n"/>
      <c r="AZ514" s="34" t="n"/>
      <c r="BA514" s="34" t="n"/>
      <c r="BB514" s="34" t="n"/>
      <c r="BC514" s="34" t="n"/>
      <c r="BD514" s="34" t="n"/>
      <c r="BE514" s="34" t="n"/>
      <c r="BF514" s="34" t="n"/>
      <c r="BG514" s="34" t="n"/>
      <c r="BH514" s="34" t="n"/>
      <c r="BI514" s="34" t="n"/>
      <c r="BJ514" s="34" t="n"/>
      <c r="BK514" s="34" t="n"/>
      <c r="BL514" s="34" t="n"/>
      <c r="BM514" s="34" t="n"/>
      <c r="BN514" s="34" t="n"/>
      <c r="BO514" s="34" t="n"/>
      <c r="BP514" s="34" t="n"/>
      <c r="BQ514" s="34" t="n"/>
      <c r="BR514" s="82" t="n"/>
      <c r="BS514" s="34" t="n"/>
      <c r="BT514" s="34" t="n"/>
      <c r="BU514" s="34" t="n"/>
      <c r="BV514" s="34" t="n"/>
      <c r="BW514" s="34" t="n"/>
      <c r="BX514" s="34" t="n"/>
      <c r="BY514" s="34" t="n"/>
      <c r="BZ514" s="34" t="n"/>
      <c r="CA514" s="34" t="n"/>
      <c r="CB514" s="33" t="n"/>
      <c r="CC514" s="34" t="n"/>
      <c r="CD514" s="34" t="n"/>
      <c r="CE514" s="82" t="n"/>
      <c r="CF514" s="34" t="n"/>
      <c r="CG514" s="34" t="n"/>
      <c r="CH514" s="34" t="n"/>
      <c r="CI514" s="34" t="n"/>
      <c r="CJ514" s="34" t="n"/>
    </row>
    <row r="515">
      <c r="A515" s="29" t="n"/>
      <c r="B515" s="29" t="n"/>
      <c r="C515" s="35" t="n"/>
      <c r="D515" s="36" t="n"/>
      <c r="E515" s="147" t="n"/>
      <c r="F515" s="30" t="n"/>
      <c r="G515" s="30" t="n"/>
      <c r="H515" s="30" t="n"/>
      <c r="I515" s="30" t="n"/>
      <c r="J515" s="119" t="n"/>
      <c r="K515" s="34" t="n"/>
      <c r="L515" s="119" t="n"/>
      <c r="M515" s="34" t="n"/>
      <c r="N515" s="119" t="n"/>
      <c r="O515" s="34" t="n"/>
      <c r="P515" s="34" t="n"/>
      <c r="Q515" s="117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  <c r="AA515" s="34" t="n"/>
      <c r="AB515" s="34" t="n"/>
      <c r="AC515" s="34" t="n"/>
      <c r="AD515" s="34" t="n"/>
      <c r="AE515" s="34" t="n"/>
      <c r="AF515" s="34" t="n"/>
      <c r="AG515" s="34" t="n"/>
      <c r="AH515" s="34" t="n"/>
      <c r="AK515" s="34" t="n"/>
      <c r="AL515" s="34" t="n"/>
      <c r="AM515" s="39" t="n"/>
      <c r="AN515" s="34" t="n"/>
      <c r="AO515" s="34" t="n"/>
      <c r="AP515" s="34" t="n"/>
      <c r="AQ515" s="34" t="n"/>
      <c r="AR515" s="34" t="n"/>
      <c r="AS515" s="34" t="n"/>
      <c r="AU515" s="34" t="n"/>
      <c r="AV515" s="34" t="n"/>
      <c r="AW515" s="34" t="n"/>
      <c r="AX515" s="34" t="n"/>
      <c r="AY515" s="34" t="n"/>
      <c r="AZ515" s="34" t="n"/>
      <c r="BA515" s="34" t="n"/>
      <c r="BB515" s="34" t="n"/>
      <c r="BC515" s="34" t="n"/>
      <c r="BD515" s="34" t="n"/>
      <c r="BE515" s="34" t="n"/>
      <c r="BF515" s="34" t="n"/>
      <c r="BG515" s="34" t="n"/>
      <c r="BH515" s="34" t="n"/>
      <c r="BI515" s="34" t="n"/>
      <c r="BJ515" s="34" t="n"/>
      <c r="BK515" s="34" t="n"/>
      <c r="BL515" s="34" t="n"/>
      <c r="BM515" s="34" t="n"/>
      <c r="BN515" s="34" t="n"/>
      <c r="BO515" s="34" t="n"/>
      <c r="BP515" s="34" t="n"/>
      <c r="BQ515" s="34" t="n"/>
      <c r="BR515" s="82" t="n"/>
      <c r="BS515" s="34" t="n"/>
      <c r="BT515" s="34" t="n"/>
      <c r="BU515" s="34" t="n"/>
      <c r="BV515" s="34" t="n"/>
      <c r="BW515" s="34" t="n"/>
      <c r="BX515" s="34" t="n"/>
      <c r="BY515" s="34" t="n"/>
      <c r="BZ515" s="34" t="n"/>
      <c r="CA515" s="34" t="n"/>
      <c r="CB515" s="33" t="n"/>
      <c r="CC515" s="34" t="n"/>
      <c r="CD515" s="34" t="n"/>
      <c r="CE515" s="82" t="n"/>
      <c r="CF515" s="34" t="n"/>
      <c r="CG515" s="34" t="n"/>
      <c r="CH515" s="34" t="n"/>
      <c r="CI515" s="34" t="n"/>
      <c r="CJ515" s="34" t="n"/>
    </row>
    <row r="516">
      <c r="A516" s="29" t="n"/>
      <c r="B516" s="29" t="n"/>
      <c r="C516" s="35" t="n"/>
      <c r="D516" s="36" t="n"/>
      <c r="E516" s="147" t="n"/>
      <c r="F516" s="30" t="n"/>
      <c r="G516" s="30" t="n"/>
      <c r="H516" s="30" t="n"/>
      <c r="I516" s="30" t="n"/>
      <c r="J516" s="119" t="n"/>
      <c r="K516" s="34" t="n"/>
      <c r="L516" s="119" t="n"/>
      <c r="M516" s="34" t="n"/>
      <c r="N516" s="119" t="n"/>
      <c r="O516" s="34" t="n"/>
      <c r="P516" s="34" t="n"/>
      <c r="Q516" s="117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  <c r="AA516" s="34" t="n"/>
      <c r="AB516" s="34" t="n"/>
      <c r="AC516" s="34" t="n"/>
      <c r="AD516" s="34" t="n"/>
      <c r="AE516" s="34" t="n"/>
      <c r="AF516" s="34" t="n"/>
      <c r="AG516" s="34" t="n"/>
      <c r="AH516" s="34" t="n"/>
      <c r="AK516" s="34" t="n"/>
      <c r="AL516" s="34" t="n"/>
      <c r="AM516" s="39" t="n"/>
      <c r="AN516" s="34" t="n"/>
      <c r="AO516" s="34" t="n"/>
      <c r="AP516" s="34" t="n"/>
      <c r="AQ516" s="34" t="n"/>
      <c r="AR516" s="34" t="n"/>
      <c r="AS516" s="34" t="n"/>
      <c r="AU516" s="34" t="n"/>
      <c r="AV516" s="34" t="n"/>
      <c r="AW516" s="34" t="n"/>
      <c r="AX516" s="34" t="n"/>
      <c r="AY516" s="34" t="n"/>
      <c r="AZ516" s="34" t="n"/>
      <c r="BA516" s="34" t="n"/>
      <c r="BB516" s="34" t="n"/>
      <c r="BC516" s="34" t="n"/>
      <c r="BD516" s="34" t="n"/>
      <c r="BE516" s="34" t="n"/>
      <c r="BF516" s="34" t="n"/>
      <c r="BG516" s="34" t="n"/>
      <c r="BH516" s="34" t="n"/>
      <c r="BI516" s="34" t="n"/>
      <c r="BJ516" s="34" t="n"/>
      <c r="BK516" s="34" t="n"/>
      <c r="BL516" s="34" t="n"/>
      <c r="BM516" s="34" t="n"/>
      <c r="BN516" s="34" t="n"/>
      <c r="BO516" s="34" t="n"/>
      <c r="BP516" s="34" t="n"/>
      <c r="BQ516" s="34" t="n"/>
      <c r="BR516" s="82" t="n"/>
      <c r="BS516" s="34" t="n"/>
      <c r="BT516" s="34" t="n"/>
      <c r="BU516" s="34" t="n"/>
      <c r="BV516" s="34" t="n"/>
      <c r="BW516" s="34" t="n"/>
      <c r="BX516" s="34" t="n"/>
      <c r="BY516" s="34" t="n"/>
      <c r="BZ516" s="34" t="n"/>
      <c r="CA516" s="34" t="n"/>
      <c r="CB516" s="33" t="n"/>
      <c r="CC516" s="34" t="n"/>
      <c r="CD516" s="34" t="n"/>
      <c r="CE516" s="82" t="n"/>
      <c r="CF516" s="34" t="n"/>
      <c r="CG516" s="34" t="n"/>
      <c r="CH516" s="34" t="n"/>
      <c r="CI516" s="34" t="n"/>
      <c r="CJ516" s="34" t="n"/>
    </row>
    <row r="517">
      <c r="A517" s="29" t="n"/>
      <c r="B517" s="29" t="n"/>
      <c r="C517" s="35" t="n"/>
      <c r="D517" s="36" t="n"/>
      <c r="E517" s="147" t="n"/>
      <c r="F517" s="30" t="n"/>
      <c r="G517" s="30" t="n"/>
      <c r="H517" s="30" t="n"/>
      <c r="I517" s="30" t="n"/>
      <c r="J517" s="119" t="n"/>
      <c r="K517" s="34" t="n"/>
      <c r="L517" s="119" t="n"/>
      <c r="M517" s="34" t="n"/>
      <c r="N517" s="119" t="n"/>
      <c r="O517" s="34" t="n"/>
      <c r="P517" s="34" t="n"/>
      <c r="Q517" s="117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  <c r="AA517" s="34" t="n"/>
      <c r="AB517" s="34" t="n"/>
      <c r="AC517" s="34" t="n"/>
      <c r="AD517" s="34" t="n"/>
      <c r="AE517" s="34" t="n"/>
      <c r="AF517" s="34" t="n"/>
      <c r="AG517" s="34" t="n"/>
      <c r="AH517" s="34" t="n"/>
      <c r="AK517" s="34" t="n"/>
      <c r="AL517" s="34" t="n"/>
      <c r="AM517" s="39" t="n"/>
      <c r="AN517" s="34" t="n"/>
      <c r="AO517" s="34" t="n"/>
      <c r="AP517" s="34" t="n"/>
      <c r="AQ517" s="34" t="n"/>
      <c r="AR517" s="34" t="n"/>
      <c r="AS517" s="34" t="n"/>
      <c r="AU517" s="34" t="n"/>
      <c r="AV517" s="34" t="n"/>
      <c r="AW517" s="34" t="n"/>
      <c r="AX517" s="34" t="n"/>
      <c r="AY517" s="34" t="n"/>
      <c r="AZ517" s="34" t="n"/>
      <c r="BA517" s="34" t="n"/>
      <c r="BB517" s="34" t="n"/>
      <c r="BC517" s="34" t="n"/>
      <c r="BD517" s="34" t="n"/>
      <c r="BE517" s="34" t="n"/>
      <c r="BF517" s="34" t="n"/>
      <c r="BG517" s="34" t="n"/>
      <c r="BH517" s="34" t="n"/>
      <c r="BI517" s="34" t="n"/>
      <c r="BJ517" s="34" t="n"/>
      <c r="BK517" s="34" t="n"/>
      <c r="BL517" s="34" t="n"/>
      <c r="BM517" s="34" t="n"/>
      <c r="BN517" s="34" t="n"/>
      <c r="BO517" s="34" t="n"/>
      <c r="BP517" s="34" t="n"/>
      <c r="BQ517" s="34" t="n"/>
      <c r="BR517" s="82" t="n"/>
      <c r="BS517" s="34" t="n"/>
      <c r="BT517" s="34" t="n"/>
      <c r="BU517" s="34" t="n"/>
      <c r="BV517" s="34" t="n"/>
      <c r="BW517" s="34" t="n"/>
      <c r="BX517" s="34" t="n"/>
      <c r="BY517" s="34" t="n"/>
      <c r="BZ517" s="34" t="n"/>
      <c r="CA517" s="34" t="n"/>
      <c r="CB517" s="33" t="n"/>
      <c r="CC517" s="34" t="n"/>
      <c r="CD517" s="34" t="n"/>
      <c r="CE517" s="82" t="n"/>
      <c r="CF517" s="34" t="n"/>
      <c r="CG517" s="34" t="n"/>
      <c r="CH517" s="34" t="n"/>
      <c r="CI517" s="34" t="n"/>
      <c r="CJ517" s="34" t="n"/>
    </row>
    <row r="518">
      <c r="A518" s="29" t="n"/>
      <c r="B518" s="29" t="n"/>
      <c r="C518" s="35" t="n"/>
      <c r="D518" s="36" t="n"/>
      <c r="E518" s="147" t="n"/>
      <c r="F518" s="30" t="n"/>
      <c r="G518" s="30" t="n"/>
      <c r="H518" s="30" t="n"/>
      <c r="I518" s="30" t="n"/>
      <c r="J518" s="119" t="n"/>
      <c r="K518" s="34" t="n"/>
      <c r="L518" s="119" t="n"/>
      <c r="M518" s="34" t="n"/>
      <c r="N518" s="119" t="n"/>
      <c r="O518" s="34" t="n"/>
      <c r="P518" s="34" t="n"/>
      <c r="Q518" s="117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  <c r="AA518" s="34" t="n"/>
      <c r="AB518" s="34" t="n"/>
      <c r="AC518" s="34" t="n"/>
      <c r="AD518" s="34" t="n"/>
      <c r="AE518" s="34" t="n"/>
      <c r="AF518" s="34" t="n"/>
      <c r="AG518" s="34" t="n"/>
      <c r="AH518" s="34" t="n"/>
      <c r="AK518" s="34" t="n"/>
      <c r="AL518" s="34" t="n"/>
      <c r="AM518" s="39" t="n"/>
      <c r="AN518" s="34" t="n"/>
      <c r="AO518" s="34" t="n"/>
      <c r="AP518" s="34" t="n"/>
      <c r="AQ518" s="34" t="n"/>
      <c r="AR518" s="34" t="n"/>
      <c r="AS518" s="34" t="n"/>
      <c r="AU518" s="34" t="n"/>
      <c r="AV518" s="34" t="n"/>
      <c r="AW518" s="34" t="n"/>
      <c r="AX518" s="34" t="n"/>
      <c r="AY518" s="34" t="n"/>
      <c r="AZ518" s="34" t="n"/>
      <c r="BA518" s="34" t="n"/>
      <c r="BB518" s="34" t="n"/>
      <c r="BC518" s="34" t="n"/>
      <c r="BD518" s="34" t="n"/>
      <c r="BE518" s="34" t="n"/>
      <c r="BF518" s="34" t="n"/>
      <c r="BG518" s="34" t="n"/>
      <c r="BH518" s="34" t="n"/>
      <c r="BI518" s="34" t="n"/>
      <c r="BJ518" s="34" t="n"/>
      <c r="BK518" s="34" t="n"/>
      <c r="BL518" s="34" t="n"/>
      <c r="BM518" s="34" t="n"/>
      <c r="BN518" s="34" t="n"/>
      <c r="BO518" s="34" t="n"/>
      <c r="BP518" s="34" t="n"/>
      <c r="BQ518" s="34" t="n"/>
      <c r="BR518" s="82" t="n"/>
      <c r="BS518" s="34" t="n"/>
      <c r="BT518" s="34" t="n"/>
      <c r="BU518" s="34" t="n"/>
      <c r="BV518" s="34" t="n"/>
      <c r="BW518" s="34" t="n"/>
      <c r="BX518" s="34" t="n"/>
      <c r="BY518" s="34" t="n"/>
      <c r="BZ518" s="34" t="n"/>
      <c r="CA518" s="34" t="n"/>
      <c r="CB518" s="33" t="n"/>
      <c r="CC518" s="34" t="n"/>
      <c r="CD518" s="34" t="n"/>
      <c r="CE518" s="82" t="n"/>
      <c r="CF518" s="34" t="n"/>
      <c r="CG518" s="34" t="n"/>
      <c r="CH518" s="34" t="n"/>
      <c r="CI518" s="34" t="n"/>
      <c r="CJ518" s="34" t="n"/>
    </row>
    <row r="519">
      <c r="A519" s="29" t="n"/>
      <c r="B519" s="29" t="n"/>
      <c r="C519" s="35" t="n"/>
      <c r="D519" s="36" t="n"/>
      <c r="E519" s="147" t="n"/>
      <c r="F519" s="30" t="n"/>
      <c r="G519" s="30" t="n"/>
      <c r="H519" s="30" t="n"/>
      <c r="I519" s="30" t="n"/>
      <c r="J519" s="119" t="n"/>
      <c r="K519" s="34" t="n"/>
      <c r="L519" s="119" t="n"/>
      <c r="M519" s="34" t="n"/>
      <c r="N519" s="119" t="n"/>
      <c r="O519" s="34" t="n"/>
      <c r="P519" s="34" t="n"/>
      <c r="Q519" s="117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  <c r="AA519" s="34" t="n"/>
      <c r="AB519" s="34" t="n"/>
      <c r="AC519" s="34" t="n"/>
      <c r="AD519" s="34" t="n"/>
      <c r="AE519" s="34" t="n"/>
      <c r="AF519" s="34" t="n"/>
      <c r="AG519" s="34" t="n"/>
      <c r="AH519" s="34" t="n"/>
      <c r="AK519" s="34" t="n"/>
      <c r="AL519" s="34" t="n"/>
      <c r="AM519" s="39" t="n"/>
      <c r="AN519" s="34" t="n"/>
      <c r="AO519" s="34" t="n"/>
      <c r="AP519" s="34" t="n"/>
      <c r="AQ519" s="34" t="n"/>
      <c r="AR519" s="34" t="n"/>
      <c r="AS519" s="34" t="n"/>
      <c r="AU519" s="34" t="n"/>
      <c r="AV519" s="34" t="n"/>
      <c r="AW519" s="34" t="n"/>
      <c r="AX519" s="34" t="n"/>
      <c r="AY519" s="34" t="n"/>
      <c r="AZ519" s="34" t="n"/>
      <c r="BA519" s="34" t="n"/>
      <c r="BB519" s="34" t="n"/>
      <c r="BC519" s="34" t="n"/>
      <c r="BD519" s="34" t="n"/>
      <c r="BE519" s="34" t="n"/>
      <c r="BF519" s="34" t="n"/>
      <c r="BG519" s="34" t="n"/>
      <c r="BH519" s="34" t="n"/>
      <c r="BI519" s="34" t="n"/>
      <c r="BJ519" s="34" t="n"/>
      <c r="BK519" s="34" t="n"/>
      <c r="BL519" s="34" t="n"/>
      <c r="BM519" s="34" t="n"/>
      <c r="BN519" s="34" t="n"/>
      <c r="BO519" s="34" t="n"/>
      <c r="BP519" s="34" t="n"/>
      <c r="BQ519" s="34" t="n"/>
      <c r="BR519" s="82" t="n"/>
      <c r="BS519" s="34" t="n"/>
      <c r="BT519" s="34" t="n"/>
      <c r="BU519" s="34" t="n"/>
      <c r="BV519" s="34" t="n"/>
      <c r="BW519" s="34" t="n"/>
      <c r="BX519" s="34" t="n"/>
      <c r="BY519" s="34" t="n"/>
      <c r="BZ519" s="34" t="n"/>
      <c r="CA519" s="34" t="n"/>
      <c r="CB519" s="33" t="n"/>
      <c r="CC519" s="34" t="n"/>
      <c r="CD519" s="34" t="n"/>
      <c r="CE519" s="82" t="n"/>
      <c r="CF519" s="34" t="n"/>
      <c r="CG519" s="34" t="n"/>
      <c r="CH519" s="34" t="n"/>
      <c r="CI519" s="34" t="n"/>
      <c r="CJ519" s="34" t="n"/>
    </row>
    <row r="520">
      <c r="A520" s="29" t="n"/>
      <c r="B520" s="29" t="n"/>
      <c r="C520" s="35" t="n"/>
      <c r="D520" s="36" t="n"/>
      <c r="E520" s="147" t="n"/>
      <c r="F520" s="30" t="n"/>
      <c r="G520" s="30" t="n"/>
      <c r="H520" s="30" t="n"/>
      <c r="I520" s="30" t="n"/>
      <c r="J520" s="119" t="n"/>
      <c r="K520" s="34" t="n"/>
      <c r="L520" s="119" t="n"/>
      <c r="M520" s="34" t="n"/>
      <c r="N520" s="119" t="n"/>
      <c r="O520" s="34" t="n"/>
      <c r="P520" s="34" t="n"/>
      <c r="Q520" s="117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  <c r="AA520" s="34" t="n"/>
      <c r="AB520" s="34" t="n"/>
      <c r="AC520" s="34" t="n"/>
      <c r="AD520" s="34" t="n"/>
      <c r="AE520" s="34" t="n"/>
      <c r="AF520" s="34" t="n"/>
      <c r="AG520" s="34" t="n"/>
      <c r="AH520" s="34" t="n"/>
      <c r="AK520" s="34" t="n"/>
      <c r="AL520" s="34" t="n"/>
      <c r="AM520" s="39" t="n"/>
      <c r="AN520" s="34" t="n"/>
      <c r="AO520" s="34" t="n"/>
      <c r="AP520" s="34" t="n"/>
      <c r="AQ520" s="34" t="n"/>
      <c r="AR520" s="34" t="n"/>
      <c r="AS520" s="34" t="n"/>
      <c r="AU520" s="34" t="n"/>
      <c r="AV520" s="34" t="n"/>
      <c r="AW520" s="34" t="n"/>
      <c r="AX520" s="34" t="n"/>
      <c r="AY520" s="34" t="n"/>
      <c r="AZ520" s="34" t="n"/>
      <c r="BA520" s="34" t="n"/>
      <c r="BB520" s="34" t="n"/>
      <c r="BC520" s="34" t="n"/>
      <c r="BD520" s="34" t="n"/>
      <c r="BE520" s="34" t="n"/>
      <c r="BF520" s="34" t="n"/>
      <c r="BG520" s="34" t="n"/>
      <c r="BH520" s="34" t="n"/>
      <c r="BI520" s="34" t="n"/>
      <c r="BJ520" s="34" t="n"/>
      <c r="BK520" s="34" t="n"/>
      <c r="BL520" s="34" t="n"/>
      <c r="BM520" s="34" t="n"/>
      <c r="BN520" s="34" t="n"/>
      <c r="BO520" s="34" t="n"/>
      <c r="BP520" s="34" t="n"/>
      <c r="BQ520" s="34" t="n"/>
      <c r="BR520" s="82" t="n"/>
      <c r="BS520" s="34" t="n"/>
      <c r="BT520" s="34" t="n"/>
      <c r="BU520" s="34" t="n"/>
      <c r="BV520" s="34" t="n"/>
      <c r="BW520" s="34" t="n"/>
      <c r="BX520" s="34" t="n"/>
      <c r="BY520" s="34" t="n"/>
      <c r="BZ520" s="34" t="n"/>
      <c r="CA520" s="34" t="n"/>
      <c r="CB520" s="33" t="n"/>
      <c r="CC520" s="34" t="n"/>
      <c r="CD520" s="34" t="n"/>
      <c r="CE520" s="82" t="n"/>
      <c r="CF520" s="34" t="n"/>
      <c r="CG520" s="34" t="n"/>
      <c r="CH520" s="34" t="n"/>
      <c r="CI520" s="34" t="n"/>
      <c r="CJ520" s="34" t="n"/>
    </row>
    <row r="521">
      <c r="A521" s="29" t="n"/>
      <c r="B521" s="29" t="n"/>
      <c r="C521" s="35" t="n"/>
      <c r="D521" s="36" t="n"/>
      <c r="E521" s="147" t="n"/>
      <c r="F521" s="30" t="n"/>
      <c r="G521" s="30" t="n"/>
      <c r="H521" s="30" t="n"/>
      <c r="I521" s="30" t="n"/>
      <c r="J521" s="119" t="n"/>
      <c r="K521" s="34" t="n"/>
      <c r="L521" s="119" t="n"/>
      <c r="M521" s="34" t="n"/>
      <c r="N521" s="119" t="n"/>
      <c r="O521" s="34" t="n"/>
      <c r="P521" s="34" t="n"/>
      <c r="Q521" s="117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  <c r="AA521" s="34" t="n"/>
      <c r="AB521" s="34" t="n"/>
      <c r="AC521" s="34" t="n"/>
      <c r="AD521" s="34" t="n"/>
      <c r="AE521" s="34" t="n"/>
      <c r="AF521" s="34" t="n"/>
      <c r="AG521" s="34" t="n"/>
      <c r="AH521" s="34" t="n"/>
      <c r="AK521" s="34" t="n"/>
      <c r="AL521" s="34" t="n"/>
      <c r="AM521" s="39" t="n"/>
      <c r="AN521" s="34" t="n"/>
      <c r="AO521" s="34" t="n"/>
      <c r="AP521" s="34" t="n"/>
      <c r="AQ521" s="34" t="n"/>
      <c r="AR521" s="34" t="n"/>
      <c r="AS521" s="34" t="n"/>
      <c r="AU521" s="34" t="n"/>
      <c r="AV521" s="34" t="n"/>
      <c r="AW521" s="34" t="n"/>
      <c r="AX521" s="34" t="n"/>
      <c r="AY521" s="34" t="n"/>
      <c r="AZ521" s="34" t="n"/>
      <c r="BA521" s="34" t="n"/>
      <c r="BB521" s="34" t="n"/>
      <c r="BC521" s="34" t="n"/>
      <c r="BD521" s="34" t="n"/>
      <c r="BE521" s="34" t="n"/>
      <c r="BF521" s="34" t="n"/>
      <c r="BG521" s="34" t="n"/>
      <c r="BH521" s="34" t="n"/>
      <c r="BI521" s="34" t="n"/>
      <c r="BJ521" s="34" t="n"/>
      <c r="BK521" s="34" t="n"/>
      <c r="BL521" s="34" t="n"/>
      <c r="BM521" s="34" t="n"/>
      <c r="BN521" s="34" t="n"/>
      <c r="BO521" s="34" t="n"/>
      <c r="BP521" s="34" t="n"/>
      <c r="BQ521" s="34" t="n"/>
      <c r="BR521" s="82" t="n"/>
      <c r="BS521" s="34" t="n"/>
      <c r="BT521" s="34" t="n"/>
      <c r="BU521" s="34" t="n"/>
      <c r="BV521" s="34" t="n"/>
      <c r="BW521" s="34" t="n"/>
      <c r="BX521" s="34" t="n"/>
      <c r="BY521" s="34" t="n"/>
      <c r="BZ521" s="34" t="n"/>
      <c r="CA521" s="34" t="n"/>
      <c r="CB521" s="33" t="n"/>
      <c r="CC521" s="34" t="n"/>
      <c r="CD521" s="34" t="n"/>
      <c r="CE521" s="82" t="n"/>
      <c r="CF521" s="34" t="n"/>
      <c r="CG521" s="34" t="n"/>
      <c r="CH521" s="34" t="n"/>
      <c r="CI521" s="34" t="n"/>
      <c r="CJ521" s="34" t="n"/>
    </row>
    <row r="522">
      <c r="A522" s="29" t="n"/>
      <c r="B522" s="29" t="n"/>
      <c r="C522" s="35" t="n"/>
      <c r="D522" s="36" t="n"/>
      <c r="E522" s="147" t="n"/>
      <c r="F522" s="30" t="n"/>
      <c r="G522" s="30" t="n"/>
      <c r="H522" s="30" t="n"/>
      <c r="I522" s="30" t="n"/>
      <c r="J522" s="119" t="n"/>
      <c r="K522" s="34" t="n"/>
      <c r="L522" s="119" t="n"/>
      <c r="M522" s="34" t="n"/>
      <c r="N522" s="119" t="n"/>
      <c r="O522" s="34" t="n"/>
      <c r="P522" s="34" t="n"/>
      <c r="Q522" s="117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  <c r="AA522" s="34" t="n"/>
      <c r="AB522" s="34" t="n"/>
      <c r="AC522" s="34" t="n"/>
      <c r="AD522" s="34" t="n"/>
      <c r="AE522" s="34" t="n"/>
      <c r="AF522" s="34" t="n"/>
      <c r="AG522" s="34" t="n"/>
      <c r="AH522" s="34" t="n"/>
      <c r="AK522" s="34" t="n"/>
      <c r="AL522" s="34" t="n"/>
      <c r="AM522" s="39" t="n"/>
      <c r="AN522" s="34" t="n"/>
      <c r="AO522" s="34" t="n"/>
      <c r="AP522" s="34" t="n"/>
      <c r="AQ522" s="34" t="n"/>
      <c r="AR522" s="34" t="n"/>
      <c r="AS522" s="34" t="n"/>
      <c r="AU522" s="34" t="n"/>
      <c r="AV522" s="34" t="n"/>
      <c r="AW522" s="34" t="n"/>
      <c r="AX522" s="34" t="n"/>
      <c r="AY522" s="34" t="n"/>
      <c r="AZ522" s="34" t="n"/>
      <c r="BA522" s="34" t="n"/>
      <c r="BB522" s="34" t="n"/>
      <c r="BC522" s="34" t="n"/>
      <c r="BD522" s="34" t="n"/>
      <c r="BE522" s="34" t="n"/>
      <c r="BF522" s="34" t="n"/>
      <c r="BG522" s="34" t="n"/>
      <c r="BH522" s="34" t="n"/>
      <c r="BI522" s="34" t="n"/>
      <c r="BJ522" s="34" t="n"/>
      <c r="BK522" s="34" t="n"/>
      <c r="BL522" s="34" t="n"/>
      <c r="BM522" s="34" t="n"/>
      <c r="BN522" s="34" t="n"/>
      <c r="BO522" s="34" t="n"/>
      <c r="BP522" s="34" t="n"/>
      <c r="BQ522" s="34" t="n"/>
      <c r="BR522" s="82" t="n"/>
      <c r="BS522" s="34" t="n"/>
      <c r="BT522" s="34" t="n"/>
      <c r="BU522" s="34" t="n"/>
      <c r="BV522" s="34" t="n"/>
      <c r="BW522" s="34" t="n"/>
      <c r="BX522" s="34" t="n"/>
      <c r="BY522" s="34" t="n"/>
      <c r="BZ522" s="34" t="n"/>
      <c r="CA522" s="34" t="n"/>
      <c r="CB522" s="33" t="n"/>
      <c r="CC522" s="34" t="n"/>
      <c r="CD522" s="34" t="n"/>
      <c r="CE522" s="82" t="n"/>
      <c r="CF522" s="34" t="n"/>
      <c r="CG522" s="34" t="n"/>
      <c r="CH522" s="34" t="n"/>
      <c r="CI522" s="34" t="n"/>
      <c r="CJ522" s="34" t="n"/>
    </row>
    <row r="523">
      <c r="A523" s="29" t="n"/>
      <c r="B523" s="29" t="n"/>
      <c r="C523" s="35" t="n"/>
      <c r="D523" s="36" t="n"/>
      <c r="E523" s="147" t="n"/>
      <c r="F523" s="30" t="n"/>
      <c r="G523" s="30" t="n"/>
      <c r="H523" s="30" t="n"/>
      <c r="I523" s="30" t="n"/>
      <c r="J523" s="119" t="n"/>
      <c r="K523" s="34" t="n"/>
      <c r="L523" s="119" t="n"/>
      <c r="M523" s="34" t="n"/>
      <c r="N523" s="119" t="n"/>
      <c r="O523" s="34" t="n"/>
      <c r="P523" s="34" t="n"/>
      <c r="Q523" s="117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  <c r="AA523" s="34" t="n"/>
      <c r="AB523" s="34" t="n"/>
      <c r="AC523" s="34" t="n"/>
      <c r="AD523" s="34" t="n"/>
      <c r="AE523" s="34" t="n"/>
      <c r="AF523" s="34" t="n"/>
      <c r="AG523" s="34" t="n"/>
      <c r="AH523" s="34" t="n"/>
      <c r="AK523" s="34" t="n"/>
      <c r="AL523" s="34" t="n"/>
      <c r="AM523" s="39" t="n"/>
      <c r="AN523" s="34" t="n"/>
      <c r="AO523" s="34" t="n"/>
      <c r="AP523" s="34" t="n"/>
      <c r="AQ523" s="34" t="n"/>
      <c r="AR523" s="34" t="n"/>
      <c r="AS523" s="34" t="n"/>
      <c r="AU523" s="34" t="n"/>
      <c r="AV523" s="34" t="n"/>
      <c r="AW523" s="34" t="n"/>
      <c r="AX523" s="34" t="n"/>
      <c r="AY523" s="34" t="n"/>
      <c r="AZ523" s="34" t="n"/>
      <c r="BA523" s="34" t="n"/>
      <c r="BB523" s="34" t="n"/>
      <c r="BC523" s="34" t="n"/>
      <c r="BD523" s="34" t="n"/>
      <c r="BE523" s="34" t="n"/>
      <c r="BF523" s="34" t="n"/>
      <c r="BG523" s="34" t="n"/>
      <c r="BH523" s="34" t="n"/>
      <c r="BI523" s="34" t="n"/>
      <c r="BJ523" s="34" t="n"/>
      <c r="BK523" s="34" t="n"/>
      <c r="BL523" s="34" t="n"/>
      <c r="BM523" s="34" t="n"/>
      <c r="BN523" s="34" t="n"/>
      <c r="BO523" s="34" t="n"/>
      <c r="BP523" s="34" t="n"/>
      <c r="BQ523" s="34" t="n"/>
      <c r="BR523" s="82" t="n"/>
      <c r="BS523" s="34" t="n"/>
      <c r="BT523" s="34" t="n"/>
      <c r="BU523" s="34" t="n"/>
      <c r="BV523" s="34" t="n"/>
      <c r="BW523" s="34" t="n"/>
      <c r="BX523" s="34" t="n"/>
      <c r="BY523" s="34" t="n"/>
      <c r="BZ523" s="34" t="n"/>
      <c r="CA523" s="34" t="n"/>
      <c r="CB523" s="33" t="n"/>
      <c r="CC523" s="34" t="n"/>
      <c r="CD523" s="34" t="n"/>
      <c r="CE523" s="82" t="n"/>
      <c r="CF523" s="34" t="n"/>
      <c r="CG523" s="34" t="n"/>
      <c r="CH523" s="34" t="n"/>
      <c r="CI523" s="34" t="n"/>
      <c r="CJ523" s="34" t="n"/>
    </row>
    <row r="524">
      <c r="A524" s="29" t="n"/>
      <c r="B524" s="29" t="n"/>
      <c r="C524" s="35" t="n"/>
      <c r="D524" s="36" t="n"/>
      <c r="E524" s="147" t="n"/>
      <c r="F524" s="30" t="n"/>
      <c r="G524" s="30" t="n"/>
      <c r="H524" s="30" t="n"/>
      <c r="I524" s="30" t="n"/>
      <c r="J524" s="119" t="n"/>
      <c r="K524" s="34" t="n"/>
      <c r="L524" s="119" t="n"/>
      <c r="M524" s="34" t="n"/>
      <c r="N524" s="119" t="n"/>
      <c r="O524" s="34" t="n"/>
      <c r="P524" s="34" t="n"/>
      <c r="Q524" s="117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  <c r="AA524" s="34" t="n"/>
      <c r="AB524" s="34" t="n"/>
      <c r="AC524" s="34" t="n"/>
      <c r="AD524" s="34" t="n"/>
      <c r="AE524" s="34" t="n"/>
      <c r="AF524" s="34" t="n"/>
      <c r="AG524" s="34" t="n"/>
      <c r="AH524" s="34" t="n"/>
      <c r="AK524" s="34" t="n"/>
      <c r="AL524" s="34" t="n"/>
      <c r="AM524" s="39" t="n"/>
      <c r="AN524" s="34" t="n"/>
      <c r="AO524" s="34" t="n"/>
      <c r="AP524" s="34" t="n"/>
      <c r="AQ524" s="34" t="n"/>
      <c r="AR524" s="34" t="n"/>
      <c r="AS524" s="34" t="n"/>
      <c r="AU524" s="34" t="n"/>
      <c r="AV524" s="34" t="n"/>
      <c r="AW524" s="34" t="n"/>
      <c r="AX524" s="34" t="n"/>
      <c r="AY524" s="34" t="n"/>
      <c r="AZ524" s="34" t="n"/>
      <c r="BA524" s="34" t="n"/>
      <c r="BB524" s="34" t="n"/>
      <c r="BC524" s="34" t="n"/>
      <c r="BD524" s="34" t="n"/>
      <c r="BE524" s="34" t="n"/>
      <c r="BF524" s="34" t="n"/>
      <c r="BG524" s="34" t="n"/>
      <c r="BH524" s="34" t="n"/>
      <c r="BI524" s="34" t="n"/>
      <c r="BJ524" s="34" t="n"/>
      <c r="BK524" s="34" t="n"/>
      <c r="BL524" s="34" t="n"/>
      <c r="BM524" s="34" t="n"/>
      <c r="BN524" s="34" t="n"/>
      <c r="BO524" s="34" t="n"/>
      <c r="BP524" s="34" t="n"/>
      <c r="BQ524" s="34" t="n"/>
      <c r="BR524" s="82" t="n"/>
      <c r="BS524" s="34" t="n"/>
      <c r="BT524" s="34" t="n"/>
      <c r="BU524" s="34" t="n"/>
      <c r="BV524" s="34" t="n"/>
      <c r="BW524" s="34" t="n"/>
      <c r="BX524" s="34" t="n"/>
      <c r="BY524" s="34" t="n"/>
      <c r="BZ524" s="34" t="n"/>
      <c r="CA524" s="34" t="n"/>
      <c r="CB524" s="33" t="n"/>
      <c r="CC524" s="34" t="n"/>
      <c r="CD524" s="34" t="n"/>
      <c r="CE524" s="82" t="n"/>
      <c r="CF524" s="34" t="n"/>
      <c r="CG524" s="34" t="n"/>
      <c r="CH524" s="34" t="n"/>
      <c r="CI524" s="34" t="n"/>
      <c r="CJ524" s="34" t="n"/>
    </row>
    <row r="525">
      <c r="A525" s="29" t="n"/>
      <c r="B525" s="29" t="n"/>
      <c r="C525" s="35" t="n"/>
      <c r="D525" s="36" t="n"/>
      <c r="E525" s="147" t="n"/>
      <c r="F525" s="30" t="n"/>
      <c r="G525" s="30" t="n"/>
      <c r="H525" s="30" t="n"/>
      <c r="I525" s="30" t="n"/>
      <c r="J525" s="119" t="n"/>
      <c r="K525" s="34" t="n"/>
      <c r="L525" s="119" t="n"/>
      <c r="M525" s="34" t="n"/>
      <c r="N525" s="119" t="n"/>
      <c r="O525" s="34" t="n"/>
      <c r="P525" s="34" t="n"/>
      <c r="Q525" s="117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  <c r="AA525" s="34" t="n"/>
      <c r="AB525" s="34" t="n"/>
      <c r="AC525" s="34" t="n"/>
      <c r="AD525" s="34" t="n"/>
      <c r="AE525" s="34" t="n"/>
      <c r="AF525" s="34" t="n"/>
      <c r="AG525" s="34" t="n"/>
      <c r="AH525" s="34" t="n"/>
      <c r="AK525" s="34" t="n"/>
      <c r="AL525" s="34" t="n"/>
      <c r="AM525" s="39" t="n"/>
      <c r="AN525" s="34" t="n"/>
      <c r="AO525" s="34" t="n"/>
      <c r="AP525" s="34" t="n"/>
      <c r="AQ525" s="34" t="n"/>
      <c r="AR525" s="34" t="n"/>
      <c r="AS525" s="34" t="n"/>
      <c r="AU525" s="34" t="n"/>
      <c r="AV525" s="34" t="n"/>
      <c r="AW525" s="34" t="n"/>
      <c r="AX525" s="34" t="n"/>
      <c r="AY525" s="34" t="n"/>
      <c r="AZ525" s="34" t="n"/>
      <c r="BA525" s="34" t="n"/>
      <c r="BB525" s="34" t="n"/>
      <c r="BC525" s="34" t="n"/>
      <c r="BD525" s="34" t="n"/>
      <c r="BE525" s="34" t="n"/>
      <c r="BF525" s="34" t="n"/>
      <c r="BG525" s="34" t="n"/>
      <c r="BH525" s="34" t="n"/>
      <c r="BI525" s="34" t="n"/>
      <c r="BJ525" s="34" t="n"/>
      <c r="BK525" s="34" t="n"/>
      <c r="BL525" s="34" t="n"/>
      <c r="BM525" s="34" t="n"/>
      <c r="BN525" s="34" t="n"/>
      <c r="BO525" s="34" t="n"/>
      <c r="BP525" s="34" t="n"/>
      <c r="BQ525" s="34" t="n"/>
      <c r="BR525" s="82" t="n"/>
      <c r="BS525" s="34" t="n"/>
      <c r="BT525" s="34" t="n"/>
      <c r="BU525" s="34" t="n"/>
      <c r="BV525" s="34" t="n"/>
      <c r="BW525" s="34" t="n"/>
      <c r="BX525" s="34" t="n"/>
      <c r="BY525" s="34" t="n"/>
      <c r="BZ525" s="34" t="n"/>
      <c r="CA525" s="34" t="n"/>
      <c r="CB525" s="33" t="n"/>
      <c r="CC525" s="34" t="n"/>
      <c r="CD525" s="34" t="n"/>
      <c r="CE525" s="82" t="n"/>
      <c r="CF525" s="34" t="n"/>
      <c r="CG525" s="34" t="n"/>
      <c r="CH525" s="34" t="n"/>
      <c r="CI525" s="34" t="n"/>
      <c r="CJ525" s="34" t="n"/>
    </row>
    <row r="526">
      <c r="A526" s="29" t="n"/>
      <c r="B526" s="29" t="n"/>
      <c r="C526" s="35" t="n"/>
      <c r="D526" s="36" t="n"/>
      <c r="E526" s="147" t="n"/>
      <c r="F526" s="30" t="n"/>
      <c r="G526" s="30" t="n"/>
      <c r="H526" s="30" t="n"/>
      <c r="I526" s="30" t="n"/>
      <c r="J526" s="119" t="n"/>
      <c r="K526" s="34" t="n"/>
      <c r="L526" s="119" t="n"/>
      <c r="M526" s="34" t="n"/>
      <c r="N526" s="119" t="n"/>
      <c r="O526" s="34" t="n"/>
      <c r="P526" s="34" t="n"/>
      <c r="Q526" s="117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  <c r="AA526" s="34" t="n"/>
      <c r="AB526" s="34" t="n"/>
      <c r="AC526" s="34" t="n"/>
      <c r="AD526" s="34" t="n"/>
      <c r="AE526" s="34" t="n"/>
      <c r="AF526" s="34" t="n"/>
      <c r="AG526" s="34" t="n"/>
      <c r="AH526" s="34" t="n"/>
      <c r="AK526" s="34" t="n"/>
      <c r="AL526" s="34" t="n"/>
      <c r="AM526" s="39" t="n"/>
      <c r="AN526" s="34" t="n"/>
      <c r="AO526" s="34" t="n"/>
      <c r="AP526" s="34" t="n"/>
      <c r="AQ526" s="34" t="n"/>
      <c r="AR526" s="34" t="n"/>
      <c r="AS526" s="34" t="n"/>
      <c r="AU526" s="34" t="n"/>
      <c r="AV526" s="34" t="n"/>
      <c r="AW526" s="34" t="n"/>
      <c r="AX526" s="34" t="n"/>
      <c r="AY526" s="34" t="n"/>
      <c r="AZ526" s="34" t="n"/>
      <c r="BA526" s="34" t="n"/>
      <c r="BB526" s="34" t="n"/>
      <c r="BC526" s="34" t="n"/>
      <c r="BD526" s="34" t="n"/>
      <c r="BE526" s="34" t="n"/>
      <c r="BF526" s="34" t="n"/>
      <c r="BG526" s="34" t="n"/>
      <c r="BH526" s="34" t="n"/>
      <c r="BI526" s="34" t="n"/>
      <c r="BJ526" s="34" t="n"/>
      <c r="BK526" s="34" t="n"/>
      <c r="BL526" s="34" t="n"/>
      <c r="BM526" s="34" t="n"/>
      <c r="BN526" s="34" t="n"/>
      <c r="BO526" s="34" t="n"/>
      <c r="BP526" s="34" t="n"/>
      <c r="BQ526" s="34" t="n"/>
      <c r="BR526" s="82" t="n"/>
      <c r="BS526" s="34" t="n"/>
      <c r="BT526" s="34" t="n"/>
      <c r="BU526" s="34" t="n"/>
      <c r="BV526" s="34" t="n"/>
      <c r="BW526" s="34" t="n"/>
      <c r="BX526" s="34" t="n"/>
      <c r="BY526" s="34" t="n"/>
      <c r="BZ526" s="34" t="n"/>
      <c r="CA526" s="34" t="n"/>
      <c r="CB526" s="33" t="n"/>
      <c r="CC526" s="34" t="n"/>
      <c r="CD526" s="34" t="n"/>
      <c r="CE526" s="82" t="n"/>
      <c r="CF526" s="34" t="n"/>
      <c r="CG526" s="34" t="n"/>
      <c r="CH526" s="34" t="n"/>
      <c r="CI526" s="34" t="n"/>
      <c r="CJ526" s="34" t="n"/>
    </row>
    <row r="527">
      <c r="A527" s="29" t="n"/>
      <c r="B527" s="29" t="n"/>
      <c r="C527" s="35" t="n"/>
      <c r="D527" s="36" t="n"/>
      <c r="E527" s="147" t="n"/>
      <c r="F527" s="30" t="n"/>
      <c r="G527" s="30" t="n"/>
      <c r="H527" s="30" t="n"/>
      <c r="I527" s="30" t="n"/>
      <c r="J527" s="119" t="n"/>
      <c r="K527" s="34" t="n"/>
      <c r="L527" s="119" t="n"/>
      <c r="M527" s="34" t="n"/>
      <c r="N527" s="119" t="n"/>
      <c r="O527" s="34" t="n"/>
      <c r="P527" s="34" t="n"/>
      <c r="Q527" s="117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  <c r="AA527" s="34" t="n"/>
      <c r="AB527" s="34" t="n"/>
      <c r="AC527" s="34" t="n"/>
      <c r="AD527" s="34" t="n"/>
      <c r="AE527" s="34" t="n"/>
      <c r="AF527" s="34" t="n"/>
      <c r="AG527" s="34" t="n"/>
      <c r="AH527" s="34" t="n"/>
      <c r="AK527" s="34" t="n"/>
      <c r="AL527" s="34" t="n"/>
      <c r="AM527" s="39" t="n"/>
      <c r="AN527" s="34" t="n"/>
      <c r="AO527" s="34" t="n"/>
      <c r="AP527" s="34" t="n"/>
      <c r="AQ527" s="34" t="n"/>
      <c r="AR527" s="34" t="n"/>
      <c r="AS527" s="34" t="n"/>
      <c r="AU527" s="34" t="n"/>
      <c r="AV527" s="34" t="n"/>
      <c r="AW527" s="34" t="n"/>
      <c r="AX527" s="34" t="n"/>
      <c r="AY527" s="34" t="n"/>
      <c r="AZ527" s="34" t="n"/>
      <c r="BA527" s="34" t="n"/>
      <c r="BB527" s="34" t="n"/>
      <c r="BC527" s="34" t="n"/>
      <c r="BD527" s="34" t="n"/>
      <c r="BE527" s="34" t="n"/>
      <c r="BF527" s="34" t="n"/>
      <c r="BG527" s="34" t="n"/>
      <c r="BH527" s="34" t="n"/>
      <c r="BI527" s="34" t="n"/>
      <c r="BJ527" s="34" t="n"/>
      <c r="BK527" s="34" t="n"/>
      <c r="BL527" s="34" t="n"/>
      <c r="BM527" s="34" t="n"/>
      <c r="BN527" s="34" t="n"/>
      <c r="BO527" s="34" t="n"/>
      <c r="BP527" s="34" t="n"/>
      <c r="BQ527" s="34" t="n"/>
      <c r="BR527" s="82" t="n"/>
      <c r="BS527" s="34" t="n"/>
      <c r="BT527" s="34" t="n"/>
      <c r="BU527" s="34" t="n"/>
      <c r="BV527" s="34" t="n"/>
      <c r="BW527" s="34" t="n"/>
      <c r="BX527" s="34" t="n"/>
      <c r="BY527" s="34" t="n"/>
      <c r="BZ527" s="34" t="n"/>
      <c r="CA527" s="34" t="n"/>
      <c r="CB527" s="33" t="n"/>
      <c r="CC527" s="34" t="n"/>
      <c r="CD527" s="34" t="n"/>
      <c r="CE527" s="82" t="n"/>
      <c r="CF527" s="34" t="n"/>
      <c r="CG527" s="34" t="n"/>
      <c r="CH527" s="34" t="n"/>
      <c r="CI527" s="34" t="n"/>
      <c r="CJ527" s="34" t="n"/>
    </row>
    <row r="528">
      <c r="A528" s="29" t="n"/>
      <c r="B528" s="29" t="n"/>
      <c r="C528" s="35" t="n"/>
      <c r="D528" s="36" t="n"/>
      <c r="E528" s="147" t="n"/>
      <c r="F528" s="30" t="n"/>
      <c r="G528" s="30" t="n"/>
      <c r="H528" s="30" t="n"/>
      <c r="I528" s="30" t="n"/>
      <c r="J528" s="119" t="n"/>
      <c r="K528" s="34" t="n"/>
      <c r="L528" s="119" t="n"/>
      <c r="M528" s="34" t="n"/>
      <c r="N528" s="119" t="n"/>
      <c r="O528" s="34" t="n"/>
      <c r="P528" s="34" t="n"/>
      <c r="Q528" s="117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  <c r="AA528" s="34" t="n"/>
      <c r="AB528" s="34" t="n"/>
      <c r="AC528" s="34" t="n"/>
      <c r="AD528" s="34" t="n"/>
      <c r="AE528" s="34" t="n"/>
      <c r="AF528" s="34" t="n"/>
      <c r="AG528" s="34" t="n"/>
      <c r="AH528" s="34" t="n"/>
      <c r="AK528" s="34" t="n"/>
      <c r="AL528" s="34" t="n"/>
      <c r="AM528" s="39" t="n"/>
      <c r="AN528" s="34" t="n"/>
      <c r="AO528" s="34" t="n"/>
      <c r="AP528" s="34" t="n"/>
      <c r="AQ528" s="34" t="n"/>
      <c r="AR528" s="34" t="n"/>
      <c r="AS528" s="34" t="n"/>
      <c r="AU528" s="34" t="n"/>
      <c r="AV528" s="34" t="n"/>
      <c r="AW528" s="34" t="n"/>
      <c r="AX528" s="34" t="n"/>
      <c r="AY528" s="34" t="n"/>
      <c r="AZ528" s="34" t="n"/>
      <c r="BA528" s="34" t="n"/>
      <c r="BB528" s="34" t="n"/>
      <c r="BC528" s="34" t="n"/>
      <c r="BD528" s="34" t="n"/>
      <c r="BE528" s="34" t="n"/>
      <c r="BF528" s="34" t="n"/>
      <c r="BG528" s="34" t="n"/>
      <c r="BH528" s="34" t="n"/>
      <c r="BI528" s="34" t="n"/>
      <c r="BJ528" s="34" t="n"/>
      <c r="BK528" s="34" t="n"/>
      <c r="BL528" s="34" t="n"/>
      <c r="BM528" s="34" t="n"/>
      <c r="BN528" s="34" t="n"/>
      <c r="BO528" s="34" t="n"/>
      <c r="BP528" s="34" t="n"/>
      <c r="BQ528" s="34" t="n"/>
      <c r="BR528" s="82" t="n"/>
      <c r="BS528" s="34" t="n"/>
      <c r="BT528" s="34" t="n"/>
      <c r="BU528" s="34" t="n"/>
      <c r="BV528" s="34" t="n"/>
      <c r="BW528" s="34" t="n"/>
      <c r="BX528" s="34" t="n"/>
      <c r="BY528" s="34" t="n"/>
      <c r="BZ528" s="34" t="n"/>
      <c r="CA528" s="34" t="n"/>
      <c r="CB528" s="33" t="n"/>
      <c r="CC528" s="34" t="n"/>
      <c r="CD528" s="34" t="n"/>
      <c r="CE528" s="82" t="n"/>
      <c r="CF528" s="34" t="n"/>
      <c r="CG528" s="34" t="n"/>
      <c r="CH528" s="34" t="n"/>
      <c r="CI528" s="34" t="n"/>
      <c r="CJ528" s="34" t="n"/>
    </row>
    <row r="529">
      <c r="A529" s="29" t="n"/>
      <c r="B529" s="29" t="n"/>
      <c r="C529" s="35" t="n"/>
      <c r="D529" s="36" t="n"/>
      <c r="E529" s="147" t="n"/>
      <c r="F529" s="30" t="n"/>
      <c r="G529" s="30" t="n"/>
      <c r="H529" s="30" t="n"/>
      <c r="I529" s="30" t="n"/>
      <c r="J529" s="119" t="n"/>
      <c r="K529" s="34" t="n"/>
      <c r="L529" s="119" t="n"/>
      <c r="M529" s="34" t="n"/>
      <c r="N529" s="119" t="n"/>
      <c r="O529" s="34" t="n"/>
      <c r="P529" s="34" t="n"/>
      <c r="Q529" s="117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  <c r="AA529" s="34" t="n"/>
      <c r="AB529" s="34" t="n"/>
      <c r="AC529" s="34" t="n"/>
      <c r="AD529" s="34" t="n"/>
      <c r="AE529" s="34" t="n"/>
      <c r="AF529" s="34" t="n"/>
      <c r="AG529" s="34" t="n"/>
      <c r="AH529" s="34" t="n"/>
      <c r="AK529" s="34" t="n"/>
      <c r="AL529" s="34" t="n"/>
      <c r="AM529" s="39" t="n"/>
      <c r="AN529" s="34" t="n"/>
      <c r="AO529" s="34" t="n"/>
      <c r="AP529" s="34" t="n"/>
      <c r="AQ529" s="34" t="n"/>
      <c r="AR529" s="34" t="n"/>
      <c r="AS529" s="34" t="n"/>
      <c r="AU529" s="34" t="n"/>
      <c r="AV529" s="34" t="n"/>
      <c r="AW529" s="34" t="n"/>
      <c r="AX529" s="34" t="n"/>
      <c r="AY529" s="34" t="n"/>
      <c r="AZ529" s="34" t="n"/>
      <c r="BA529" s="34" t="n"/>
      <c r="BB529" s="34" t="n"/>
      <c r="BC529" s="34" t="n"/>
      <c r="BD529" s="34" t="n"/>
      <c r="BE529" s="34" t="n"/>
      <c r="BF529" s="34" t="n"/>
      <c r="BG529" s="34" t="n"/>
      <c r="BH529" s="34" t="n"/>
      <c r="BI529" s="34" t="n"/>
      <c r="BJ529" s="34" t="n"/>
      <c r="BK529" s="34" t="n"/>
      <c r="BL529" s="34" t="n"/>
      <c r="BM529" s="34" t="n"/>
      <c r="BN529" s="34" t="n"/>
      <c r="BO529" s="34" t="n"/>
      <c r="BP529" s="34" t="n"/>
      <c r="BQ529" s="34" t="n"/>
      <c r="BR529" s="82" t="n"/>
      <c r="BS529" s="34" t="n"/>
      <c r="BT529" s="34" t="n"/>
      <c r="BU529" s="34" t="n"/>
      <c r="BV529" s="34" t="n"/>
      <c r="BW529" s="34" t="n"/>
      <c r="BX529" s="34" t="n"/>
      <c r="BY529" s="34" t="n"/>
      <c r="BZ529" s="34" t="n"/>
      <c r="CA529" s="34" t="n"/>
      <c r="CB529" s="33" t="n"/>
      <c r="CC529" s="34" t="n"/>
      <c r="CD529" s="34" t="n"/>
      <c r="CE529" s="82" t="n"/>
      <c r="CF529" s="34" t="n"/>
      <c r="CG529" s="34" t="n"/>
      <c r="CH529" s="34" t="n"/>
      <c r="CI529" s="34" t="n"/>
      <c r="CJ529" s="34" t="n"/>
    </row>
    <row r="530">
      <c r="A530" s="29" t="n"/>
      <c r="B530" s="29" t="n"/>
      <c r="C530" s="35" t="n"/>
      <c r="D530" s="36" t="n"/>
      <c r="E530" s="147" t="n"/>
      <c r="F530" s="30" t="n"/>
      <c r="G530" s="30" t="n"/>
      <c r="H530" s="30" t="n"/>
      <c r="I530" s="30" t="n"/>
      <c r="J530" s="119" t="n"/>
      <c r="K530" s="34" t="n"/>
      <c r="L530" s="119" t="n"/>
      <c r="M530" s="34" t="n"/>
      <c r="N530" s="119" t="n"/>
      <c r="O530" s="34" t="n"/>
      <c r="P530" s="34" t="n"/>
      <c r="Q530" s="117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  <c r="AA530" s="34" t="n"/>
      <c r="AB530" s="34" t="n"/>
      <c r="AC530" s="34" t="n"/>
      <c r="AD530" s="34" t="n"/>
      <c r="AE530" s="34" t="n"/>
      <c r="AF530" s="34" t="n"/>
      <c r="AG530" s="34" t="n"/>
      <c r="AH530" s="34" t="n"/>
      <c r="AK530" s="34" t="n"/>
      <c r="AL530" s="34" t="n"/>
      <c r="AM530" s="39" t="n"/>
      <c r="AN530" s="34" t="n"/>
      <c r="AO530" s="34" t="n"/>
      <c r="AP530" s="34" t="n"/>
      <c r="AQ530" s="34" t="n"/>
      <c r="AR530" s="34" t="n"/>
      <c r="AS530" s="34" t="n"/>
      <c r="AU530" s="34" t="n"/>
      <c r="AV530" s="34" t="n"/>
      <c r="AW530" s="34" t="n"/>
      <c r="AX530" s="34" t="n"/>
      <c r="AY530" s="34" t="n"/>
      <c r="AZ530" s="34" t="n"/>
      <c r="BA530" s="34" t="n"/>
      <c r="BB530" s="34" t="n"/>
      <c r="BC530" s="34" t="n"/>
      <c r="BD530" s="34" t="n"/>
      <c r="BE530" s="34" t="n"/>
      <c r="BF530" s="34" t="n"/>
      <c r="BG530" s="34" t="n"/>
      <c r="BH530" s="34" t="n"/>
      <c r="BI530" s="34" t="n"/>
      <c r="BJ530" s="34" t="n"/>
      <c r="BK530" s="34" t="n"/>
      <c r="BL530" s="34" t="n"/>
      <c r="BM530" s="34" t="n"/>
      <c r="BN530" s="34" t="n"/>
      <c r="BO530" s="34" t="n"/>
      <c r="BP530" s="34" t="n"/>
      <c r="BQ530" s="34" t="n"/>
      <c r="BR530" s="82" t="n"/>
      <c r="BS530" s="34" t="n"/>
      <c r="BT530" s="34" t="n"/>
      <c r="BU530" s="34" t="n"/>
      <c r="BV530" s="34" t="n"/>
      <c r="BW530" s="34" t="n"/>
      <c r="BX530" s="34" t="n"/>
      <c r="BY530" s="34" t="n"/>
      <c r="BZ530" s="34" t="n"/>
      <c r="CA530" s="34" t="n"/>
      <c r="CB530" s="33" t="n"/>
      <c r="CC530" s="34" t="n"/>
      <c r="CD530" s="34" t="n"/>
      <c r="CE530" s="82" t="n"/>
      <c r="CF530" s="34" t="n"/>
      <c r="CG530" s="34" t="n"/>
      <c r="CH530" s="34" t="n"/>
      <c r="CI530" s="34" t="n"/>
      <c r="CJ530" s="34" t="n"/>
    </row>
    <row r="531">
      <c r="A531" s="29" t="n"/>
      <c r="B531" s="29" t="n"/>
      <c r="C531" s="35" t="n"/>
      <c r="D531" s="36" t="n"/>
      <c r="E531" s="147" t="n"/>
      <c r="F531" s="30" t="n"/>
      <c r="G531" s="30" t="n"/>
      <c r="H531" s="30" t="n"/>
      <c r="I531" s="30" t="n"/>
      <c r="J531" s="119" t="n"/>
      <c r="K531" s="34" t="n"/>
      <c r="L531" s="119" t="n"/>
      <c r="M531" s="34" t="n"/>
      <c r="N531" s="119" t="n"/>
      <c r="O531" s="34" t="n"/>
      <c r="P531" s="34" t="n"/>
      <c r="Q531" s="117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  <c r="AA531" s="34" t="n"/>
      <c r="AB531" s="34" t="n"/>
      <c r="AC531" s="34" t="n"/>
      <c r="AD531" s="34" t="n"/>
      <c r="AE531" s="34" t="n"/>
      <c r="AF531" s="34" t="n"/>
      <c r="AG531" s="34" t="n"/>
      <c r="AH531" s="34" t="n"/>
      <c r="AK531" s="34" t="n"/>
      <c r="AL531" s="34" t="n"/>
      <c r="AM531" s="39" t="n"/>
      <c r="AN531" s="34" t="n"/>
      <c r="AO531" s="34" t="n"/>
      <c r="AP531" s="34" t="n"/>
      <c r="AQ531" s="34" t="n"/>
      <c r="AR531" s="34" t="n"/>
      <c r="AS531" s="34" t="n"/>
      <c r="AU531" s="34" t="n"/>
      <c r="AV531" s="34" t="n"/>
      <c r="AW531" s="34" t="n"/>
      <c r="AX531" s="34" t="n"/>
      <c r="AY531" s="34" t="n"/>
      <c r="AZ531" s="34" t="n"/>
      <c r="BA531" s="34" t="n"/>
      <c r="BB531" s="34" t="n"/>
      <c r="BC531" s="34" t="n"/>
      <c r="BD531" s="34" t="n"/>
      <c r="BE531" s="34" t="n"/>
      <c r="BF531" s="34" t="n"/>
      <c r="BG531" s="34" t="n"/>
      <c r="BH531" s="34" t="n"/>
      <c r="BI531" s="34" t="n"/>
      <c r="BJ531" s="34" t="n"/>
      <c r="BK531" s="34" t="n"/>
      <c r="BL531" s="34" t="n"/>
      <c r="BM531" s="34" t="n"/>
      <c r="BN531" s="34" t="n"/>
      <c r="BO531" s="34" t="n"/>
      <c r="BP531" s="34" t="n"/>
      <c r="BQ531" s="34" t="n"/>
      <c r="BR531" s="82" t="n"/>
      <c r="BS531" s="34" t="n"/>
      <c r="BT531" s="34" t="n"/>
      <c r="BU531" s="34" t="n"/>
      <c r="BV531" s="34" t="n"/>
      <c r="BW531" s="34" t="n"/>
      <c r="BX531" s="34" t="n"/>
      <c r="BY531" s="34" t="n"/>
      <c r="BZ531" s="34" t="n"/>
      <c r="CA531" s="34" t="n"/>
      <c r="CB531" s="33" t="n"/>
      <c r="CC531" s="34" t="n"/>
      <c r="CD531" s="34" t="n"/>
      <c r="CE531" s="82" t="n"/>
      <c r="CF531" s="34" t="n"/>
      <c r="CG531" s="34" t="n"/>
      <c r="CH531" s="34" t="n"/>
      <c r="CI531" s="34" t="n"/>
      <c r="CJ531" s="34" t="n"/>
    </row>
    <row r="532">
      <c r="A532" s="29" t="n"/>
      <c r="B532" s="29" t="n"/>
      <c r="C532" s="35" t="n"/>
      <c r="D532" s="36" t="n"/>
      <c r="E532" s="147" t="n"/>
      <c r="F532" s="30" t="n"/>
      <c r="G532" s="30" t="n"/>
      <c r="H532" s="30" t="n"/>
      <c r="I532" s="30" t="n"/>
      <c r="J532" s="119" t="n"/>
      <c r="K532" s="34" t="n"/>
      <c r="L532" s="119" t="n"/>
      <c r="M532" s="34" t="n"/>
      <c r="N532" s="119" t="n"/>
      <c r="O532" s="34" t="n"/>
      <c r="P532" s="34" t="n"/>
      <c r="Q532" s="117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  <c r="AA532" s="34" t="n"/>
      <c r="AB532" s="34" t="n"/>
      <c r="AC532" s="34" t="n"/>
      <c r="AD532" s="34" t="n"/>
      <c r="AE532" s="34" t="n"/>
      <c r="AF532" s="34" t="n"/>
      <c r="AG532" s="34" t="n"/>
      <c r="AH532" s="34" t="n"/>
      <c r="AK532" s="34" t="n"/>
      <c r="AL532" s="34" t="n"/>
      <c r="AM532" s="39" t="n"/>
      <c r="AN532" s="34" t="n"/>
      <c r="AO532" s="34" t="n"/>
      <c r="AP532" s="34" t="n"/>
      <c r="AQ532" s="34" t="n"/>
      <c r="AR532" s="34" t="n"/>
      <c r="AS532" s="34" t="n"/>
      <c r="AU532" s="34" t="n"/>
      <c r="AV532" s="34" t="n"/>
      <c r="AW532" s="34" t="n"/>
      <c r="AX532" s="34" t="n"/>
      <c r="AY532" s="34" t="n"/>
      <c r="AZ532" s="34" t="n"/>
      <c r="BA532" s="34" t="n"/>
      <c r="BB532" s="34" t="n"/>
      <c r="BC532" s="34" t="n"/>
      <c r="BD532" s="34" t="n"/>
      <c r="BE532" s="34" t="n"/>
      <c r="BF532" s="34" t="n"/>
      <c r="BG532" s="34" t="n"/>
      <c r="BH532" s="34" t="n"/>
      <c r="BI532" s="34" t="n"/>
      <c r="BJ532" s="34" t="n"/>
      <c r="BK532" s="34" t="n"/>
      <c r="BL532" s="34" t="n"/>
      <c r="BM532" s="34" t="n"/>
      <c r="BN532" s="34" t="n"/>
      <c r="BO532" s="34" t="n"/>
      <c r="BP532" s="34" t="n"/>
      <c r="BQ532" s="34" t="n"/>
      <c r="BR532" s="82" t="n"/>
      <c r="BS532" s="34" t="n"/>
      <c r="BT532" s="34" t="n"/>
      <c r="BU532" s="34" t="n"/>
      <c r="BV532" s="34" t="n"/>
      <c r="BW532" s="34" t="n"/>
      <c r="BX532" s="34" t="n"/>
      <c r="BY532" s="34" t="n"/>
      <c r="BZ532" s="34" t="n"/>
      <c r="CA532" s="34" t="n"/>
      <c r="CB532" s="33" t="n"/>
      <c r="CC532" s="34" t="n"/>
      <c r="CD532" s="34" t="n"/>
      <c r="CE532" s="82" t="n"/>
      <c r="CF532" s="34" t="n"/>
      <c r="CG532" s="34" t="n"/>
      <c r="CH532" s="34" t="n"/>
      <c r="CI532" s="34" t="n"/>
      <c r="CJ532" s="34" t="n"/>
    </row>
    <row r="533">
      <c r="A533" s="29" t="n"/>
      <c r="B533" s="29" t="n"/>
      <c r="C533" s="35" t="n"/>
      <c r="D533" s="36" t="n"/>
      <c r="E533" s="147" t="n"/>
      <c r="F533" s="30" t="n"/>
      <c r="G533" s="30" t="n"/>
      <c r="H533" s="30" t="n"/>
      <c r="I533" s="30" t="n"/>
      <c r="J533" s="119" t="n"/>
      <c r="K533" s="34" t="n"/>
      <c r="L533" s="119" t="n"/>
      <c r="M533" s="34" t="n"/>
      <c r="N533" s="119" t="n"/>
      <c r="O533" s="34" t="n"/>
      <c r="P533" s="34" t="n"/>
      <c r="Q533" s="117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  <c r="AA533" s="34" t="n"/>
      <c r="AB533" s="34" t="n"/>
      <c r="AC533" s="34" t="n"/>
      <c r="AD533" s="34" t="n"/>
      <c r="AE533" s="34" t="n"/>
      <c r="AF533" s="34" t="n"/>
      <c r="AG533" s="34" t="n"/>
      <c r="AH533" s="34" t="n"/>
      <c r="AK533" s="34" t="n"/>
      <c r="AL533" s="34" t="n"/>
      <c r="AM533" s="39" t="n"/>
      <c r="AN533" s="34" t="n"/>
      <c r="AO533" s="34" t="n"/>
      <c r="AP533" s="34" t="n"/>
      <c r="AQ533" s="34" t="n"/>
      <c r="AR533" s="34" t="n"/>
      <c r="AS533" s="34" t="n"/>
      <c r="AU533" s="34" t="n"/>
      <c r="AV533" s="34" t="n"/>
      <c r="AW533" s="34" t="n"/>
      <c r="AX533" s="34" t="n"/>
      <c r="AY533" s="34" t="n"/>
      <c r="AZ533" s="34" t="n"/>
      <c r="BA533" s="34" t="n"/>
      <c r="BB533" s="34" t="n"/>
      <c r="BC533" s="34" t="n"/>
      <c r="BD533" s="34" t="n"/>
      <c r="BE533" s="34" t="n"/>
      <c r="BF533" s="34" t="n"/>
      <c r="BG533" s="34" t="n"/>
      <c r="BH533" s="34" t="n"/>
      <c r="BI533" s="34" t="n"/>
      <c r="BJ533" s="34" t="n"/>
      <c r="BK533" s="34" t="n"/>
      <c r="BL533" s="34" t="n"/>
      <c r="BM533" s="34" t="n"/>
      <c r="BN533" s="34" t="n"/>
      <c r="BO533" s="34" t="n"/>
      <c r="BP533" s="34" t="n"/>
      <c r="BQ533" s="34" t="n"/>
      <c r="BR533" s="82" t="n"/>
      <c r="BS533" s="34" t="n"/>
      <c r="BT533" s="34" t="n"/>
      <c r="BU533" s="34" t="n"/>
      <c r="BV533" s="34" t="n"/>
      <c r="BW533" s="34" t="n"/>
      <c r="BX533" s="34" t="n"/>
      <c r="BY533" s="34" t="n"/>
      <c r="BZ533" s="34" t="n"/>
      <c r="CA533" s="34" t="n"/>
      <c r="CB533" s="33" t="n"/>
      <c r="CC533" s="34" t="n"/>
      <c r="CD533" s="34" t="n"/>
      <c r="CE533" s="82" t="n"/>
      <c r="CF533" s="34" t="n"/>
      <c r="CG533" s="34" t="n"/>
      <c r="CH533" s="34" t="n"/>
      <c r="CI533" s="34" t="n"/>
      <c r="CJ533" s="34" t="n"/>
    </row>
    <row r="534">
      <c r="A534" s="29" t="n"/>
      <c r="B534" s="29" t="n"/>
      <c r="C534" s="35" t="n"/>
      <c r="D534" s="36" t="n"/>
      <c r="E534" s="147" t="n"/>
      <c r="F534" s="30" t="n"/>
      <c r="G534" s="30" t="n"/>
      <c r="H534" s="30" t="n"/>
      <c r="I534" s="30" t="n"/>
      <c r="J534" s="119" t="n"/>
      <c r="K534" s="34" t="n"/>
      <c r="L534" s="119" t="n"/>
      <c r="M534" s="34" t="n"/>
      <c r="N534" s="119" t="n"/>
      <c r="O534" s="34" t="n"/>
      <c r="P534" s="34" t="n"/>
      <c r="Q534" s="117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  <c r="AA534" s="34" t="n"/>
      <c r="AB534" s="34" t="n"/>
      <c r="AC534" s="34" t="n"/>
      <c r="AD534" s="34" t="n"/>
      <c r="AE534" s="34" t="n"/>
      <c r="AF534" s="34" t="n"/>
      <c r="AG534" s="34" t="n"/>
      <c r="AH534" s="34" t="n"/>
      <c r="AK534" s="34" t="n"/>
      <c r="AL534" s="34" t="n"/>
      <c r="AM534" s="39" t="n"/>
      <c r="AN534" s="34" t="n"/>
      <c r="AO534" s="34" t="n"/>
      <c r="AP534" s="34" t="n"/>
      <c r="AQ534" s="34" t="n"/>
      <c r="AR534" s="34" t="n"/>
      <c r="AS534" s="34" t="n"/>
      <c r="AU534" s="34" t="n"/>
      <c r="AV534" s="34" t="n"/>
      <c r="AW534" s="34" t="n"/>
      <c r="AX534" s="34" t="n"/>
      <c r="AY534" s="34" t="n"/>
      <c r="AZ534" s="34" t="n"/>
      <c r="BA534" s="34" t="n"/>
      <c r="BB534" s="34" t="n"/>
      <c r="BC534" s="34" t="n"/>
      <c r="BD534" s="34" t="n"/>
      <c r="BE534" s="34" t="n"/>
      <c r="BF534" s="34" t="n"/>
      <c r="BG534" s="34" t="n"/>
      <c r="BH534" s="34" t="n"/>
      <c r="BI534" s="34" t="n"/>
      <c r="BJ534" s="34" t="n"/>
      <c r="BK534" s="34" t="n"/>
      <c r="BL534" s="34" t="n"/>
      <c r="BM534" s="34" t="n"/>
      <c r="BN534" s="34" t="n"/>
      <c r="BO534" s="34" t="n"/>
      <c r="BP534" s="34" t="n"/>
      <c r="BQ534" s="34" t="n"/>
      <c r="BR534" s="82" t="n"/>
      <c r="BS534" s="34" t="n"/>
      <c r="BT534" s="34" t="n"/>
      <c r="BU534" s="34" t="n"/>
      <c r="BV534" s="34" t="n"/>
      <c r="BW534" s="34" t="n"/>
      <c r="BX534" s="34" t="n"/>
      <c r="BY534" s="34" t="n"/>
      <c r="BZ534" s="34" t="n"/>
      <c r="CA534" s="34" t="n"/>
      <c r="CB534" s="33" t="n"/>
      <c r="CC534" s="34" t="n"/>
      <c r="CD534" s="34" t="n"/>
      <c r="CE534" s="82" t="n"/>
      <c r="CF534" s="34" t="n"/>
      <c r="CG534" s="34" t="n"/>
      <c r="CH534" s="34" t="n"/>
      <c r="CI534" s="34" t="n"/>
      <c r="CJ534" s="34" t="n"/>
    </row>
    <row r="535">
      <c r="A535" s="29" t="n"/>
      <c r="B535" s="29" t="n"/>
      <c r="C535" s="35" t="n"/>
      <c r="D535" s="36" t="n"/>
      <c r="E535" s="147" t="n"/>
      <c r="F535" s="30" t="n"/>
      <c r="G535" s="30" t="n"/>
      <c r="H535" s="30" t="n"/>
      <c r="I535" s="30" t="n"/>
      <c r="J535" s="119" t="n"/>
      <c r="K535" s="34" t="n"/>
      <c r="L535" s="119" t="n"/>
      <c r="M535" s="34" t="n"/>
      <c r="N535" s="119" t="n"/>
      <c r="O535" s="34" t="n"/>
      <c r="P535" s="34" t="n"/>
      <c r="Q535" s="117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  <c r="AA535" s="34" t="n"/>
      <c r="AB535" s="34" t="n"/>
      <c r="AC535" s="34" t="n"/>
      <c r="AD535" s="34" t="n"/>
      <c r="AE535" s="34" t="n"/>
      <c r="AF535" s="34" t="n"/>
      <c r="AG535" s="34" t="n"/>
      <c r="AH535" s="34" t="n"/>
      <c r="AK535" s="34" t="n"/>
      <c r="AL535" s="34" t="n"/>
      <c r="AM535" s="39" t="n"/>
      <c r="AN535" s="34" t="n"/>
      <c r="AO535" s="34" t="n"/>
      <c r="AP535" s="34" t="n"/>
      <c r="AQ535" s="34" t="n"/>
      <c r="AR535" s="34" t="n"/>
      <c r="AS535" s="34" t="n"/>
      <c r="AU535" s="34" t="n"/>
      <c r="AV535" s="34" t="n"/>
      <c r="AW535" s="34" t="n"/>
      <c r="AX535" s="34" t="n"/>
      <c r="AY535" s="34" t="n"/>
      <c r="AZ535" s="34" t="n"/>
      <c r="BA535" s="34" t="n"/>
      <c r="BB535" s="34" t="n"/>
      <c r="BC535" s="34" t="n"/>
      <c r="BD535" s="34" t="n"/>
      <c r="BE535" s="34" t="n"/>
      <c r="BF535" s="34" t="n"/>
      <c r="BG535" s="34" t="n"/>
      <c r="BH535" s="34" t="n"/>
      <c r="BI535" s="34" t="n"/>
      <c r="BJ535" s="34" t="n"/>
      <c r="BK535" s="34" t="n"/>
      <c r="BL535" s="34" t="n"/>
      <c r="BM535" s="34" t="n"/>
      <c r="BN535" s="34" t="n"/>
      <c r="BO535" s="34" t="n"/>
      <c r="BP535" s="34" t="n"/>
      <c r="BQ535" s="34" t="n"/>
      <c r="BR535" s="82" t="n"/>
      <c r="BS535" s="34" t="n"/>
      <c r="BT535" s="34" t="n"/>
      <c r="BU535" s="34" t="n"/>
      <c r="BV535" s="34" t="n"/>
      <c r="BW535" s="34" t="n"/>
      <c r="BX535" s="34" t="n"/>
      <c r="BY535" s="34" t="n"/>
      <c r="BZ535" s="34" t="n"/>
      <c r="CA535" s="34" t="n"/>
      <c r="CB535" s="33" t="n"/>
      <c r="CC535" s="34" t="n"/>
      <c r="CD535" s="34" t="n"/>
      <c r="CE535" s="82" t="n"/>
      <c r="CF535" s="34" t="n"/>
      <c r="CG535" s="34" t="n"/>
      <c r="CH535" s="34" t="n"/>
      <c r="CI535" s="34" t="n"/>
      <c r="CJ535" s="34" t="n"/>
    </row>
    <row r="536">
      <c r="A536" s="29" t="n"/>
      <c r="B536" s="29" t="n"/>
      <c r="C536" s="35" t="n"/>
      <c r="D536" s="36" t="n"/>
      <c r="E536" s="147" t="n"/>
      <c r="F536" s="30" t="n"/>
      <c r="G536" s="30" t="n"/>
      <c r="H536" s="30" t="n"/>
      <c r="I536" s="30" t="n"/>
      <c r="J536" s="119" t="n"/>
      <c r="K536" s="34" t="n"/>
      <c r="L536" s="119" t="n"/>
      <c r="M536" s="34" t="n"/>
      <c r="N536" s="119" t="n"/>
      <c r="O536" s="34" t="n"/>
      <c r="P536" s="34" t="n"/>
      <c r="Q536" s="117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  <c r="AA536" s="34" t="n"/>
      <c r="AB536" s="34" t="n"/>
      <c r="AC536" s="34" t="n"/>
      <c r="AD536" s="34" t="n"/>
      <c r="AE536" s="34" t="n"/>
      <c r="AF536" s="34" t="n"/>
      <c r="AG536" s="34" t="n"/>
      <c r="AH536" s="34" t="n"/>
      <c r="AK536" s="34" t="n"/>
      <c r="AL536" s="34" t="n"/>
      <c r="AM536" s="39" t="n"/>
      <c r="AN536" s="34" t="n"/>
      <c r="AO536" s="34" t="n"/>
      <c r="AP536" s="34" t="n"/>
      <c r="AQ536" s="34" t="n"/>
      <c r="AR536" s="34" t="n"/>
      <c r="AS536" s="34" t="n"/>
      <c r="AU536" s="34" t="n"/>
      <c r="AV536" s="34" t="n"/>
      <c r="AW536" s="34" t="n"/>
      <c r="AX536" s="34" t="n"/>
      <c r="AY536" s="34" t="n"/>
      <c r="AZ536" s="34" t="n"/>
      <c r="BA536" s="34" t="n"/>
      <c r="BB536" s="34" t="n"/>
      <c r="BC536" s="34" t="n"/>
      <c r="BD536" s="34" t="n"/>
      <c r="BE536" s="34" t="n"/>
      <c r="BF536" s="34" t="n"/>
      <c r="BG536" s="34" t="n"/>
      <c r="BH536" s="34" t="n"/>
      <c r="BI536" s="34" t="n"/>
      <c r="BJ536" s="34" t="n"/>
      <c r="BK536" s="34" t="n"/>
      <c r="BL536" s="34" t="n"/>
      <c r="BM536" s="34" t="n"/>
      <c r="BN536" s="34" t="n"/>
      <c r="BO536" s="34" t="n"/>
      <c r="BP536" s="34" t="n"/>
      <c r="BQ536" s="34" t="n"/>
      <c r="BR536" s="82" t="n"/>
      <c r="BS536" s="34" t="n"/>
      <c r="BT536" s="34" t="n"/>
      <c r="BU536" s="34" t="n"/>
      <c r="BV536" s="34" t="n"/>
      <c r="BW536" s="34" t="n"/>
      <c r="BX536" s="34" t="n"/>
      <c r="BY536" s="34" t="n"/>
      <c r="BZ536" s="34" t="n"/>
      <c r="CA536" s="34" t="n"/>
      <c r="CB536" s="33" t="n"/>
      <c r="CC536" s="34" t="n"/>
      <c r="CD536" s="34" t="n"/>
      <c r="CE536" s="82" t="n"/>
      <c r="CF536" s="34" t="n"/>
      <c r="CG536" s="34" t="n"/>
      <c r="CH536" s="34" t="n"/>
      <c r="CI536" s="34" t="n"/>
      <c r="CJ536" s="34" t="n"/>
    </row>
    <row r="537">
      <c r="A537" s="29" t="n"/>
      <c r="B537" s="29" t="n"/>
      <c r="C537" s="35" t="n"/>
      <c r="D537" s="36" t="n"/>
      <c r="E537" s="147" t="n"/>
      <c r="F537" s="30" t="n"/>
      <c r="G537" s="30" t="n"/>
      <c r="H537" s="30" t="n"/>
      <c r="I537" s="30" t="n"/>
      <c r="J537" s="119" t="n"/>
      <c r="K537" s="34" t="n"/>
      <c r="L537" s="119" t="n"/>
      <c r="M537" s="34" t="n"/>
      <c r="N537" s="119" t="n"/>
      <c r="O537" s="34" t="n"/>
      <c r="P537" s="34" t="n"/>
      <c r="Q537" s="117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  <c r="AA537" s="34" t="n"/>
      <c r="AB537" s="34" t="n"/>
      <c r="AC537" s="34" t="n"/>
      <c r="AD537" s="34" t="n"/>
      <c r="AE537" s="34" t="n"/>
      <c r="AF537" s="34" t="n"/>
      <c r="AG537" s="34" t="n"/>
      <c r="AH537" s="34" t="n"/>
      <c r="AK537" s="34" t="n"/>
      <c r="AL537" s="34" t="n"/>
      <c r="AM537" s="39" t="n"/>
      <c r="AN537" s="34" t="n"/>
      <c r="AO537" s="34" t="n"/>
      <c r="AP537" s="34" t="n"/>
      <c r="AQ537" s="34" t="n"/>
      <c r="AR537" s="34" t="n"/>
      <c r="AS537" s="34" t="n"/>
      <c r="AU537" s="34" t="n"/>
      <c r="AV537" s="34" t="n"/>
      <c r="AW537" s="34" t="n"/>
      <c r="AX537" s="34" t="n"/>
      <c r="AY537" s="34" t="n"/>
      <c r="AZ537" s="34" t="n"/>
      <c r="BA537" s="34" t="n"/>
      <c r="BB537" s="34" t="n"/>
      <c r="BC537" s="34" t="n"/>
      <c r="BD537" s="34" t="n"/>
      <c r="BE537" s="34" t="n"/>
      <c r="BF537" s="34" t="n"/>
      <c r="BG537" s="34" t="n"/>
      <c r="BH537" s="34" t="n"/>
      <c r="BI537" s="34" t="n"/>
      <c r="BJ537" s="34" t="n"/>
      <c r="BK537" s="34" t="n"/>
      <c r="BL537" s="34" t="n"/>
      <c r="BM537" s="34" t="n"/>
      <c r="BN537" s="34" t="n"/>
      <c r="BO537" s="34" t="n"/>
      <c r="BP537" s="34" t="n"/>
      <c r="BQ537" s="34" t="n"/>
      <c r="BR537" s="82" t="n"/>
      <c r="BS537" s="34" t="n"/>
      <c r="BT537" s="34" t="n"/>
      <c r="BU537" s="34" t="n"/>
      <c r="BV537" s="34" t="n"/>
      <c r="BW537" s="34" t="n"/>
      <c r="BX537" s="34" t="n"/>
      <c r="BY537" s="34" t="n"/>
      <c r="BZ537" s="34" t="n"/>
      <c r="CA537" s="34" t="n"/>
      <c r="CB537" s="33" t="n"/>
      <c r="CC537" s="34" t="n"/>
      <c r="CD537" s="34" t="n"/>
      <c r="CE537" s="82" t="n"/>
      <c r="CF537" s="34" t="n"/>
      <c r="CG537" s="34" t="n"/>
      <c r="CH537" s="34" t="n"/>
      <c r="CI537" s="34" t="n"/>
      <c r="CJ537" s="34" t="n"/>
    </row>
    <row r="538">
      <c r="A538" s="29" t="n"/>
      <c r="B538" s="29" t="n"/>
      <c r="C538" s="35" t="n"/>
      <c r="D538" s="36" t="n"/>
      <c r="E538" s="147" t="n"/>
      <c r="F538" s="30" t="n"/>
      <c r="G538" s="30" t="n"/>
      <c r="H538" s="30" t="n"/>
      <c r="I538" s="30" t="n"/>
      <c r="J538" s="119" t="n"/>
      <c r="K538" s="34" t="n"/>
      <c r="L538" s="119" t="n"/>
      <c r="M538" s="34" t="n"/>
      <c r="N538" s="119" t="n"/>
      <c r="O538" s="34" t="n"/>
      <c r="P538" s="34" t="n"/>
      <c r="Q538" s="117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  <c r="AA538" s="34" t="n"/>
      <c r="AB538" s="34" t="n"/>
      <c r="AC538" s="34" t="n"/>
      <c r="AD538" s="34" t="n"/>
      <c r="AE538" s="34" t="n"/>
      <c r="AF538" s="34" t="n"/>
      <c r="AG538" s="34" t="n"/>
      <c r="AH538" s="34" t="n"/>
      <c r="AK538" s="34" t="n"/>
      <c r="AL538" s="34" t="n"/>
      <c r="AM538" s="39" t="n"/>
      <c r="AN538" s="34" t="n"/>
      <c r="AO538" s="34" t="n"/>
      <c r="AP538" s="34" t="n"/>
      <c r="AQ538" s="34" t="n"/>
      <c r="AR538" s="34" t="n"/>
      <c r="AS538" s="34" t="n"/>
      <c r="AU538" s="34" t="n"/>
      <c r="AV538" s="34" t="n"/>
      <c r="AW538" s="34" t="n"/>
      <c r="AX538" s="34" t="n"/>
      <c r="AY538" s="34" t="n"/>
      <c r="AZ538" s="34" t="n"/>
      <c r="BA538" s="34" t="n"/>
      <c r="BB538" s="34" t="n"/>
      <c r="BC538" s="34" t="n"/>
      <c r="BD538" s="34" t="n"/>
      <c r="BE538" s="34" t="n"/>
      <c r="BF538" s="34" t="n"/>
      <c r="BG538" s="34" t="n"/>
      <c r="BH538" s="34" t="n"/>
      <c r="BI538" s="34" t="n"/>
      <c r="BJ538" s="34" t="n"/>
      <c r="BK538" s="34" t="n"/>
      <c r="BL538" s="34" t="n"/>
      <c r="BM538" s="34" t="n"/>
      <c r="BN538" s="34" t="n"/>
      <c r="BO538" s="34" t="n"/>
      <c r="BP538" s="34" t="n"/>
      <c r="BQ538" s="34" t="n"/>
      <c r="BR538" s="82" t="n"/>
      <c r="BS538" s="34" t="n"/>
      <c r="BT538" s="34" t="n"/>
      <c r="BU538" s="34" t="n"/>
      <c r="BV538" s="34" t="n"/>
      <c r="BW538" s="34" t="n"/>
      <c r="BX538" s="34" t="n"/>
      <c r="BY538" s="34" t="n"/>
      <c r="BZ538" s="34" t="n"/>
      <c r="CA538" s="34" t="n"/>
      <c r="CB538" s="33" t="n"/>
      <c r="CC538" s="34" t="n"/>
      <c r="CD538" s="34" t="n"/>
      <c r="CE538" s="82" t="n"/>
      <c r="CF538" s="34" t="n"/>
      <c r="CG538" s="34" t="n"/>
      <c r="CH538" s="34" t="n"/>
      <c r="CI538" s="34" t="n"/>
      <c r="CJ538" s="34" t="n"/>
    </row>
    <row r="539">
      <c r="A539" s="29" t="n"/>
      <c r="B539" s="29" t="n"/>
      <c r="C539" s="35" t="n"/>
      <c r="D539" s="36" t="n"/>
      <c r="E539" s="147" t="n"/>
      <c r="F539" s="30" t="n"/>
      <c r="G539" s="30" t="n"/>
      <c r="H539" s="30" t="n"/>
      <c r="I539" s="30" t="n"/>
      <c r="J539" s="119" t="n"/>
      <c r="K539" s="34" t="n"/>
      <c r="L539" s="119" t="n"/>
      <c r="M539" s="34" t="n"/>
      <c r="N539" s="119" t="n"/>
      <c r="O539" s="34" t="n"/>
      <c r="P539" s="34" t="n"/>
      <c r="Q539" s="117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  <c r="AA539" s="34" t="n"/>
      <c r="AB539" s="34" t="n"/>
      <c r="AC539" s="34" t="n"/>
      <c r="AD539" s="34" t="n"/>
      <c r="AE539" s="34" t="n"/>
      <c r="AF539" s="34" t="n"/>
      <c r="AG539" s="34" t="n"/>
      <c r="AH539" s="34" t="n"/>
      <c r="AK539" s="34" t="n"/>
      <c r="AL539" s="34" t="n"/>
      <c r="AM539" s="39" t="n"/>
      <c r="AN539" s="34" t="n"/>
      <c r="AO539" s="34" t="n"/>
      <c r="AP539" s="34" t="n"/>
      <c r="AQ539" s="34" t="n"/>
      <c r="AR539" s="34" t="n"/>
      <c r="AS539" s="34" t="n"/>
      <c r="AU539" s="34" t="n"/>
      <c r="AV539" s="34" t="n"/>
      <c r="AW539" s="34" t="n"/>
      <c r="AX539" s="34" t="n"/>
      <c r="AY539" s="34" t="n"/>
      <c r="AZ539" s="34" t="n"/>
      <c r="BA539" s="34" t="n"/>
      <c r="BB539" s="34" t="n"/>
      <c r="BC539" s="34" t="n"/>
      <c r="BD539" s="34" t="n"/>
      <c r="BE539" s="34" t="n"/>
      <c r="BF539" s="34" t="n"/>
      <c r="BG539" s="34" t="n"/>
      <c r="BH539" s="34" t="n"/>
      <c r="BI539" s="34" t="n"/>
      <c r="BJ539" s="34" t="n"/>
      <c r="BK539" s="34" t="n"/>
      <c r="BL539" s="34" t="n"/>
      <c r="BM539" s="34" t="n"/>
      <c r="BN539" s="34" t="n"/>
      <c r="BO539" s="34" t="n"/>
      <c r="BP539" s="34" t="n"/>
      <c r="BQ539" s="34" t="n"/>
      <c r="BR539" s="82" t="n"/>
      <c r="BS539" s="34" t="n"/>
      <c r="BT539" s="34" t="n"/>
      <c r="BU539" s="34" t="n"/>
      <c r="BV539" s="34" t="n"/>
      <c r="BW539" s="34" t="n"/>
      <c r="BX539" s="34" t="n"/>
      <c r="BY539" s="34" t="n"/>
      <c r="BZ539" s="34" t="n"/>
      <c r="CA539" s="34" t="n"/>
      <c r="CB539" s="33" t="n"/>
      <c r="CC539" s="34" t="n"/>
      <c r="CD539" s="34" t="n"/>
      <c r="CE539" s="82" t="n"/>
      <c r="CF539" s="34" t="n"/>
      <c r="CG539" s="34" t="n"/>
      <c r="CH539" s="34" t="n"/>
      <c r="CI539" s="34" t="n"/>
      <c r="CJ539" s="34" t="n"/>
    </row>
    <row r="540">
      <c r="A540" s="29" t="n"/>
      <c r="B540" s="29" t="n"/>
      <c r="C540" s="35" t="n"/>
      <c r="D540" s="36" t="n"/>
      <c r="E540" s="147" t="n"/>
      <c r="F540" s="30" t="n"/>
      <c r="G540" s="30" t="n"/>
      <c r="H540" s="30" t="n"/>
      <c r="I540" s="30" t="n"/>
      <c r="J540" s="119" t="n"/>
      <c r="K540" s="34" t="n"/>
      <c r="L540" s="119" t="n"/>
      <c r="M540" s="34" t="n"/>
      <c r="N540" s="119" t="n"/>
      <c r="O540" s="34" t="n"/>
      <c r="P540" s="34" t="n"/>
      <c r="Q540" s="117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  <c r="AA540" s="34" t="n"/>
      <c r="AB540" s="34" t="n"/>
      <c r="AC540" s="34" t="n"/>
      <c r="AD540" s="34" t="n"/>
      <c r="AE540" s="34" t="n"/>
      <c r="AF540" s="34" t="n"/>
      <c r="AG540" s="34" t="n"/>
      <c r="AH540" s="34" t="n"/>
      <c r="AK540" s="34" t="n"/>
      <c r="AL540" s="34" t="n"/>
      <c r="AM540" s="39" t="n"/>
      <c r="AN540" s="34" t="n"/>
      <c r="AO540" s="34" t="n"/>
      <c r="AP540" s="34" t="n"/>
      <c r="AQ540" s="34" t="n"/>
      <c r="AR540" s="34" t="n"/>
      <c r="AS540" s="34" t="n"/>
      <c r="AU540" s="34" t="n"/>
      <c r="AV540" s="34" t="n"/>
      <c r="AW540" s="34" t="n"/>
      <c r="AX540" s="34" t="n"/>
      <c r="AY540" s="34" t="n"/>
      <c r="AZ540" s="34" t="n"/>
      <c r="BA540" s="34" t="n"/>
      <c r="BB540" s="34" t="n"/>
      <c r="BC540" s="34" t="n"/>
      <c r="BD540" s="34" t="n"/>
      <c r="BE540" s="34" t="n"/>
      <c r="BF540" s="34" t="n"/>
      <c r="BG540" s="34" t="n"/>
      <c r="BH540" s="34" t="n"/>
      <c r="BI540" s="34" t="n"/>
      <c r="BJ540" s="34" t="n"/>
      <c r="BK540" s="34" t="n"/>
      <c r="BL540" s="34" t="n"/>
      <c r="BM540" s="34" t="n"/>
      <c r="BN540" s="34" t="n"/>
      <c r="BO540" s="34" t="n"/>
      <c r="BP540" s="34" t="n"/>
      <c r="BQ540" s="34" t="n"/>
      <c r="BR540" s="82" t="n"/>
      <c r="BS540" s="34" t="n"/>
      <c r="BT540" s="34" t="n"/>
      <c r="BU540" s="34" t="n"/>
      <c r="BV540" s="34" t="n"/>
      <c r="BW540" s="34" t="n"/>
      <c r="BX540" s="34" t="n"/>
      <c r="BY540" s="34" t="n"/>
      <c r="BZ540" s="34" t="n"/>
      <c r="CA540" s="34" t="n"/>
      <c r="CB540" s="33" t="n"/>
      <c r="CC540" s="34" t="n"/>
      <c r="CD540" s="34" t="n"/>
      <c r="CE540" s="82" t="n"/>
      <c r="CF540" s="34" t="n"/>
      <c r="CG540" s="34" t="n"/>
      <c r="CH540" s="34" t="n"/>
      <c r="CI540" s="34" t="n"/>
      <c r="CJ540" s="34" t="n"/>
    </row>
    <row r="541">
      <c r="A541" s="29" t="n"/>
      <c r="B541" s="29" t="n"/>
      <c r="C541" s="35" t="n"/>
      <c r="D541" s="36" t="n"/>
      <c r="E541" s="147" t="n"/>
      <c r="F541" s="30" t="n"/>
      <c r="G541" s="30" t="n"/>
      <c r="H541" s="30" t="n"/>
      <c r="I541" s="30" t="n"/>
      <c r="J541" s="119" t="n"/>
      <c r="K541" s="34" t="n"/>
      <c r="L541" s="119" t="n"/>
      <c r="M541" s="34" t="n"/>
      <c r="N541" s="119" t="n"/>
      <c r="O541" s="34" t="n"/>
      <c r="P541" s="34" t="n"/>
      <c r="Q541" s="117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  <c r="AA541" s="34" t="n"/>
      <c r="AB541" s="34" t="n"/>
      <c r="AC541" s="34" t="n"/>
      <c r="AD541" s="34" t="n"/>
      <c r="AE541" s="34" t="n"/>
      <c r="AF541" s="34" t="n"/>
      <c r="AG541" s="34" t="n"/>
      <c r="AH541" s="34" t="n"/>
      <c r="AK541" s="34" t="n"/>
      <c r="AL541" s="34" t="n"/>
      <c r="AM541" s="39" t="n"/>
      <c r="AN541" s="34" t="n"/>
      <c r="AO541" s="34" t="n"/>
      <c r="AP541" s="34" t="n"/>
      <c r="AQ541" s="34" t="n"/>
      <c r="AR541" s="34" t="n"/>
      <c r="AS541" s="34" t="n"/>
      <c r="AU541" s="34" t="n"/>
      <c r="AV541" s="34" t="n"/>
      <c r="AW541" s="34" t="n"/>
      <c r="AX541" s="34" t="n"/>
      <c r="AY541" s="34" t="n"/>
      <c r="AZ541" s="34" t="n"/>
      <c r="BA541" s="34" t="n"/>
      <c r="BB541" s="34" t="n"/>
      <c r="BC541" s="34" t="n"/>
      <c r="BD541" s="34" t="n"/>
      <c r="BE541" s="34" t="n"/>
      <c r="BF541" s="34" t="n"/>
      <c r="BG541" s="34" t="n"/>
      <c r="BH541" s="34" t="n"/>
      <c r="BI541" s="34" t="n"/>
      <c r="BJ541" s="34" t="n"/>
      <c r="BK541" s="34" t="n"/>
      <c r="BL541" s="34" t="n"/>
      <c r="BM541" s="34" t="n"/>
      <c r="BN541" s="34" t="n"/>
      <c r="BO541" s="34" t="n"/>
      <c r="BP541" s="34" t="n"/>
      <c r="BQ541" s="34" t="n"/>
      <c r="BR541" s="82" t="n"/>
      <c r="BS541" s="34" t="n"/>
      <c r="BT541" s="34" t="n"/>
      <c r="BU541" s="34" t="n"/>
      <c r="BV541" s="34" t="n"/>
      <c r="BW541" s="34" t="n"/>
      <c r="BX541" s="34" t="n"/>
      <c r="BY541" s="34" t="n"/>
      <c r="BZ541" s="34" t="n"/>
      <c r="CA541" s="34" t="n"/>
      <c r="CB541" s="33" t="n"/>
      <c r="CC541" s="34" t="n"/>
      <c r="CD541" s="34" t="n"/>
      <c r="CE541" s="82" t="n"/>
      <c r="CF541" s="34" t="n"/>
      <c r="CG541" s="34" t="n"/>
      <c r="CH541" s="34" t="n"/>
      <c r="CI541" s="34" t="n"/>
      <c r="CJ541" s="34" t="n"/>
    </row>
    <row r="542">
      <c r="A542" s="29" t="n"/>
      <c r="B542" s="29" t="n"/>
      <c r="C542" s="35" t="n"/>
      <c r="D542" s="36" t="n"/>
      <c r="E542" s="147" t="n"/>
      <c r="F542" s="30" t="n"/>
      <c r="G542" s="30" t="n"/>
      <c r="H542" s="30" t="n"/>
      <c r="I542" s="30" t="n"/>
      <c r="J542" s="119" t="n"/>
      <c r="K542" s="34" t="n"/>
      <c r="L542" s="119" t="n"/>
      <c r="M542" s="34" t="n"/>
      <c r="N542" s="119" t="n"/>
      <c r="O542" s="34" t="n"/>
      <c r="P542" s="34" t="n"/>
      <c r="Q542" s="117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  <c r="AA542" s="34" t="n"/>
      <c r="AB542" s="34" t="n"/>
      <c r="AC542" s="34" t="n"/>
      <c r="AD542" s="34" t="n"/>
      <c r="AE542" s="34" t="n"/>
      <c r="AF542" s="34" t="n"/>
      <c r="AG542" s="34" t="n"/>
      <c r="AH542" s="34" t="n"/>
      <c r="AK542" s="34" t="n"/>
      <c r="AL542" s="34" t="n"/>
      <c r="AM542" s="39" t="n"/>
      <c r="AN542" s="34" t="n"/>
      <c r="AO542" s="34" t="n"/>
      <c r="AP542" s="34" t="n"/>
      <c r="AQ542" s="34" t="n"/>
      <c r="AR542" s="34" t="n"/>
      <c r="AS542" s="34" t="n"/>
      <c r="AU542" s="34" t="n"/>
      <c r="AV542" s="34" t="n"/>
      <c r="AW542" s="34" t="n"/>
      <c r="AX542" s="34" t="n"/>
      <c r="AY542" s="34" t="n"/>
      <c r="AZ542" s="34" t="n"/>
      <c r="BA542" s="34" t="n"/>
      <c r="BB542" s="34" t="n"/>
      <c r="BC542" s="34" t="n"/>
      <c r="BD542" s="34" t="n"/>
      <c r="BE542" s="34" t="n"/>
      <c r="BF542" s="34" t="n"/>
      <c r="BG542" s="34" t="n"/>
      <c r="BH542" s="34" t="n"/>
      <c r="BI542" s="34" t="n"/>
      <c r="BJ542" s="34" t="n"/>
      <c r="BK542" s="34" t="n"/>
      <c r="BL542" s="34" t="n"/>
      <c r="BM542" s="34" t="n"/>
      <c r="BN542" s="34" t="n"/>
      <c r="BO542" s="34" t="n"/>
      <c r="BP542" s="34" t="n"/>
      <c r="BQ542" s="34" t="n"/>
      <c r="BR542" s="82" t="n"/>
      <c r="BS542" s="34" t="n"/>
      <c r="BT542" s="34" t="n"/>
      <c r="BU542" s="34" t="n"/>
      <c r="BV542" s="34" t="n"/>
      <c r="BW542" s="34" t="n"/>
      <c r="BX542" s="34" t="n"/>
      <c r="BY542" s="34" t="n"/>
      <c r="BZ542" s="34" t="n"/>
      <c r="CA542" s="34" t="n"/>
      <c r="CB542" s="33" t="n"/>
      <c r="CC542" s="34" t="n"/>
      <c r="CD542" s="34" t="n"/>
      <c r="CE542" s="82" t="n"/>
      <c r="CF542" s="34" t="n"/>
      <c r="CG542" s="34" t="n"/>
      <c r="CH542" s="34" t="n"/>
      <c r="CI542" s="34" t="n"/>
      <c r="CJ542" s="34" t="n"/>
    </row>
    <row r="543">
      <c r="A543" s="29" t="n"/>
      <c r="B543" s="29" t="n"/>
      <c r="C543" s="35" t="n"/>
      <c r="D543" s="36" t="n"/>
      <c r="E543" s="147" t="n"/>
      <c r="F543" s="30" t="n"/>
      <c r="G543" s="30" t="n"/>
      <c r="H543" s="30" t="n"/>
      <c r="I543" s="30" t="n"/>
      <c r="J543" s="119" t="n"/>
      <c r="K543" s="34" t="n"/>
      <c r="L543" s="119" t="n"/>
      <c r="M543" s="34" t="n"/>
      <c r="N543" s="119" t="n"/>
      <c r="O543" s="34" t="n"/>
      <c r="P543" s="34" t="n"/>
      <c r="Q543" s="117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  <c r="AA543" s="34" t="n"/>
      <c r="AB543" s="34" t="n"/>
      <c r="AC543" s="34" t="n"/>
      <c r="AD543" s="34" t="n"/>
      <c r="AE543" s="34" t="n"/>
      <c r="AF543" s="34" t="n"/>
      <c r="AG543" s="34" t="n"/>
      <c r="AH543" s="34" t="n"/>
      <c r="AK543" s="34" t="n"/>
      <c r="AL543" s="34" t="n"/>
      <c r="AM543" s="39" t="n"/>
      <c r="AN543" s="34" t="n"/>
      <c r="AO543" s="34" t="n"/>
      <c r="AP543" s="34" t="n"/>
      <c r="AQ543" s="34" t="n"/>
      <c r="AR543" s="34" t="n"/>
      <c r="AS543" s="34" t="n"/>
      <c r="AU543" s="34" t="n"/>
      <c r="AV543" s="34" t="n"/>
      <c r="AW543" s="34" t="n"/>
      <c r="AX543" s="34" t="n"/>
      <c r="AY543" s="34" t="n"/>
      <c r="AZ543" s="34" t="n"/>
      <c r="BA543" s="34" t="n"/>
      <c r="BB543" s="34" t="n"/>
      <c r="BC543" s="34" t="n"/>
      <c r="BD543" s="34" t="n"/>
      <c r="BE543" s="34" t="n"/>
      <c r="BF543" s="34" t="n"/>
      <c r="BG543" s="34" t="n"/>
      <c r="BH543" s="34" t="n"/>
      <c r="BI543" s="34" t="n"/>
      <c r="BJ543" s="34" t="n"/>
      <c r="BK543" s="34" t="n"/>
      <c r="BL543" s="34" t="n"/>
      <c r="BM543" s="34" t="n"/>
      <c r="BN543" s="34" t="n"/>
      <c r="BO543" s="34" t="n"/>
      <c r="BP543" s="34" t="n"/>
      <c r="BQ543" s="34" t="n"/>
      <c r="BR543" s="82" t="n"/>
      <c r="BS543" s="34" t="n"/>
      <c r="BT543" s="34" t="n"/>
      <c r="BU543" s="34" t="n"/>
      <c r="BV543" s="34" t="n"/>
      <c r="BW543" s="34" t="n"/>
      <c r="BX543" s="34" t="n"/>
      <c r="BY543" s="34" t="n"/>
      <c r="BZ543" s="34" t="n"/>
      <c r="CA543" s="34" t="n"/>
      <c r="CB543" s="33" t="n"/>
      <c r="CC543" s="34" t="n"/>
      <c r="CD543" s="34" t="n"/>
      <c r="CE543" s="82" t="n"/>
      <c r="CF543" s="34" t="n"/>
      <c r="CG543" s="34" t="n"/>
      <c r="CH543" s="34" t="n"/>
      <c r="CI543" s="34" t="n"/>
      <c r="CJ543" s="34" t="n"/>
    </row>
    <row r="544">
      <c r="A544" s="29" t="n"/>
      <c r="B544" s="29" t="n"/>
      <c r="C544" s="35" t="n"/>
      <c r="D544" s="36" t="n"/>
      <c r="E544" s="147" t="n"/>
      <c r="F544" s="30" t="n"/>
      <c r="G544" s="30" t="n"/>
      <c r="H544" s="30" t="n"/>
      <c r="I544" s="30" t="n"/>
      <c r="J544" s="119" t="n"/>
      <c r="K544" s="34" t="n"/>
      <c r="L544" s="119" t="n"/>
      <c r="M544" s="34" t="n"/>
      <c r="N544" s="119" t="n"/>
      <c r="O544" s="34" t="n"/>
      <c r="P544" s="34" t="n"/>
      <c r="Q544" s="117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  <c r="AA544" s="34" t="n"/>
      <c r="AB544" s="34" t="n"/>
      <c r="AC544" s="34" t="n"/>
      <c r="AD544" s="34" t="n"/>
      <c r="AE544" s="34" t="n"/>
      <c r="AF544" s="34" t="n"/>
      <c r="AG544" s="34" t="n"/>
      <c r="AH544" s="34" t="n"/>
      <c r="AK544" s="34" t="n"/>
      <c r="AL544" s="34" t="n"/>
      <c r="AM544" s="39" t="n"/>
      <c r="AN544" s="34" t="n"/>
      <c r="AO544" s="34" t="n"/>
      <c r="AP544" s="34" t="n"/>
      <c r="AQ544" s="34" t="n"/>
      <c r="AR544" s="34" t="n"/>
      <c r="AS544" s="34" t="n"/>
      <c r="AU544" s="34" t="n"/>
      <c r="AV544" s="34" t="n"/>
      <c r="AW544" s="34" t="n"/>
      <c r="AX544" s="34" t="n"/>
      <c r="AY544" s="34" t="n"/>
      <c r="AZ544" s="34" t="n"/>
      <c r="BA544" s="34" t="n"/>
      <c r="BB544" s="34" t="n"/>
      <c r="BC544" s="34" t="n"/>
      <c r="BD544" s="34" t="n"/>
      <c r="BE544" s="34" t="n"/>
      <c r="BF544" s="34" t="n"/>
      <c r="BG544" s="34" t="n"/>
      <c r="BH544" s="34" t="n"/>
      <c r="BI544" s="34" t="n"/>
      <c r="BJ544" s="34" t="n"/>
      <c r="BK544" s="34" t="n"/>
      <c r="BL544" s="34" t="n"/>
      <c r="BM544" s="34" t="n"/>
      <c r="BN544" s="34" t="n"/>
      <c r="BO544" s="34" t="n"/>
      <c r="BP544" s="34" t="n"/>
      <c r="BQ544" s="34" t="n"/>
      <c r="BR544" s="82" t="n"/>
      <c r="BS544" s="34" t="n"/>
      <c r="BT544" s="34" t="n"/>
      <c r="BU544" s="34" t="n"/>
      <c r="BV544" s="34" t="n"/>
      <c r="BW544" s="34" t="n"/>
      <c r="BX544" s="34" t="n"/>
      <c r="BY544" s="34" t="n"/>
      <c r="BZ544" s="34" t="n"/>
      <c r="CA544" s="34" t="n"/>
      <c r="CB544" s="33" t="n"/>
      <c r="CC544" s="34" t="n"/>
      <c r="CD544" s="34" t="n"/>
      <c r="CE544" s="82" t="n"/>
      <c r="CF544" s="34" t="n"/>
      <c r="CG544" s="34" t="n"/>
      <c r="CH544" s="34" t="n"/>
      <c r="CI544" s="34" t="n"/>
      <c r="CJ544" s="34" t="n"/>
    </row>
    <row r="545">
      <c r="A545" s="29" t="n"/>
      <c r="B545" s="29" t="n"/>
      <c r="C545" s="35" t="n"/>
      <c r="D545" s="36" t="n"/>
      <c r="E545" s="147" t="n"/>
      <c r="F545" s="30" t="n"/>
      <c r="G545" s="30" t="n"/>
      <c r="H545" s="30" t="n"/>
      <c r="I545" s="30" t="n"/>
      <c r="J545" s="119" t="n"/>
      <c r="K545" s="34" t="n"/>
      <c r="L545" s="119" t="n"/>
      <c r="M545" s="34" t="n"/>
      <c r="N545" s="119" t="n"/>
      <c r="O545" s="34" t="n"/>
      <c r="P545" s="34" t="n"/>
      <c r="Q545" s="117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  <c r="AA545" s="34" t="n"/>
      <c r="AB545" s="34" t="n"/>
      <c r="AC545" s="34" t="n"/>
      <c r="AD545" s="34" t="n"/>
      <c r="AE545" s="34" t="n"/>
      <c r="AF545" s="34" t="n"/>
      <c r="AG545" s="34" t="n"/>
      <c r="AH545" s="34" t="n"/>
      <c r="AK545" s="34" t="n"/>
      <c r="AL545" s="34" t="n"/>
      <c r="AM545" s="39" t="n"/>
      <c r="AN545" s="34" t="n"/>
      <c r="AO545" s="34" t="n"/>
      <c r="AP545" s="34" t="n"/>
      <c r="AQ545" s="34" t="n"/>
      <c r="AR545" s="34" t="n"/>
      <c r="AS545" s="34" t="n"/>
      <c r="AU545" s="34" t="n"/>
      <c r="AV545" s="34" t="n"/>
      <c r="AW545" s="34" t="n"/>
      <c r="AX545" s="34" t="n"/>
      <c r="AY545" s="34" t="n"/>
      <c r="AZ545" s="34" t="n"/>
      <c r="BA545" s="34" t="n"/>
      <c r="BB545" s="34" t="n"/>
      <c r="BC545" s="34" t="n"/>
      <c r="BD545" s="34" t="n"/>
      <c r="BE545" s="34" t="n"/>
      <c r="BF545" s="34" t="n"/>
      <c r="BG545" s="34" t="n"/>
      <c r="BH545" s="34" t="n"/>
      <c r="BI545" s="34" t="n"/>
      <c r="BJ545" s="34" t="n"/>
      <c r="BK545" s="34" t="n"/>
      <c r="BL545" s="34" t="n"/>
      <c r="BM545" s="34" t="n"/>
      <c r="BN545" s="34" t="n"/>
      <c r="BO545" s="34" t="n"/>
      <c r="BP545" s="34" t="n"/>
      <c r="BQ545" s="34" t="n"/>
      <c r="BR545" s="82" t="n"/>
      <c r="BS545" s="34" t="n"/>
      <c r="BT545" s="34" t="n"/>
      <c r="BU545" s="34" t="n"/>
      <c r="BV545" s="34" t="n"/>
      <c r="BW545" s="34" t="n"/>
      <c r="BX545" s="34" t="n"/>
      <c r="BY545" s="34" t="n"/>
      <c r="BZ545" s="34" t="n"/>
      <c r="CA545" s="34" t="n"/>
      <c r="CB545" s="33" t="n"/>
      <c r="CC545" s="34" t="n"/>
      <c r="CD545" s="34" t="n"/>
      <c r="CE545" s="82" t="n"/>
      <c r="CF545" s="34" t="n"/>
      <c r="CG545" s="34" t="n"/>
      <c r="CH545" s="34" t="n"/>
      <c r="CI545" s="34" t="n"/>
      <c r="CJ545" s="34" t="n"/>
    </row>
    <row r="546">
      <c r="A546" s="29" t="n"/>
      <c r="B546" s="29" t="n"/>
      <c r="C546" s="35" t="n"/>
      <c r="D546" s="36" t="n"/>
      <c r="E546" s="147" t="n"/>
      <c r="F546" s="30" t="n"/>
      <c r="G546" s="30" t="n"/>
      <c r="H546" s="30" t="n"/>
      <c r="I546" s="30" t="n"/>
      <c r="J546" s="119" t="n"/>
      <c r="K546" s="34" t="n"/>
      <c r="L546" s="119" t="n"/>
      <c r="M546" s="34" t="n"/>
      <c r="N546" s="119" t="n"/>
      <c r="O546" s="34" t="n"/>
      <c r="P546" s="34" t="n"/>
      <c r="Q546" s="117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  <c r="AA546" s="34" t="n"/>
      <c r="AB546" s="34" t="n"/>
      <c r="AC546" s="34" t="n"/>
      <c r="AD546" s="34" t="n"/>
      <c r="AE546" s="34" t="n"/>
      <c r="AF546" s="34" t="n"/>
      <c r="AG546" s="34" t="n"/>
      <c r="AH546" s="34" t="n"/>
      <c r="AK546" s="34" t="n"/>
      <c r="AL546" s="34" t="n"/>
      <c r="AM546" s="39" t="n"/>
      <c r="AN546" s="34" t="n"/>
      <c r="AO546" s="34" t="n"/>
      <c r="AP546" s="34" t="n"/>
      <c r="AQ546" s="34" t="n"/>
      <c r="AR546" s="34" t="n"/>
      <c r="AS546" s="34" t="n"/>
      <c r="AU546" s="34" t="n"/>
      <c r="AV546" s="34" t="n"/>
      <c r="AW546" s="34" t="n"/>
      <c r="AX546" s="34" t="n"/>
      <c r="AY546" s="34" t="n"/>
      <c r="AZ546" s="34" t="n"/>
      <c r="BA546" s="34" t="n"/>
      <c r="BB546" s="34" t="n"/>
      <c r="BC546" s="34" t="n"/>
      <c r="BD546" s="34" t="n"/>
      <c r="BE546" s="34" t="n"/>
      <c r="BF546" s="34" t="n"/>
      <c r="BG546" s="34" t="n"/>
      <c r="BH546" s="34" t="n"/>
      <c r="BI546" s="34" t="n"/>
      <c r="BJ546" s="34" t="n"/>
      <c r="BK546" s="34" t="n"/>
      <c r="BL546" s="34" t="n"/>
      <c r="BM546" s="34" t="n"/>
      <c r="BN546" s="34" t="n"/>
      <c r="BO546" s="34" t="n"/>
      <c r="BP546" s="34" t="n"/>
      <c r="BQ546" s="34" t="n"/>
      <c r="BR546" s="82" t="n"/>
      <c r="BS546" s="34" t="n"/>
      <c r="BT546" s="34" t="n"/>
      <c r="BU546" s="34" t="n"/>
      <c r="BV546" s="34" t="n"/>
      <c r="BW546" s="34" t="n"/>
      <c r="BX546" s="34" t="n"/>
      <c r="BY546" s="34" t="n"/>
      <c r="BZ546" s="34" t="n"/>
      <c r="CA546" s="34" t="n"/>
      <c r="CB546" s="33" t="n"/>
      <c r="CC546" s="34" t="n"/>
      <c r="CD546" s="34" t="n"/>
      <c r="CE546" s="82" t="n"/>
      <c r="CF546" s="34" t="n"/>
      <c r="CG546" s="34" t="n"/>
      <c r="CH546" s="34" t="n"/>
      <c r="CI546" s="34" t="n"/>
      <c r="CJ546" s="34" t="n"/>
    </row>
    <row r="547">
      <c r="A547" s="29" t="n"/>
      <c r="B547" s="29" t="n"/>
      <c r="C547" s="35" t="n"/>
      <c r="D547" s="36" t="n"/>
      <c r="E547" s="147" t="n"/>
      <c r="F547" s="30" t="n"/>
      <c r="G547" s="30" t="n"/>
      <c r="H547" s="30" t="n"/>
      <c r="I547" s="30" t="n"/>
      <c r="J547" s="119" t="n"/>
      <c r="K547" s="34" t="n"/>
      <c r="L547" s="119" t="n"/>
      <c r="M547" s="34" t="n"/>
      <c r="N547" s="119" t="n"/>
      <c r="O547" s="34" t="n"/>
      <c r="P547" s="34" t="n"/>
      <c r="Q547" s="117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  <c r="AA547" s="34" t="n"/>
      <c r="AB547" s="34" t="n"/>
      <c r="AC547" s="34" t="n"/>
      <c r="AD547" s="34" t="n"/>
      <c r="AE547" s="34" t="n"/>
      <c r="AF547" s="34" t="n"/>
      <c r="AG547" s="34" t="n"/>
      <c r="AH547" s="34" t="n"/>
      <c r="AK547" s="34" t="n"/>
      <c r="AL547" s="34" t="n"/>
      <c r="AM547" s="39" t="n"/>
      <c r="AN547" s="34" t="n"/>
      <c r="AO547" s="34" t="n"/>
      <c r="AP547" s="34" t="n"/>
      <c r="AQ547" s="34" t="n"/>
      <c r="AR547" s="34" t="n"/>
      <c r="AS547" s="34" t="n"/>
      <c r="AU547" s="34" t="n"/>
      <c r="AV547" s="34" t="n"/>
      <c r="AW547" s="34" t="n"/>
      <c r="AX547" s="34" t="n"/>
      <c r="AY547" s="34" t="n"/>
      <c r="AZ547" s="34" t="n"/>
      <c r="BA547" s="34" t="n"/>
      <c r="BB547" s="34" t="n"/>
      <c r="BC547" s="34" t="n"/>
      <c r="BD547" s="34" t="n"/>
      <c r="BE547" s="34" t="n"/>
      <c r="BF547" s="34" t="n"/>
      <c r="BG547" s="34" t="n"/>
      <c r="BH547" s="34" t="n"/>
      <c r="BI547" s="34" t="n"/>
      <c r="BJ547" s="34" t="n"/>
      <c r="BK547" s="34" t="n"/>
      <c r="BL547" s="34" t="n"/>
      <c r="BM547" s="34" t="n"/>
      <c r="BN547" s="34" t="n"/>
      <c r="BO547" s="34" t="n"/>
      <c r="BP547" s="34" t="n"/>
      <c r="BQ547" s="34" t="n"/>
      <c r="BR547" s="82" t="n"/>
      <c r="BS547" s="34" t="n"/>
      <c r="BT547" s="34" t="n"/>
      <c r="BU547" s="34" t="n"/>
      <c r="BV547" s="34" t="n"/>
      <c r="BW547" s="34" t="n"/>
      <c r="BX547" s="34" t="n"/>
      <c r="BY547" s="34" t="n"/>
      <c r="BZ547" s="34" t="n"/>
      <c r="CA547" s="34" t="n"/>
      <c r="CB547" s="33" t="n"/>
      <c r="CC547" s="34" t="n"/>
      <c r="CD547" s="34" t="n"/>
      <c r="CE547" s="82" t="n"/>
      <c r="CF547" s="34" t="n"/>
      <c r="CG547" s="34" t="n"/>
      <c r="CH547" s="34" t="n"/>
      <c r="CI547" s="34" t="n"/>
      <c r="CJ547" s="34" t="n"/>
    </row>
    <row r="548">
      <c r="A548" s="29" t="n"/>
      <c r="B548" s="29" t="n"/>
      <c r="C548" s="35" t="n"/>
      <c r="D548" s="36" t="n"/>
      <c r="E548" s="147" t="n"/>
      <c r="F548" s="30" t="n"/>
      <c r="G548" s="30" t="n"/>
      <c r="H548" s="30" t="n"/>
      <c r="I548" s="30" t="n"/>
      <c r="J548" s="119" t="n"/>
      <c r="K548" s="34" t="n"/>
      <c r="L548" s="119" t="n"/>
      <c r="M548" s="34" t="n"/>
      <c r="N548" s="119" t="n"/>
      <c r="O548" s="34" t="n"/>
      <c r="P548" s="34" t="n"/>
      <c r="Q548" s="117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  <c r="AA548" s="34" t="n"/>
      <c r="AB548" s="34" t="n"/>
      <c r="AC548" s="34" t="n"/>
      <c r="AD548" s="34" t="n"/>
      <c r="AE548" s="34" t="n"/>
      <c r="AF548" s="34" t="n"/>
      <c r="AG548" s="34" t="n"/>
      <c r="AH548" s="34" t="n"/>
      <c r="AK548" s="34" t="n"/>
      <c r="AL548" s="34" t="n"/>
      <c r="AM548" s="39" t="n"/>
      <c r="AN548" s="34" t="n"/>
      <c r="AO548" s="34" t="n"/>
      <c r="AP548" s="34" t="n"/>
      <c r="AQ548" s="34" t="n"/>
      <c r="AR548" s="34" t="n"/>
      <c r="AS548" s="34" t="n"/>
      <c r="AU548" s="34" t="n"/>
      <c r="AV548" s="34" t="n"/>
      <c r="AW548" s="34" t="n"/>
      <c r="AX548" s="34" t="n"/>
      <c r="AY548" s="34" t="n"/>
      <c r="AZ548" s="34" t="n"/>
      <c r="BA548" s="34" t="n"/>
      <c r="BB548" s="34" t="n"/>
      <c r="BC548" s="34" t="n"/>
      <c r="BD548" s="34" t="n"/>
      <c r="BE548" s="34" t="n"/>
      <c r="BF548" s="34" t="n"/>
      <c r="BG548" s="34" t="n"/>
      <c r="BH548" s="34" t="n"/>
      <c r="BI548" s="34" t="n"/>
      <c r="BJ548" s="34" t="n"/>
      <c r="BK548" s="34" t="n"/>
      <c r="BL548" s="34" t="n"/>
      <c r="BM548" s="34" t="n"/>
      <c r="BN548" s="34" t="n"/>
      <c r="BO548" s="34" t="n"/>
      <c r="BP548" s="34" t="n"/>
      <c r="BQ548" s="34" t="n"/>
      <c r="BR548" s="82" t="n"/>
      <c r="BS548" s="34" t="n"/>
      <c r="BT548" s="34" t="n"/>
      <c r="BU548" s="34" t="n"/>
      <c r="BV548" s="34" t="n"/>
      <c r="BW548" s="34" t="n"/>
      <c r="BX548" s="34" t="n"/>
      <c r="BY548" s="34" t="n"/>
      <c r="BZ548" s="34" t="n"/>
      <c r="CA548" s="34" t="n"/>
      <c r="CB548" s="33" t="n"/>
      <c r="CC548" s="34" t="n"/>
      <c r="CD548" s="34" t="n"/>
      <c r="CE548" s="82" t="n"/>
      <c r="CF548" s="34" t="n"/>
      <c r="CG548" s="34" t="n"/>
      <c r="CH548" s="34" t="n"/>
      <c r="CI548" s="34" t="n"/>
      <c r="CJ548" s="34" t="n"/>
    </row>
    <row r="549">
      <c r="A549" s="29" t="n"/>
      <c r="B549" s="29" t="n"/>
      <c r="C549" s="35" t="n"/>
      <c r="D549" s="36" t="n"/>
      <c r="E549" s="147" t="n"/>
      <c r="F549" s="30" t="n"/>
      <c r="G549" s="30" t="n"/>
      <c r="H549" s="30" t="n"/>
      <c r="I549" s="30" t="n"/>
      <c r="J549" s="119" t="n"/>
      <c r="K549" s="34" t="n"/>
      <c r="L549" s="119" t="n"/>
      <c r="M549" s="34" t="n"/>
      <c r="N549" s="119" t="n"/>
      <c r="O549" s="34" t="n"/>
      <c r="P549" s="34" t="n"/>
      <c r="Q549" s="117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  <c r="AA549" s="34" t="n"/>
      <c r="AB549" s="34" t="n"/>
      <c r="AC549" s="34" t="n"/>
      <c r="AD549" s="34" t="n"/>
      <c r="AE549" s="34" t="n"/>
      <c r="AF549" s="34" t="n"/>
      <c r="AG549" s="34" t="n"/>
      <c r="AH549" s="34" t="n"/>
      <c r="AK549" s="34" t="n"/>
      <c r="AL549" s="34" t="n"/>
      <c r="AM549" s="39" t="n"/>
      <c r="AN549" s="34" t="n"/>
      <c r="AO549" s="34" t="n"/>
      <c r="AP549" s="34" t="n"/>
      <c r="AQ549" s="34" t="n"/>
      <c r="AR549" s="34" t="n"/>
      <c r="AS549" s="34" t="n"/>
      <c r="AU549" s="34" t="n"/>
      <c r="AV549" s="34" t="n"/>
      <c r="AW549" s="34" t="n"/>
      <c r="AX549" s="34" t="n"/>
      <c r="AY549" s="34" t="n"/>
      <c r="AZ549" s="34" t="n"/>
      <c r="BA549" s="34" t="n"/>
      <c r="BB549" s="34" t="n"/>
      <c r="BC549" s="34" t="n"/>
      <c r="BD549" s="34" t="n"/>
      <c r="BE549" s="34" t="n"/>
      <c r="BF549" s="34" t="n"/>
      <c r="BG549" s="34" t="n"/>
      <c r="BH549" s="34" t="n"/>
      <c r="BI549" s="34" t="n"/>
      <c r="BJ549" s="34" t="n"/>
      <c r="BK549" s="34" t="n"/>
      <c r="BL549" s="34" t="n"/>
      <c r="BM549" s="34" t="n"/>
      <c r="BN549" s="34" t="n"/>
      <c r="BO549" s="34" t="n"/>
      <c r="BP549" s="34" t="n"/>
      <c r="BQ549" s="34" t="n"/>
      <c r="BR549" s="82" t="n"/>
      <c r="BS549" s="34" t="n"/>
      <c r="BT549" s="34" t="n"/>
      <c r="BU549" s="34" t="n"/>
      <c r="BV549" s="34" t="n"/>
      <c r="BW549" s="34" t="n"/>
      <c r="BX549" s="34" t="n"/>
      <c r="BY549" s="34" t="n"/>
      <c r="BZ549" s="34" t="n"/>
      <c r="CA549" s="34" t="n"/>
      <c r="CB549" s="33" t="n"/>
      <c r="CC549" s="34" t="n"/>
      <c r="CD549" s="34" t="n"/>
      <c r="CE549" s="82" t="n"/>
      <c r="CF549" s="34" t="n"/>
      <c r="CG549" s="34" t="n"/>
      <c r="CH549" s="34" t="n"/>
      <c r="CI549" s="34" t="n"/>
      <c r="CJ549" s="34" t="n"/>
    </row>
    <row r="550">
      <c r="A550" s="29" t="n"/>
      <c r="B550" s="29" t="n"/>
      <c r="C550" s="35" t="n"/>
      <c r="D550" s="36" t="n"/>
      <c r="E550" s="147" t="n"/>
      <c r="F550" s="30" t="n"/>
      <c r="G550" s="30" t="n"/>
      <c r="H550" s="30" t="n"/>
      <c r="I550" s="30" t="n"/>
      <c r="J550" s="119" t="n"/>
      <c r="K550" s="34" t="n"/>
      <c r="L550" s="119" t="n"/>
      <c r="M550" s="34" t="n"/>
      <c r="N550" s="119" t="n"/>
      <c r="O550" s="34" t="n"/>
      <c r="P550" s="34" t="n"/>
      <c r="Q550" s="117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  <c r="AA550" s="34" t="n"/>
      <c r="AB550" s="34" t="n"/>
      <c r="AC550" s="34" t="n"/>
      <c r="AD550" s="34" t="n"/>
      <c r="AE550" s="34" t="n"/>
      <c r="AF550" s="34" t="n"/>
      <c r="AG550" s="34" t="n"/>
      <c r="AH550" s="34" t="n"/>
      <c r="AK550" s="34" t="n"/>
      <c r="AL550" s="34" t="n"/>
      <c r="AM550" s="39" t="n"/>
      <c r="AN550" s="34" t="n"/>
      <c r="AO550" s="34" t="n"/>
      <c r="AP550" s="34" t="n"/>
      <c r="AQ550" s="34" t="n"/>
      <c r="AR550" s="34" t="n"/>
      <c r="AS550" s="34" t="n"/>
      <c r="AU550" s="34" t="n"/>
      <c r="AV550" s="34" t="n"/>
      <c r="AW550" s="34" t="n"/>
      <c r="AX550" s="34" t="n"/>
      <c r="AY550" s="34" t="n"/>
      <c r="AZ550" s="34" t="n"/>
      <c r="BA550" s="34" t="n"/>
      <c r="BB550" s="34" t="n"/>
      <c r="BC550" s="34" t="n"/>
      <c r="BD550" s="34" t="n"/>
      <c r="BE550" s="34" t="n"/>
      <c r="BF550" s="34" t="n"/>
      <c r="BG550" s="34" t="n"/>
      <c r="BH550" s="34" t="n"/>
      <c r="BI550" s="34" t="n"/>
      <c r="BJ550" s="34" t="n"/>
      <c r="BK550" s="34" t="n"/>
      <c r="BL550" s="34" t="n"/>
      <c r="BM550" s="34" t="n"/>
      <c r="BN550" s="34" t="n"/>
      <c r="BO550" s="34" t="n"/>
      <c r="BP550" s="34" t="n"/>
      <c r="BQ550" s="34" t="n"/>
      <c r="BR550" s="82" t="n"/>
      <c r="BS550" s="34" t="n"/>
      <c r="BT550" s="34" t="n"/>
      <c r="BU550" s="34" t="n"/>
      <c r="BV550" s="34" t="n"/>
      <c r="BW550" s="34" t="n"/>
      <c r="BX550" s="34" t="n"/>
      <c r="BY550" s="34" t="n"/>
      <c r="BZ550" s="34" t="n"/>
      <c r="CA550" s="34" t="n"/>
      <c r="CB550" s="33" t="n"/>
      <c r="CC550" s="34" t="n"/>
      <c r="CD550" s="34" t="n"/>
      <c r="CE550" s="82" t="n"/>
      <c r="CF550" s="34" t="n"/>
      <c r="CG550" s="34" t="n"/>
      <c r="CH550" s="34" t="n"/>
      <c r="CI550" s="34" t="n"/>
      <c r="CJ550" s="34" t="n"/>
    </row>
    <row r="551">
      <c r="A551" s="29" t="n"/>
      <c r="B551" s="29" t="n"/>
      <c r="C551" s="35" t="n"/>
      <c r="D551" s="36" t="n"/>
      <c r="E551" s="147" t="n"/>
      <c r="F551" s="30" t="n"/>
      <c r="G551" s="30" t="n"/>
      <c r="H551" s="30" t="n"/>
      <c r="I551" s="30" t="n"/>
      <c r="J551" s="119" t="n"/>
      <c r="K551" s="34" t="n"/>
      <c r="L551" s="119" t="n"/>
      <c r="M551" s="34" t="n"/>
      <c r="N551" s="119" t="n"/>
      <c r="O551" s="34" t="n"/>
      <c r="P551" s="34" t="n"/>
      <c r="Q551" s="117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  <c r="AA551" s="34" t="n"/>
      <c r="AB551" s="34" t="n"/>
      <c r="AC551" s="34" t="n"/>
      <c r="AD551" s="34" t="n"/>
      <c r="AE551" s="34" t="n"/>
      <c r="AF551" s="34" t="n"/>
      <c r="AG551" s="34" t="n"/>
      <c r="AH551" s="34" t="n"/>
      <c r="AK551" s="34" t="n"/>
      <c r="AL551" s="34" t="n"/>
      <c r="AM551" s="39" t="n"/>
      <c r="AN551" s="34" t="n"/>
      <c r="AO551" s="34" t="n"/>
      <c r="AP551" s="34" t="n"/>
      <c r="AQ551" s="34" t="n"/>
      <c r="AR551" s="34" t="n"/>
      <c r="AS551" s="34" t="n"/>
      <c r="AU551" s="34" t="n"/>
      <c r="AV551" s="34" t="n"/>
      <c r="AW551" s="34" t="n"/>
      <c r="AX551" s="34" t="n"/>
      <c r="AY551" s="34" t="n"/>
      <c r="AZ551" s="34" t="n"/>
      <c r="BA551" s="34" t="n"/>
      <c r="BB551" s="34" t="n"/>
      <c r="BC551" s="34" t="n"/>
      <c r="BD551" s="34" t="n"/>
      <c r="BE551" s="34" t="n"/>
      <c r="BF551" s="34" t="n"/>
      <c r="BG551" s="34" t="n"/>
      <c r="BH551" s="34" t="n"/>
      <c r="BI551" s="34" t="n"/>
      <c r="BJ551" s="34" t="n"/>
      <c r="BK551" s="34" t="n"/>
      <c r="BL551" s="34" t="n"/>
      <c r="BM551" s="34" t="n"/>
      <c r="BN551" s="34" t="n"/>
      <c r="BO551" s="34" t="n"/>
      <c r="BP551" s="34" t="n"/>
      <c r="BQ551" s="34" t="n"/>
      <c r="BR551" s="82" t="n"/>
      <c r="BS551" s="34" t="n"/>
      <c r="BT551" s="34" t="n"/>
      <c r="BU551" s="34" t="n"/>
      <c r="BV551" s="34" t="n"/>
      <c r="BW551" s="34" t="n"/>
      <c r="BX551" s="34" t="n"/>
      <c r="BY551" s="34" t="n"/>
      <c r="BZ551" s="34" t="n"/>
      <c r="CA551" s="34" t="n"/>
      <c r="CB551" s="33" t="n"/>
      <c r="CC551" s="34" t="n"/>
      <c r="CD551" s="34" t="n"/>
      <c r="CE551" s="82" t="n"/>
      <c r="CF551" s="34" t="n"/>
      <c r="CG551" s="34" t="n"/>
      <c r="CH551" s="34" t="n"/>
      <c r="CI551" s="34" t="n"/>
      <c r="CJ551" s="34" t="n"/>
    </row>
    <row r="552">
      <c r="A552" s="29" t="n"/>
      <c r="B552" s="29" t="n"/>
      <c r="C552" s="35" t="n"/>
      <c r="D552" s="36" t="n"/>
      <c r="E552" s="147" t="n"/>
      <c r="F552" s="30" t="n"/>
      <c r="G552" s="30" t="n"/>
      <c r="H552" s="30" t="n"/>
      <c r="I552" s="30" t="n"/>
      <c r="J552" s="119" t="n"/>
      <c r="K552" s="34" t="n"/>
      <c r="L552" s="119" t="n"/>
      <c r="M552" s="34" t="n"/>
      <c r="N552" s="119" t="n"/>
      <c r="O552" s="34" t="n"/>
      <c r="P552" s="34" t="n"/>
      <c r="Q552" s="117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  <c r="AA552" s="34" t="n"/>
      <c r="AB552" s="34" t="n"/>
      <c r="AC552" s="34" t="n"/>
      <c r="AD552" s="34" t="n"/>
      <c r="AE552" s="34" t="n"/>
      <c r="AF552" s="34" t="n"/>
      <c r="AG552" s="34" t="n"/>
      <c r="AH552" s="34" t="n"/>
      <c r="AK552" s="34" t="n"/>
      <c r="AL552" s="34" t="n"/>
      <c r="AM552" s="39" t="n"/>
      <c r="AN552" s="34" t="n"/>
      <c r="AO552" s="34" t="n"/>
      <c r="AP552" s="34" t="n"/>
      <c r="AQ552" s="34" t="n"/>
      <c r="AR552" s="34" t="n"/>
      <c r="AS552" s="34" t="n"/>
      <c r="AU552" s="34" t="n"/>
      <c r="AV552" s="34" t="n"/>
      <c r="AW552" s="34" t="n"/>
      <c r="AX552" s="34" t="n"/>
      <c r="AY552" s="34" t="n"/>
      <c r="AZ552" s="34" t="n"/>
      <c r="BA552" s="34" t="n"/>
      <c r="BB552" s="34" t="n"/>
      <c r="BC552" s="34" t="n"/>
      <c r="BD552" s="34" t="n"/>
      <c r="BE552" s="34" t="n"/>
      <c r="BF552" s="34" t="n"/>
      <c r="BG552" s="34" t="n"/>
      <c r="BH552" s="34" t="n"/>
      <c r="BI552" s="34" t="n"/>
      <c r="BJ552" s="34" t="n"/>
      <c r="BK552" s="34" t="n"/>
      <c r="BL552" s="34" t="n"/>
      <c r="BM552" s="34" t="n"/>
      <c r="BN552" s="34" t="n"/>
      <c r="BO552" s="34" t="n"/>
      <c r="BP552" s="34" t="n"/>
      <c r="BQ552" s="34" t="n"/>
      <c r="BR552" s="82" t="n"/>
      <c r="BS552" s="34" t="n"/>
      <c r="BT552" s="34" t="n"/>
      <c r="BU552" s="34" t="n"/>
      <c r="BV552" s="34" t="n"/>
      <c r="BW552" s="34" t="n"/>
      <c r="BX552" s="34" t="n"/>
      <c r="BY552" s="34" t="n"/>
      <c r="BZ552" s="34" t="n"/>
      <c r="CA552" s="34" t="n"/>
      <c r="CB552" s="33" t="n"/>
      <c r="CC552" s="34" t="n"/>
      <c r="CD552" s="34" t="n"/>
      <c r="CE552" s="82" t="n"/>
      <c r="CF552" s="34" t="n"/>
      <c r="CG552" s="34" t="n"/>
      <c r="CH552" s="34" t="n"/>
      <c r="CI552" s="34" t="n"/>
      <c r="CJ552" s="34" t="n"/>
    </row>
    <row r="553">
      <c r="A553" s="29" t="n"/>
      <c r="B553" s="29" t="n"/>
      <c r="C553" s="35" t="n"/>
      <c r="D553" s="36" t="n"/>
      <c r="E553" s="147" t="n"/>
      <c r="F553" s="30" t="n"/>
      <c r="G553" s="30" t="n"/>
      <c r="H553" s="30" t="n"/>
      <c r="I553" s="30" t="n"/>
      <c r="J553" s="119" t="n"/>
      <c r="K553" s="34" t="n"/>
      <c r="L553" s="119" t="n"/>
      <c r="M553" s="34" t="n"/>
      <c r="N553" s="119" t="n"/>
      <c r="O553" s="34" t="n"/>
      <c r="P553" s="34" t="n"/>
      <c r="Q553" s="117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  <c r="AA553" s="34" t="n"/>
      <c r="AB553" s="34" t="n"/>
      <c r="AC553" s="34" t="n"/>
      <c r="AD553" s="34" t="n"/>
      <c r="AE553" s="34" t="n"/>
      <c r="AF553" s="34" t="n"/>
      <c r="AG553" s="34" t="n"/>
      <c r="AH553" s="34" t="n"/>
      <c r="AK553" s="34" t="n"/>
      <c r="AL553" s="34" t="n"/>
      <c r="AM553" s="39" t="n"/>
      <c r="AN553" s="34" t="n"/>
      <c r="AO553" s="34" t="n"/>
      <c r="AP553" s="34" t="n"/>
      <c r="AQ553" s="34" t="n"/>
      <c r="AR553" s="34" t="n"/>
      <c r="AS553" s="34" t="n"/>
      <c r="AU553" s="34" t="n"/>
      <c r="AV553" s="34" t="n"/>
      <c r="AW553" s="34" t="n"/>
      <c r="AX553" s="34" t="n"/>
      <c r="AY553" s="34" t="n"/>
      <c r="AZ553" s="34" t="n"/>
      <c r="BA553" s="34" t="n"/>
      <c r="BB553" s="34" t="n"/>
      <c r="BC553" s="34" t="n"/>
      <c r="BD553" s="34" t="n"/>
      <c r="BE553" s="34" t="n"/>
      <c r="BF553" s="34" t="n"/>
      <c r="BG553" s="34" t="n"/>
      <c r="BH553" s="34" t="n"/>
      <c r="BI553" s="34" t="n"/>
      <c r="BJ553" s="34" t="n"/>
      <c r="BK553" s="34" t="n"/>
      <c r="BL553" s="34" t="n"/>
      <c r="BM553" s="34" t="n"/>
      <c r="BN553" s="34" t="n"/>
      <c r="BO553" s="34" t="n"/>
      <c r="BP553" s="34" t="n"/>
      <c r="BQ553" s="34" t="n"/>
      <c r="BR553" s="82" t="n"/>
      <c r="BS553" s="34" t="n"/>
      <c r="BT553" s="34" t="n"/>
      <c r="BU553" s="34" t="n"/>
      <c r="BV553" s="34" t="n"/>
      <c r="BW553" s="34" t="n"/>
      <c r="BX553" s="34" t="n"/>
      <c r="BY553" s="34" t="n"/>
      <c r="BZ553" s="34" t="n"/>
      <c r="CA553" s="34" t="n"/>
      <c r="CB553" s="33" t="n"/>
      <c r="CC553" s="34" t="n"/>
      <c r="CD553" s="34" t="n"/>
      <c r="CE553" s="82" t="n"/>
      <c r="CF553" s="34" t="n"/>
      <c r="CG553" s="34" t="n"/>
      <c r="CH553" s="34" t="n"/>
      <c r="CI553" s="34" t="n"/>
      <c r="CJ553" s="34" t="n"/>
    </row>
    <row r="554">
      <c r="A554" s="29" t="n"/>
      <c r="B554" s="29" t="n"/>
      <c r="C554" s="35" t="n"/>
      <c r="D554" s="36" t="n"/>
      <c r="E554" s="147" t="n"/>
      <c r="F554" s="30" t="n"/>
      <c r="G554" s="30" t="n"/>
      <c r="H554" s="30" t="n"/>
      <c r="I554" s="30" t="n"/>
      <c r="J554" s="119" t="n"/>
      <c r="K554" s="34" t="n"/>
      <c r="L554" s="119" t="n"/>
      <c r="M554" s="34" t="n"/>
      <c r="N554" s="119" t="n"/>
      <c r="O554" s="34" t="n"/>
      <c r="P554" s="34" t="n"/>
      <c r="Q554" s="117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  <c r="AA554" s="34" t="n"/>
      <c r="AB554" s="34" t="n"/>
      <c r="AC554" s="34" t="n"/>
      <c r="AD554" s="34" t="n"/>
      <c r="AE554" s="34" t="n"/>
      <c r="AF554" s="34" t="n"/>
      <c r="AG554" s="34" t="n"/>
      <c r="AH554" s="34" t="n"/>
      <c r="AK554" s="34" t="n"/>
      <c r="AL554" s="34" t="n"/>
      <c r="AM554" s="39" t="n"/>
      <c r="AN554" s="34" t="n"/>
      <c r="AO554" s="34" t="n"/>
      <c r="AP554" s="34" t="n"/>
      <c r="AQ554" s="34" t="n"/>
      <c r="AR554" s="34" t="n"/>
      <c r="AS554" s="34" t="n"/>
      <c r="AU554" s="34" t="n"/>
      <c r="AV554" s="34" t="n"/>
      <c r="AW554" s="34" t="n"/>
      <c r="AX554" s="34" t="n"/>
      <c r="AY554" s="34" t="n"/>
      <c r="AZ554" s="34" t="n"/>
      <c r="BA554" s="34" t="n"/>
      <c r="BB554" s="34" t="n"/>
      <c r="BC554" s="34" t="n"/>
      <c r="BD554" s="34" t="n"/>
      <c r="BE554" s="34" t="n"/>
      <c r="BF554" s="34" t="n"/>
      <c r="BG554" s="34" t="n"/>
      <c r="BH554" s="34" t="n"/>
      <c r="BI554" s="34" t="n"/>
      <c r="BJ554" s="34" t="n"/>
      <c r="BK554" s="34" t="n"/>
      <c r="BL554" s="34" t="n"/>
      <c r="BM554" s="34" t="n"/>
      <c r="BN554" s="34" t="n"/>
      <c r="BO554" s="34" t="n"/>
      <c r="BP554" s="34" t="n"/>
      <c r="BQ554" s="34" t="n"/>
      <c r="BR554" s="82" t="n"/>
      <c r="BS554" s="34" t="n"/>
      <c r="BT554" s="34" t="n"/>
      <c r="BU554" s="34" t="n"/>
      <c r="BV554" s="34" t="n"/>
      <c r="BW554" s="34" t="n"/>
      <c r="BX554" s="34" t="n"/>
      <c r="BY554" s="34" t="n"/>
      <c r="BZ554" s="34" t="n"/>
      <c r="CA554" s="34" t="n"/>
      <c r="CB554" s="33" t="n"/>
      <c r="CC554" s="34" t="n"/>
      <c r="CD554" s="34" t="n"/>
      <c r="CE554" s="82" t="n"/>
      <c r="CF554" s="34" t="n"/>
      <c r="CG554" s="34" t="n"/>
      <c r="CH554" s="34" t="n"/>
      <c r="CI554" s="34" t="n"/>
      <c r="CJ554" s="34" t="n"/>
    </row>
    <row r="555">
      <c r="A555" s="29" t="n"/>
      <c r="B555" s="29" t="n"/>
      <c r="C555" s="35" t="n"/>
      <c r="D555" s="36" t="n"/>
      <c r="E555" s="147" t="n"/>
      <c r="F555" s="30" t="n"/>
      <c r="G555" s="30" t="n"/>
      <c r="H555" s="30" t="n"/>
      <c r="I555" s="30" t="n"/>
      <c r="J555" s="119" t="n"/>
      <c r="K555" s="34" t="n"/>
      <c r="L555" s="119" t="n"/>
      <c r="M555" s="34" t="n"/>
      <c r="N555" s="119" t="n"/>
      <c r="O555" s="34" t="n"/>
      <c r="P555" s="34" t="n"/>
      <c r="Q555" s="117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  <c r="AA555" s="34" t="n"/>
      <c r="AB555" s="34" t="n"/>
      <c r="AC555" s="34" t="n"/>
      <c r="AD555" s="34" t="n"/>
      <c r="AE555" s="34" t="n"/>
      <c r="AF555" s="34" t="n"/>
      <c r="AG555" s="34" t="n"/>
      <c r="AH555" s="34" t="n"/>
      <c r="AK555" s="34" t="n"/>
      <c r="AL555" s="34" t="n"/>
      <c r="AM555" s="39" t="n"/>
      <c r="AN555" s="34" t="n"/>
      <c r="AO555" s="34" t="n"/>
      <c r="AP555" s="34" t="n"/>
      <c r="AQ555" s="34" t="n"/>
      <c r="AR555" s="34" t="n"/>
      <c r="AS555" s="34" t="n"/>
      <c r="AU555" s="34" t="n"/>
      <c r="AV555" s="34" t="n"/>
      <c r="AW555" s="34" t="n"/>
      <c r="AX555" s="34" t="n"/>
      <c r="AY555" s="34" t="n"/>
      <c r="AZ555" s="34" t="n"/>
      <c r="BA555" s="34" t="n"/>
      <c r="BB555" s="34" t="n"/>
      <c r="BC555" s="34" t="n"/>
      <c r="BD555" s="34" t="n"/>
      <c r="BE555" s="34" t="n"/>
      <c r="BF555" s="34" t="n"/>
      <c r="BG555" s="34" t="n"/>
      <c r="BH555" s="34" t="n"/>
      <c r="BI555" s="34" t="n"/>
      <c r="BJ555" s="34" t="n"/>
      <c r="BK555" s="34" t="n"/>
      <c r="BL555" s="34" t="n"/>
      <c r="BM555" s="34" t="n"/>
      <c r="BN555" s="34" t="n"/>
      <c r="BO555" s="34" t="n"/>
      <c r="BP555" s="34" t="n"/>
      <c r="BQ555" s="34" t="n"/>
      <c r="BR555" s="82" t="n"/>
      <c r="BS555" s="34" t="n"/>
      <c r="BT555" s="34" t="n"/>
      <c r="BU555" s="34" t="n"/>
      <c r="BV555" s="34" t="n"/>
      <c r="BW555" s="34" t="n"/>
      <c r="BX555" s="34" t="n"/>
      <c r="BY555" s="34" t="n"/>
      <c r="BZ555" s="34" t="n"/>
      <c r="CA555" s="34" t="n"/>
      <c r="CB555" s="33" t="n"/>
      <c r="CC555" s="34" t="n"/>
      <c r="CD555" s="34" t="n"/>
      <c r="CE555" s="82" t="n"/>
      <c r="CF555" s="34" t="n"/>
      <c r="CG555" s="34" t="n"/>
      <c r="CH555" s="34" t="n"/>
      <c r="CI555" s="34" t="n"/>
      <c r="CJ555" s="34" t="n"/>
    </row>
    <row r="556">
      <c r="A556" s="29" t="n"/>
      <c r="B556" s="29" t="n"/>
      <c r="C556" s="35" t="n"/>
      <c r="D556" s="36" t="n"/>
      <c r="E556" s="147" t="n"/>
      <c r="F556" s="30" t="n"/>
      <c r="G556" s="30" t="n"/>
      <c r="H556" s="30" t="n"/>
      <c r="I556" s="30" t="n"/>
      <c r="J556" s="119" t="n"/>
      <c r="K556" s="34" t="n"/>
      <c r="L556" s="119" t="n"/>
      <c r="M556" s="34" t="n"/>
      <c r="N556" s="119" t="n"/>
      <c r="O556" s="34" t="n"/>
      <c r="P556" s="34" t="n"/>
      <c r="Q556" s="117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  <c r="AA556" s="34" t="n"/>
      <c r="AB556" s="34" t="n"/>
      <c r="AC556" s="34" t="n"/>
      <c r="AD556" s="34" t="n"/>
      <c r="AE556" s="34" t="n"/>
      <c r="AF556" s="34" t="n"/>
      <c r="AG556" s="34" t="n"/>
      <c r="AH556" s="34" t="n"/>
      <c r="AK556" s="34" t="n"/>
      <c r="AL556" s="34" t="n"/>
      <c r="AM556" s="39" t="n"/>
      <c r="AN556" s="34" t="n"/>
      <c r="AO556" s="34" t="n"/>
      <c r="AP556" s="34" t="n"/>
      <c r="AQ556" s="34" t="n"/>
      <c r="AR556" s="34" t="n"/>
      <c r="AS556" s="34" t="n"/>
      <c r="AU556" s="34" t="n"/>
      <c r="AV556" s="34" t="n"/>
      <c r="AW556" s="34" t="n"/>
      <c r="AX556" s="34" t="n"/>
      <c r="AY556" s="34" t="n"/>
      <c r="AZ556" s="34" t="n"/>
      <c r="BA556" s="34" t="n"/>
      <c r="BB556" s="34" t="n"/>
      <c r="BC556" s="34" t="n"/>
      <c r="BD556" s="34" t="n"/>
      <c r="BE556" s="34" t="n"/>
      <c r="BF556" s="34" t="n"/>
      <c r="BG556" s="34" t="n"/>
      <c r="BH556" s="34" t="n"/>
      <c r="BI556" s="34" t="n"/>
      <c r="BJ556" s="34" t="n"/>
      <c r="BK556" s="34" t="n"/>
      <c r="BL556" s="34" t="n"/>
      <c r="BM556" s="34" t="n"/>
      <c r="BN556" s="34" t="n"/>
      <c r="BO556" s="34" t="n"/>
      <c r="BP556" s="34" t="n"/>
      <c r="BQ556" s="34" t="n"/>
      <c r="BR556" s="82" t="n"/>
      <c r="BS556" s="34" t="n"/>
      <c r="BT556" s="34" t="n"/>
      <c r="BU556" s="34" t="n"/>
      <c r="BV556" s="34" t="n"/>
      <c r="BW556" s="34" t="n"/>
      <c r="BX556" s="34" t="n"/>
      <c r="BY556" s="34" t="n"/>
      <c r="BZ556" s="34" t="n"/>
      <c r="CA556" s="34" t="n"/>
      <c r="CB556" s="33" t="n"/>
      <c r="CC556" s="34" t="n"/>
      <c r="CD556" s="34" t="n"/>
      <c r="CE556" s="82" t="n"/>
      <c r="CF556" s="34" t="n"/>
      <c r="CG556" s="34" t="n"/>
      <c r="CH556" s="34" t="n"/>
      <c r="CI556" s="34" t="n"/>
      <c r="CJ556" s="34" t="n"/>
    </row>
    <row r="557">
      <c r="A557" s="29" t="n"/>
      <c r="B557" s="29" t="n"/>
      <c r="C557" s="35" t="n"/>
      <c r="D557" s="36" t="n"/>
      <c r="E557" s="147" t="n"/>
      <c r="F557" s="30" t="n"/>
      <c r="G557" s="30" t="n"/>
      <c r="H557" s="30" t="n"/>
      <c r="I557" s="30" t="n"/>
      <c r="J557" s="119" t="n"/>
      <c r="K557" s="34" t="n"/>
      <c r="L557" s="119" t="n"/>
      <c r="M557" s="34" t="n"/>
      <c r="N557" s="119" t="n"/>
      <c r="O557" s="34" t="n"/>
      <c r="P557" s="34" t="n"/>
      <c r="Q557" s="117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  <c r="AA557" s="34" t="n"/>
      <c r="AB557" s="34" t="n"/>
      <c r="AC557" s="34" t="n"/>
      <c r="AD557" s="34" t="n"/>
      <c r="AE557" s="34" t="n"/>
      <c r="AF557" s="34" t="n"/>
      <c r="AG557" s="34" t="n"/>
      <c r="AH557" s="34" t="n"/>
      <c r="AK557" s="34" t="n"/>
      <c r="AL557" s="34" t="n"/>
      <c r="AM557" s="39" t="n"/>
      <c r="AN557" s="34" t="n"/>
      <c r="AO557" s="34" t="n"/>
      <c r="AP557" s="34" t="n"/>
      <c r="AQ557" s="34" t="n"/>
      <c r="AR557" s="34" t="n"/>
      <c r="AS557" s="34" t="n"/>
      <c r="AU557" s="34" t="n"/>
      <c r="AV557" s="34" t="n"/>
      <c r="AW557" s="34" t="n"/>
      <c r="AX557" s="34" t="n"/>
      <c r="AY557" s="34" t="n"/>
      <c r="AZ557" s="34" t="n"/>
      <c r="BA557" s="34" t="n"/>
      <c r="BB557" s="34" t="n"/>
      <c r="BC557" s="34" t="n"/>
      <c r="BD557" s="34" t="n"/>
      <c r="BE557" s="34" t="n"/>
      <c r="BF557" s="34" t="n"/>
      <c r="BG557" s="34" t="n"/>
      <c r="BH557" s="34" t="n"/>
      <c r="BI557" s="34" t="n"/>
      <c r="BJ557" s="34" t="n"/>
      <c r="BK557" s="34" t="n"/>
      <c r="BL557" s="34" t="n"/>
      <c r="BM557" s="34" t="n"/>
      <c r="BN557" s="34" t="n"/>
      <c r="BO557" s="34" t="n"/>
      <c r="BP557" s="34" t="n"/>
      <c r="BQ557" s="34" t="n"/>
      <c r="BR557" s="82" t="n"/>
      <c r="BS557" s="34" t="n"/>
      <c r="BT557" s="34" t="n"/>
      <c r="BU557" s="34" t="n"/>
      <c r="BV557" s="34" t="n"/>
      <c r="BW557" s="34" t="n"/>
      <c r="BX557" s="34" t="n"/>
      <c r="BY557" s="34" t="n"/>
      <c r="BZ557" s="34" t="n"/>
      <c r="CA557" s="34" t="n"/>
      <c r="CB557" s="33" t="n"/>
      <c r="CC557" s="34" t="n"/>
      <c r="CD557" s="34" t="n"/>
      <c r="CE557" s="82" t="n"/>
      <c r="CF557" s="34" t="n"/>
      <c r="CG557" s="34" t="n"/>
      <c r="CH557" s="34" t="n"/>
      <c r="CI557" s="34" t="n"/>
      <c r="CJ557" s="34" t="n"/>
    </row>
    <row r="558">
      <c r="A558" s="29" t="n"/>
      <c r="B558" s="29" t="n"/>
      <c r="C558" s="35" t="n"/>
      <c r="D558" s="36" t="n"/>
      <c r="E558" s="147" t="n"/>
      <c r="F558" s="30" t="n"/>
      <c r="G558" s="30" t="n"/>
      <c r="H558" s="30" t="n"/>
      <c r="I558" s="30" t="n"/>
      <c r="J558" s="119" t="n"/>
      <c r="K558" s="34" t="n"/>
      <c r="L558" s="119" t="n"/>
      <c r="M558" s="34" t="n"/>
      <c r="N558" s="119" t="n"/>
      <c r="O558" s="34" t="n"/>
      <c r="P558" s="34" t="n"/>
      <c r="Q558" s="117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  <c r="AA558" s="34" t="n"/>
      <c r="AB558" s="34" t="n"/>
      <c r="AC558" s="34" t="n"/>
      <c r="AD558" s="34" t="n"/>
      <c r="AE558" s="34" t="n"/>
      <c r="AF558" s="34" t="n"/>
      <c r="AG558" s="34" t="n"/>
      <c r="AH558" s="34" t="n"/>
      <c r="AK558" s="34" t="n"/>
      <c r="AL558" s="34" t="n"/>
      <c r="AM558" s="39" t="n"/>
      <c r="AN558" s="34" t="n"/>
      <c r="AO558" s="34" t="n"/>
      <c r="AP558" s="34" t="n"/>
      <c r="AQ558" s="34" t="n"/>
      <c r="AR558" s="34" t="n"/>
      <c r="AS558" s="34" t="n"/>
      <c r="AU558" s="34" t="n"/>
      <c r="AV558" s="34" t="n"/>
      <c r="AW558" s="34" t="n"/>
      <c r="AX558" s="34" t="n"/>
      <c r="AY558" s="34" t="n"/>
      <c r="AZ558" s="34" t="n"/>
      <c r="BA558" s="34" t="n"/>
      <c r="BB558" s="34" t="n"/>
      <c r="BC558" s="34" t="n"/>
      <c r="BD558" s="34" t="n"/>
      <c r="BE558" s="34" t="n"/>
      <c r="BF558" s="34" t="n"/>
      <c r="BG558" s="34" t="n"/>
      <c r="BH558" s="34" t="n"/>
      <c r="BI558" s="34" t="n"/>
      <c r="BJ558" s="34" t="n"/>
      <c r="BK558" s="34" t="n"/>
      <c r="BL558" s="34" t="n"/>
      <c r="BM558" s="34" t="n"/>
      <c r="BN558" s="34" t="n"/>
      <c r="BO558" s="34" t="n"/>
      <c r="BP558" s="34" t="n"/>
      <c r="BQ558" s="34" t="n"/>
      <c r="BR558" s="82" t="n"/>
      <c r="BS558" s="34" t="n"/>
      <c r="BT558" s="34" t="n"/>
      <c r="BU558" s="34" t="n"/>
      <c r="BV558" s="34" t="n"/>
      <c r="BW558" s="34" t="n"/>
      <c r="BX558" s="34" t="n"/>
      <c r="BY558" s="34" t="n"/>
      <c r="BZ558" s="34" t="n"/>
      <c r="CA558" s="34" t="n"/>
      <c r="CB558" s="33" t="n"/>
      <c r="CC558" s="34" t="n"/>
      <c r="CD558" s="34" t="n"/>
      <c r="CE558" s="82" t="n"/>
      <c r="CF558" s="34" t="n"/>
      <c r="CG558" s="34" t="n"/>
      <c r="CH558" s="34" t="n"/>
      <c r="CI558" s="34" t="n"/>
      <c r="CJ558" s="34" t="n"/>
    </row>
    <row r="559">
      <c r="A559" s="29" t="n"/>
      <c r="B559" s="29" t="n"/>
      <c r="C559" s="35" t="n"/>
      <c r="D559" s="36" t="n"/>
      <c r="E559" s="147" t="n"/>
      <c r="F559" s="30" t="n"/>
      <c r="G559" s="30" t="n"/>
      <c r="H559" s="30" t="n"/>
      <c r="I559" s="30" t="n"/>
      <c r="J559" s="119" t="n"/>
      <c r="K559" s="34" t="n"/>
      <c r="L559" s="119" t="n"/>
      <c r="M559" s="34" t="n"/>
      <c r="N559" s="119" t="n"/>
      <c r="O559" s="34" t="n"/>
      <c r="P559" s="34" t="n"/>
      <c r="Q559" s="117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  <c r="AA559" s="34" t="n"/>
      <c r="AB559" s="34" t="n"/>
      <c r="AC559" s="34" t="n"/>
      <c r="AD559" s="34" t="n"/>
      <c r="AE559" s="34" t="n"/>
      <c r="AF559" s="34" t="n"/>
      <c r="AG559" s="34" t="n"/>
      <c r="AH559" s="34" t="n"/>
      <c r="AK559" s="34" t="n"/>
      <c r="AL559" s="34" t="n"/>
      <c r="AM559" s="39" t="n"/>
      <c r="AN559" s="34" t="n"/>
      <c r="AO559" s="34" t="n"/>
      <c r="AP559" s="34" t="n"/>
      <c r="AQ559" s="34" t="n"/>
      <c r="AR559" s="34" t="n"/>
      <c r="AS559" s="34" t="n"/>
      <c r="AU559" s="34" t="n"/>
      <c r="AV559" s="34" t="n"/>
      <c r="AW559" s="34" t="n"/>
      <c r="AX559" s="34" t="n"/>
      <c r="AY559" s="34" t="n"/>
      <c r="AZ559" s="34" t="n"/>
      <c r="BA559" s="34" t="n"/>
      <c r="BB559" s="34" t="n"/>
      <c r="BC559" s="34" t="n"/>
      <c r="BD559" s="34" t="n"/>
      <c r="BE559" s="34" t="n"/>
      <c r="BF559" s="34" t="n"/>
      <c r="BG559" s="34" t="n"/>
      <c r="BH559" s="34" t="n"/>
      <c r="BI559" s="34" t="n"/>
      <c r="BJ559" s="34" t="n"/>
      <c r="BK559" s="34" t="n"/>
      <c r="BL559" s="34" t="n"/>
      <c r="BM559" s="34" t="n"/>
      <c r="BN559" s="34" t="n"/>
      <c r="BO559" s="34" t="n"/>
      <c r="BP559" s="34" t="n"/>
      <c r="BQ559" s="34" t="n"/>
      <c r="BR559" s="82" t="n"/>
      <c r="BS559" s="34" t="n"/>
      <c r="BT559" s="34" t="n"/>
      <c r="BU559" s="34" t="n"/>
      <c r="BV559" s="34" t="n"/>
      <c r="BW559" s="34" t="n"/>
      <c r="BX559" s="34" t="n"/>
      <c r="BY559" s="34" t="n"/>
      <c r="BZ559" s="34" t="n"/>
      <c r="CA559" s="34" t="n"/>
      <c r="CB559" s="33" t="n"/>
      <c r="CC559" s="34" t="n"/>
      <c r="CD559" s="34" t="n"/>
      <c r="CE559" s="82" t="n"/>
      <c r="CF559" s="34" t="n"/>
      <c r="CG559" s="34" t="n"/>
      <c r="CH559" s="34" t="n"/>
      <c r="CI559" s="34" t="n"/>
      <c r="CJ559" s="34" t="n"/>
    </row>
    <row r="560">
      <c r="A560" s="29" t="n"/>
      <c r="B560" s="29" t="n"/>
      <c r="C560" s="35" t="n"/>
      <c r="D560" s="36" t="n"/>
      <c r="E560" s="147" t="n"/>
      <c r="F560" s="30" t="n"/>
      <c r="G560" s="30" t="n"/>
      <c r="H560" s="30" t="n"/>
      <c r="I560" s="30" t="n"/>
      <c r="J560" s="119" t="n"/>
      <c r="K560" s="34" t="n"/>
      <c r="L560" s="119" t="n"/>
      <c r="M560" s="34" t="n"/>
      <c r="N560" s="119" t="n"/>
      <c r="O560" s="34" t="n"/>
      <c r="P560" s="34" t="n"/>
      <c r="Q560" s="117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  <c r="AA560" s="34" t="n"/>
      <c r="AB560" s="34" t="n"/>
      <c r="AC560" s="34" t="n"/>
      <c r="AD560" s="34" t="n"/>
      <c r="AE560" s="34" t="n"/>
      <c r="AF560" s="34" t="n"/>
      <c r="AG560" s="34" t="n"/>
      <c r="AH560" s="34" t="n"/>
      <c r="AK560" s="34" t="n"/>
      <c r="AL560" s="34" t="n"/>
      <c r="AM560" s="39" t="n"/>
      <c r="AN560" s="34" t="n"/>
      <c r="AO560" s="34" t="n"/>
      <c r="AP560" s="34" t="n"/>
      <c r="AQ560" s="34" t="n"/>
      <c r="AR560" s="34" t="n"/>
      <c r="AS560" s="34" t="n"/>
      <c r="AU560" s="34" t="n"/>
      <c r="AV560" s="34" t="n"/>
      <c r="AW560" s="34" t="n"/>
      <c r="AX560" s="34" t="n"/>
      <c r="AY560" s="34" t="n"/>
      <c r="AZ560" s="34" t="n"/>
      <c r="BA560" s="34" t="n"/>
      <c r="BB560" s="34" t="n"/>
      <c r="BC560" s="34" t="n"/>
      <c r="BD560" s="34" t="n"/>
      <c r="BE560" s="34" t="n"/>
      <c r="BF560" s="34" t="n"/>
      <c r="BG560" s="34" t="n"/>
      <c r="BH560" s="34" t="n"/>
      <c r="BI560" s="34" t="n"/>
      <c r="BJ560" s="34" t="n"/>
      <c r="BK560" s="34" t="n"/>
      <c r="BL560" s="34" t="n"/>
      <c r="BM560" s="34" t="n"/>
      <c r="BN560" s="34" t="n"/>
      <c r="BO560" s="34" t="n"/>
      <c r="BP560" s="34" t="n"/>
      <c r="BQ560" s="34" t="n"/>
      <c r="BR560" s="82" t="n"/>
      <c r="BS560" s="34" t="n"/>
      <c r="BT560" s="34" t="n"/>
      <c r="BU560" s="34" t="n"/>
      <c r="BV560" s="34" t="n"/>
      <c r="BW560" s="34" t="n"/>
      <c r="BX560" s="34" t="n"/>
      <c r="BY560" s="34" t="n"/>
      <c r="BZ560" s="34" t="n"/>
      <c r="CA560" s="34" t="n"/>
      <c r="CB560" s="33" t="n"/>
      <c r="CC560" s="34" t="n"/>
      <c r="CD560" s="34" t="n"/>
      <c r="CE560" s="82" t="n"/>
      <c r="CF560" s="34" t="n"/>
      <c r="CG560" s="34" t="n"/>
      <c r="CH560" s="34" t="n"/>
      <c r="CI560" s="34" t="n"/>
      <c r="CJ560" s="34" t="n"/>
    </row>
    <row r="561">
      <c r="A561" s="29" t="n"/>
      <c r="B561" s="29" t="n"/>
      <c r="C561" s="35" t="n"/>
      <c r="D561" s="36" t="n"/>
      <c r="E561" s="147" t="n"/>
      <c r="F561" s="30" t="n"/>
      <c r="G561" s="30" t="n"/>
      <c r="H561" s="30" t="n"/>
      <c r="I561" s="30" t="n"/>
      <c r="J561" s="119" t="n"/>
      <c r="K561" s="34" t="n"/>
      <c r="L561" s="119" t="n"/>
      <c r="M561" s="34" t="n"/>
      <c r="N561" s="119" t="n"/>
      <c r="O561" s="34" t="n"/>
      <c r="P561" s="34" t="n"/>
      <c r="Q561" s="117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  <c r="AA561" s="34" t="n"/>
      <c r="AB561" s="34" t="n"/>
      <c r="AC561" s="34" t="n"/>
      <c r="AD561" s="34" t="n"/>
      <c r="AE561" s="34" t="n"/>
      <c r="AF561" s="34" t="n"/>
      <c r="AG561" s="34" t="n"/>
      <c r="AH561" s="34" t="n"/>
      <c r="AK561" s="34" t="n"/>
      <c r="AL561" s="34" t="n"/>
      <c r="AM561" s="39" t="n"/>
      <c r="AN561" s="34" t="n"/>
      <c r="AO561" s="34" t="n"/>
      <c r="AP561" s="34" t="n"/>
      <c r="AQ561" s="34" t="n"/>
      <c r="AR561" s="34" t="n"/>
      <c r="AS561" s="34" t="n"/>
      <c r="AU561" s="34" t="n"/>
      <c r="AV561" s="34" t="n"/>
      <c r="AW561" s="34" t="n"/>
      <c r="AX561" s="34" t="n"/>
      <c r="AY561" s="34" t="n"/>
      <c r="AZ561" s="34" t="n"/>
      <c r="BA561" s="34" t="n"/>
      <c r="BB561" s="34" t="n"/>
      <c r="BC561" s="34" t="n"/>
      <c r="BD561" s="34" t="n"/>
      <c r="BE561" s="34" t="n"/>
      <c r="BF561" s="34" t="n"/>
      <c r="BG561" s="34" t="n"/>
      <c r="BH561" s="34" t="n"/>
      <c r="BI561" s="34" t="n"/>
      <c r="BJ561" s="34" t="n"/>
      <c r="BK561" s="34" t="n"/>
      <c r="BL561" s="34" t="n"/>
      <c r="BM561" s="34" t="n"/>
      <c r="BN561" s="34" t="n"/>
      <c r="BO561" s="34" t="n"/>
      <c r="BP561" s="34" t="n"/>
      <c r="BQ561" s="34" t="n"/>
      <c r="BR561" s="82" t="n"/>
      <c r="BS561" s="34" t="n"/>
      <c r="BT561" s="34" t="n"/>
      <c r="BU561" s="34" t="n"/>
      <c r="BV561" s="34" t="n"/>
      <c r="BW561" s="34" t="n"/>
      <c r="BX561" s="34" t="n"/>
      <c r="BY561" s="34" t="n"/>
      <c r="BZ561" s="34" t="n"/>
      <c r="CA561" s="34" t="n"/>
      <c r="CB561" s="33" t="n"/>
      <c r="CC561" s="34" t="n"/>
      <c r="CD561" s="34" t="n"/>
      <c r="CE561" s="82" t="n"/>
      <c r="CF561" s="34" t="n"/>
      <c r="CG561" s="34" t="n"/>
      <c r="CH561" s="34" t="n"/>
      <c r="CI561" s="34" t="n"/>
      <c r="CJ561" s="34" t="n"/>
    </row>
    <row r="562">
      <c r="A562" s="29" t="n"/>
      <c r="B562" s="29" t="n"/>
      <c r="C562" s="35" t="n"/>
      <c r="D562" s="36" t="n"/>
      <c r="E562" s="147" t="n"/>
      <c r="F562" s="30" t="n"/>
      <c r="G562" s="30" t="n"/>
      <c r="H562" s="30" t="n"/>
      <c r="I562" s="30" t="n"/>
      <c r="J562" s="119" t="n"/>
      <c r="K562" s="34" t="n"/>
      <c r="L562" s="119" t="n"/>
      <c r="M562" s="34" t="n"/>
      <c r="N562" s="119" t="n"/>
      <c r="O562" s="34" t="n"/>
      <c r="P562" s="34" t="n"/>
      <c r="Q562" s="117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  <c r="AA562" s="34" t="n"/>
      <c r="AB562" s="34" t="n"/>
      <c r="AC562" s="34" t="n"/>
      <c r="AD562" s="34" t="n"/>
      <c r="AE562" s="34" t="n"/>
      <c r="AF562" s="34" t="n"/>
      <c r="AG562" s="34" t="n"/>
      <c r="AH562" s="34" t="n"/>
      <c r="AK562" s="34" t="n"/>
      <c r="AL562" s="34" t="n"/>
      <c r="AM562" s="39" t="n"/>
      <c r="AN562" s="34" t="n"/>
      <c r="AO562" s="34" t="n"/>
      <c r="AP562" s="34" t="n"/>
      <c r="AQ562" s="34" t="n"/>
      <c r="AR562" s="34" t="n"/>
      <c r="AS562" s="34" t="n"/>
      <c r="AU562" s="34" t="n"/>
      <c r="AV562" s="34" t="n"/>
      <c r="AW562" s="34" t="n"/>
      <c r="AX562" s="34" t="n"/>
      <c r="AY562" s="34" t="n"/>
      <c r="AZ562" s="34" t="n"/>
      <c r="BA562" s="34" t="n"/>
      <c r="BB562" s="34" t="n"/>
      <c r="BC562" s="34" t="n"/>
      <c r="BD562" s="34" t="n"/>
      <c r="BE562" s="34" t="n"/>
      <c r="BF562" s="34" t="n"/>
      <c r="BG562" s="34" t="n"/>
      <c r="BH562" s="34" t="n"/>
      <c r="BI562" s="34" t="n"/>
      <c r="BJ562" s="34" t="n"/>
      <c r="BK562" s="34" t="n"/>
      <c r="BL562" s="34" t="n"/>
      <c r="BM562" s="34" t="n"/>
      <c r="BN562" s="34" t="n"/>
      <c r="BO562" s="34" t="n"/>
      <c r="BP562" s="34" t="n"/>
      <c r="BQ562" s="34" t="n"/>
      <c r="BR562" s="82" t="n"/>
      <c r="BS562" s="34" t="n"/>
      <c r="BT562" s="34" t="n"/>
      <c r="BU562" s="34" t="n"/>
      <c r="BV562" s="34" t="n"/>
      <c r="BW562" s="34" t="n"/>
      <c r="BX562" s="34" t="n"/>
      <c r="BY562" s="34" t="n"/>
      <c r="BZ562" s="34" t="n"/>
      <c r="CA562" s="34" t="n"/>
      <c r="CB562" s="33" t="n"/>
      <c r="CC562" s="34" t="n"/>
      <c r="CD562" s="34" t="n"/>
      <c r="CE562" s="82" t="n"/>
      <c r="CF562" s="34" t="n"/>
      <c r="CG562" s="34" t="n"/>
      <c r="CH562" s="34" t="n"/>
      <c r="CI562" s="34" t="n"/>
      <c r="CJ562" s="34" t="n"/>
    </row>
    <row r="563">
      <c r="A563" s="29" t="n"/>
      <c r="B563" s="29" t="n"/>
      <c r="C563" s="35" t="n"/>
      <c r="D563" s="36" t="n"/>
      <c r="E563" s="147" t="n"/>
      <c r="F563" s="30" t="n"/>
      <c r="G563" s="30" t="n"/>
      <c r="H563" s="30" t="n"/>
      <c r="I563" s="30" t="n"/>
      <c r="J563" s="119" t="n"/>
      <c r="K563" s="34" t="n"/>
      <c r="L563" s="119" t="n"/>
      <c r="M563" s="34" t="n"/>
      <c r="N563" s="119" t="n"/>
      <c r="O563" s="34" t="n"/>
      <c r="P563" s="34" t="n"/>
      <c r="Q563" s="117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  <c r="AA563" s="34" t="n"/>
      <c r="AB563" s="34" t="n"/>
      <c r="AC563" s="34" t="n"/>
      <c r="AD563" s="34" t="n"/>
      <c r="AE563" s="34" t="n"/>
      <c r="AF563" s="34" t="n"/>
      <c r="AG563" s="34" t="n"/>
      <c r="AH563" s="34" t="n"/>
      <c r="AK563" s="34" t="n"/>
      <c r="AL563" s="34" t="n"/>
      <c r="AM563" s="39" t="n"/>
      <c r="AN563" s="34" t="n"/>
      <c r="AO563" s="34" t="n"/>
      <c r="AP563" s="34" t="n"/>
      <c r="AQ563" s="34" t="n"/>
      <c r="AR563" s="34" t="n"/>
      <c r="AS563" s="34" t="n"/>
      <c r="AU563" s="34" t="n"/>
      <c r="AV563" s="34" t="n"/>
      <c r="AW563" s="34" t="n"/>
      <c r="AX563" s="34" t="n"/>
      <c r="AY563" s="34" t="n"/>
      <c r="AZ563" s="34" t="n"/>
      <c r="BA563" s="34" t="n"/>
      <c r="BB563" s="34" t="n"/>
      <c r="BC563" s="34" t="n"/>
      <c r="BD563" s="34" t="n"/>
      <c r="BE563" s="34" t="n"/>
      <c r="BF563" s="34" t="n"/>
      <c r="BG563" s="34" t="n"/>
      <c r="BH563" s="34" t="n"/>
      <c r="BI563" s="34" t="n"/>
      <c r="BJ563" s="34" t="n"/>
      <c r="BK563" s="34" t="n"/>
      <c r="BL563" s="34" t="n"/>
      <c r="BM563" s="34" t="n"/>
      <c r="BN563" s="34" t="n"/>
      <c r="BO563" s="34" t="n"/>
      <c r="BP563" s="34" t="n"/>
      <c r="BQ563" s="34" t="n"/>
      <c r="BR563" s="82" t="n"/>
      <c r="BS563" s="34" t="n"/>
      <c r="BT563" s="34" t="n"/>
      <c r="BU563" s="34" t="n"/>
      <c r="BV563" s="34" t="n"/>
      <c r="BW563" s="34" t="n"/>
      <c r="BX563" s="34" t="n"/>
      <c r="BY563" s="34" t="n"/>
      <c r="BZ563" s="34" t="n"/>
      <c r="CA563" s="34" t="n"/>
      <c r="CB563" s="33" t="n"/>
      <c r="CC563" s="34" t="n"/>
      <c r="CD563" s="34" t="n"/>
      <c r="CE563" s="82" t="n"/>
      <c r="CF563" s="34" t="n"/>
      <c r="CG563" s="34" t="n"/>
      <c r="CH563" s="34" t="n"/>
      <c r="CI563" s="34" t="n"/>
      <c r="CJ563" s="34" t="n"/>
    </row>
    <row r="564">
      <c r="A564" s="29" t="n"/>
      <c r="B564" s="29" t="n"/>
      <c r="C564" s="35" t="n"/>
      <c r="D564" s="36" t="n"/>
      <c r="E564" s="147" t="n"/>
      <c r="F564" s="30" t="n"/>
      <c r="G564" s="30" t="n"/>
      <c r="H564" s="30" t="n"/>
      <c r="I564" s="30" t="n"/>
      <c r="J564" s="119" t="n"/>
      <c r="K564" s="34" t="n"/>
      <c r="L564" s="119" t="n"/>
      <c r="M564" s="34" t="n"/>
      <c r="N564" s="119" t="n"/>
      <c r="O564" s="34" t="n"/>
      <c r="P564" s="34" t="n"/>
      <c r="Q564" s="117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  <c r="AA564" s="34" t="n"/>
      <c r="AB564" s="34" t="n"/>
      <c r="AC564" s="34" t="n"/>
      <c r="AD564" s="34" t="n"/>
      <c r="AE564" s="34" t="n"/>
      <c r="AF564" s="34" t="n"/>
      <c r="AG564" s="34" t="n"/>
      <c r="AH564" s="34" t="n"/>
      <c r="AK564" s="34" t="n"/>
      <c r="AL564" s="34" t="n"/>
      <c r="AM564" s="39" t="n"/>
      <c r="AN564" s="34" t="n"/>
      <c r="AO564" s="34" t="n"/>
      <c r="AP564" s="34" t="n"/>
      <c r="AQ564" s="34" t="n"/>
      <c r="AR564" s="34" t="n"/>
      <c r="AS564" s="34" t="n"/>
      <c r="AU564" s="34" t="n"/>
      <c r="AV564" s="34" t="n"/>
      <c r="AW564" s="34" t="n"/>
      <c r="AX564" s="34" t="n"/>
      <c r="AY564" s="34" t="n"/>
      <c r="AZ564" s="34" t="n"/>
      <c r="BA564" s="34" t="n"/>
      <c r="BB564" s="34" t="n"/>
      <c r="BC564" s="34" t="n"/>
      <c r="BD564" s="34" t="n"/>
      <c r="BE564" s="34" t="n"/>
      <c r="BF564" s="34" t="n"/>
      <c r="BG564" s="34" t="n"/>
      <c r="BH564" s="34" t="n"/>
      <c r="BI564" s="34" t="n"/>
      <c r="BJ564" s="34" t="n"/>
      <c r="BK564" s="34" t="n"/>
      <c r="BL564" s="34" t="n"/>
      <c r="BM564" s="34" t="n"/>
      <c r="BN564" s="34" t="n"/>
      <c r="BO564" s="34" t="n"/>
      <c r="BP564" s="34" t="n"/>
      <c r="BQ564" s="34" t="n"/>
      <c r="BR564" s="82" t="n"/>
      <c r="BS564" s="34" t="n"/>
      <c r="BT564" s="34" t="n"/>
      <c r="BU564" s="34" t="n"/>
      <c r="BV564" s="34" t="n"/>
      <c r="BW564" s="34" t="n"/>
      <c r="BX564" s="34" t="n"/>
      <c r="BY564" s="34" t="n"/>
      <c r="BZ564" s="34" t="n"/>
      <c r="CA564" s="34" t="n"/>
      <c r="CB564" s="33" t="n"/>
      <c r="CC564" s="34" t="n"/>
      <c r="CD564" s="34" t="n"/>
      <c r="CE564" s="82" t="n"/>
      <c r="CF564" s="34" t="n"/>
      <c r="CG564" s="34" t="n"/>
      <c r="CH564" s="34" t="n"/>
      <c r="CI564" s="34" t="n"/>
      <c r="CJ564" s="34" t="n"/>
    </row>
    <row r="565">
      <c r="A565" s="29" t="n"/>
      <c r="B565" s="29" t="n"/>
      <c r="C565" s="35" t="n"/>
      <c r="D565" s="36" t="n"/>
      <c r="E565" s="147" t="n"/>
      <c r="F565" s="30" t="n"/>
      <c r="G565" s="30" t="n"/>
      <c r="H565" s="30" t="n"/>
      <c r="I565" s="30" t="n"/>
      <c r="J565" s="119" t="n"/>
      <c r="K565" s="34" t="n"/>
      <c r="L565" s="119" t="n"/>
      <c r="M565" s="34" t="n"/>
      <c r="N565" s="119" t="n"/>
      <c r="O565" s="34" t="n"/>
      <c r="P565" s="34" t="n"/>
      <c r="Q565" s="117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  <c r="AA565" s="34" t="n"/>
      <c r="AB565" s="34" t="n"/>
      <c r="AC565" s="34" t="n"/>
      <c r="AD565" s="34" t="n"/>
      <c r="AE565" s="34" t="n"/>
      <c r="AF565" s="34" t="n"/>
      <c r="AG565" s="34" t="n"/>
      <c r="AH565" s="34" t="n"/>
      <c r="AK565" s="34" t="n"/>
      <c r="AL565" s="34" t="n"/>
      <c r="AM565" s="39" t="n"/>
      <c r="AN565" s="34" t="n"/>
      <c r="AO565" s="34" t="n"/>
      <c r="AP565" s="34" t="n"/>
      <c r="AQ565" s="34" t="n"/>
      <c r="AR565" s="34" t="n"/>
      <c r="AS565" s="34" t="n"/>
      <c r="AU565" s="34" t="n"/>
      <c r="AV565" s="34" t="n"/>
      <c r="AW565" s="34" t="n"/>
      <c r="AX565" s="34" t="n"/>
      <c r="AY565" s="34" t="n"/>
      <c r="AZ565" s="34" t="n"/>
      <c r="BA565" s="34" t="n"/>
      <c r="BB565" s="34" t="n"/>
      <c r="BC565" s="34" t="n"/>
      <c r="BD565" s="34" t="n"/>
      <c r="BE565" s="34" t="n"/>
      <c r="BF565" s="34" t="n"/>
      <c r="BG565" s="34" t="n"/>
      <c r="BH565" s="34" t="n"/>
      <c r="BI565" s="34" t="n"/>
      <c r="BJ565" s="34" t="n"/>
      <c r="BK565" s="34" t="n"/>
      <c r="BL565" s="34" t="n"/>
      <c r="BM565" s="34" t="n"/>
      <c r="BN565" s="34" t="n"/>
      <c r="BO565" s="34" t="n"/>
      <c r="BP565" s="34" t="n"/>
      <c r="BQ565" s="34" t="n"/>
      <c r="BR565" s="82" t="n"/>
      <c r="BS565" s="34" t="n"/>
      <c r="BT565" s="34" t="n"/>
      <c r="BU565" s="34" t="n"/>
      <c r="BV565" s="34" t="n"/>
      <c r="BW565" s="34" t="n"/>
      <c r="BX565" s="34" t="n"/>
      <c r="BY565" s="34" t="n"/>
      <c r="BZ565" s="34" t="n"/>
      <c r="CA565" s="34" t="n"/>
      <c r="CB565" s="33" t="n"/>
      <c r="CC565" s="34" t="n"/>
      <c r="CD565" s="34" t="n"/>
      <c r="CE565" s="82" t="n"/>
      <c r="CF565" s="34" t="n"/>
      <c r="CG565" s="34" t="n"/>
      <c r="CH565" s="34" t="n"/>
      <c r="CI565" s="34" t="n"/>
      <c r="CJ565" s="34" t="n"/>
    </row>
    <row r="566">
      <c r="A566" s="29" t="n"/>
      <c r="B566" s="29" t="n"/>
      <c r="C566" s="35" t="n"/>
      <c r="D566" s="36" t="n"/>
      <c r="E566" s="147" t="n"/>
      <c r="F566" s="30" t="n"/>
      <c r="G566" s="30" t="n"/>
      <c r="H566" s="30" t="n"/>
      <c r="I566" s="30" t="n"/>
      <c r="J566" s="119" t="n"/>
      <c r="K566" s="34" t="n"/>
      <c r="L566" s="119" t="n"/>
      <c r="M566" s="34" t="n"/>
      <c r="N566" s="119" t="n"/>
      <c r="O566" s="34" t="n"/>
      <c r="P566" s="34" t="n"/>
      <c r="Q566" s="117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  <c r="AA566" s="34" t="n"/>
      <c r="AB566" s="34" t="n"/>
      <c r="AC566" s="34" t="n"/>
      <c r="AD566" s="34" t="n"/>
      <c r="AE566" s="34" t="n"/>
      <c r="AF566" s="34" t="n"/>
      <c r="AG566" s="34" t="n"/>
      <c r="AH566" s="34" t="n"/>
      <c r="AK566" s="34" t="n"/>
      <c r="AL566" s="34" t="n"/>
      <c r="AM566" s="39" t="n"/>
      <c r="AN566" s="34" t="n"/>
      <c r="AO566" s="34" t="n"/>
      <c r="AP566" s="34" t="n"/>
      <c r="AQ566" s="34" t="n"/>
      <c r="AR566" s="34" t="n"/>
      <c r="AS566" s="34" t="n"/>
      <c r="AU566" s="34" t="n"/>
      <c r="AV566" s="34" t="n"/>
      <c r="AW566" s="34" t="n"/>
      <c r="AX566" s="34" t="n"/>
      <c r="AY566" s="34" t="n"/>
      <c r="AZ566" s="34" t="n"/>
      <c r="BA566" s="34" t="n"/>
      <c r="BB566" s="34" t="n"/>
      <c r="BC566" s="34" t="n"/>
      <c r="BD566" s="34" t="n"/>
      <c r="BE566" s="34" t="n"/>
      <c r="BF566" s="34" t="n"/>
      <c r="BG566" s="34" t="n"/>
      <c r="BH566" s="34" t="n"/>
      <c r="BI566" s="34" t="n"/>
      <c r="BJ566" s="34" t="n"/>
      <c r="BK566" s="34" t="n"/>
      <c r="BL566" s="34" t="n"/>
      <c r="BM566" s="34" t="n"/>
      <c r="BN566" s="34" t="n"/>
      <c r="BO566" s="34" t="n"/>
      <c r="BP566" s="34" t="n"/>
      <c r="BQ566" s="34" t="n"/>
      <c r="BR566" s="82" t="n"/>
      <c r="BS566" s="34" t="n"/>
      <c r="BT566" s="34" t="n"/>
      <c r="BU566" s="34" t="n"/>
      <c r="BV566" s="34" t="n"/>
      <c r="BW566" s="34" t="n"/>
      <c r="BX566" s="34" t="n"/>
      <c r="BY566" s="34" t="n"/>
      <c r="BZ566" s="34" t="n"/>
      <c r="CA566" s="34" t="n"/>
      <c r="CB566" s="33" t="n"/>
      <c r="CC566" s="34" t="n"/>
      <c r="CD566" s="34" t="n"/>
      <c r="CE566" s="82" t="n"/>
      <c r="CF566" s="34" t="n"/>
      <c r="CG566" s="34" t="n"/>
      <c r="CH566" s="34" t="n"/>
      <c r="CI566" s="34" t="n"/>
      <c r="CJ566" s="34" t="n"/>
    </row>
    <row r="567">
      <c r="A567" s="29" t="n"/>
      <c r="B567" s="29" t="n"/>
      <c r="C567" s="35" t="n"/>
      <c r="D567" s="36" t="n"/>
      <c r="E567" s="147" t="n"/>
      <c r="F567" s="30" t="n"/>
      <c r="G567" s="30" t="n"/>
      <c r="H567" s="30" t="n"/>
      <c r="I567" s="30" t="n"/>
      <c r="J567" s="119" t="n"/>
      <c r="K567" s="34" t="n"/>
      <c r="L567" s="119" t="n"/>
      <c r="M567" s="34" t="n"/>
      <c r="N567" s="119" t="n"/>
      <c r="O567" s="34" t="n"/>
      <c r="P567" s="34" t="n"/>
      <c r="Q567" s="117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  <c r="AA567" s="34" t="n"/>
      <c r="AB567" s="34" t="n"/>
      <c r="AC567" s="34" t="n"/>
      <c r="AD567" s="34" t="n"/>
      <c r="AE567" s="34" t="n"/>
      <c r="AF567" s="34" t="n"/>
      <c r="AG567" s="34" t="n"/>
      <c r="AH567" s="34" t="n"/>
      <c r="AK567" s="34" t="n"/>
      <c r="AL567" s="34" t="n"/>
      <c r="AM567" s="39" t="n"/>
      <c r="AN567" s="34" t="n"/>
      <c r="AO567" s="34" t="n"/>
      <c r="AP567" s="34" t="n"/>
      <c r="AQ567" s="34" t="n"/>
      <c r="AR567" s="34" t="n"/>
      <c r="AS567" s="34" t="n"/>
      <c r="AU567" s="34" t="n"/>
      <c r="AV567" s="34" t="n"/>
      <c r="AW567" s="34" t="n"/>
      <c r="AX567" s="34" t="n"/>
      <c r="AY567" s="34" t="n"/>
      <c r="AZ567" s="34" t="n"/>
      <c r="BA567" s="34" t="n"/>
      <c r="BB567" s="34" t="n"/>
      <c r="BC567" s="34" t="n"/>
      <c r="BD567" s="34" t="n"/>
      <c r="BE567" s="34" t="n"/>
      <c r="BF567" s="34" t="n"/>
      <c r="BG567" s="34" t="n"/>
      <c r="BH567" s="34" t="n"/>
      <c r="BI567" s="34" t="n"/>
      <c r="BJ567" s="34" t="n"/>
      <c r="BK567" s="34" t="n"/>
      <c r="BL567" s="34" t="n"/>
      <c r="BM567" s="34" t="n"/>
      <c r="BN567" s="34" t="n"/>
      <c r="BO567" s="34" t="n"/>
      <c r="BP567" s="34" t="n"/>
      <c r="BQ567" s="34" t="n"/>
      <c r="BR567" s="82" t="n"/>
      <c r="BS567" s="34" t="n"/>
      <c r="BT567" s="34" t="n"/>
      <c r="BU567" s="34" t="n"/>
      <c r="BV567" s="34" t="n"/>
      <c r="BW567" s="34" t="n"/>
      <c r="BX567" s="34" t="n"/>
      <c r="BY567" s="34" t="n"/>
      <c r="BZ567" s="34" t="n"/>
      <c r="CA567" s="34" t="n"/>
      <c r="CB567" s="33" t="n"/>
      <c r="CC567" s="34" t="n"/>
      <c r="CD567" s="34" t="n"/>
      <c r="CE567" s="82" t="n"/>
      <c r="CF567" s="34" t="n"/>
      <c r="CG567" s="34" t="n"/>
      <c r="CH567" s="34" t="n"/>
      <c r="CI567" s="34" t="n"/>
      <c r="CJ567" s="34" t="n"/>
    </row>
    <row r="568">
      <c r="A568" s="29" t="n"/>
      <c r="B568" s="29" t="n"/>
      <c r="C568" s="35" t="n"/>
      <c r="D568" s="36" t="n"/>
      <c r="E568" s="147" t="n"/>
      <c r="F568" s="30" t="n"/>
      <c r="G568" s="30" t="n"/>
      <c r="H568" s="30" t="n"/>
      <c r="I568" s="30" t="n"/>
      <c r="J568" s="119" t="n"/>
      <c r="K568" s="34" t="n"/>
      <c r="L568" s="119" t="n"/>
      <c r="M568" s="34" t="n"/>
      <c r="N568" s="119" t="n"/>
      <c r="O568" s="34" t="n"/>
      <c r="P568" s="34" t="n"/>
      <c r="Q568" s="117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  <c r="AA568" s="34" t="n"/>
      <c r="AB568" s="34" t="n"/>
      <c r="AC568" s="34" t="n"/>
      <c r="AD568" s="34" t="n"/>
      <c r="AE568" s="34" t="n"/>
      <c r="AF568" s="34" t="n"/>
      <c r="AG568" s="34" t="n"/>
      <c r="AH568" s="34" t="n"/>
      <c r="AK568" s="34" t="n"/>
      <c r="AL568" s="34" t="n"/>
      <c r="AM568" s="39" t="n"/>
      <c r="AN568" s="34" t="n"/>
      <c r="AO568" s="34" t="n"/>
      <c r="AP568" s="34" t="n"/>
      <c r="AQ568" s="34" t="n"/>
      <c r="AR568" s="34" t="n"/>
      <c r="AS568" s="34" t="n"/>
      <c r="AU568" s="34" t="n"/>
      <c r="AV568" s="34" t="n"/>
      <c r="AW568" s="34" t="n"/>
      <c r="AX568" s="34" t="n"/>
      <c r="AY568" s="34" t="n"/>
      <c r="AZ568" s="34" t="n"/>
      <c r="BA568" s="34" t="n"/>
      <c r="BB568" s="34" t="n"/>
      <c r="BC568" s="34" t="n"/>
      <c r="BD568" s="34" t="n"/>
      <c r="BE568" s="34" t="n"/>
      <c r="BF568" s="34" t="n"/>
      <c r="BG568" s="34" t="n"/>
      <c r="BH568" s="34" t="n"/>
      <c r="BI568" s="34" t="n"/>
      <c r="BJ568" s="34" t="n"/>
      <c r="BK568" s="34" t="n"/>
      <c r="BL568" s="34" t="n"/>
      <c r="BM568" s="34" t="n"/>
      <c r="BN568" s="34" t="n"/>
      <c r="BO568" s="34" t="n"/>
      <c r="BP568" s="34" t="n"/>
      <c r="BQ568" s="34" t="n"/>
      <c r="BR568" s="82" t="n"/>
      <c r="BS568" s="34" t="n"/>
      <c r="BT568" s="34" t="n"/>
      <c r="BU568" s="34" t="n"/>
      <c r="BV568" s="34" t="n"/>
      <c r="BW568" s="34" t="n"/>
      <c r="BX568" s="34" t="n"/>
      <c r="BY568" s="34" t="n"/>
      <c r="BZ568" s="34" t="n"/>
      <c r="CA568" s="34" t="n"/>
      <c r="CB568" s="33" t="n"/>
      <c r="CC568" s="34" t="n"/>
      <c r="CD568" s="34" t="n"/>
      <c r="CE568" s="82" t="n"/>
      <c r="CF568" s="34" t="n"/>
      <c r="CG568" s="34" t="n"/>
      <c r="CH568" s="34" t="n"/>
      <c r="CI568" s="34" t="n"/>
      <c r="CJ568" s="34" t="n"/>
    </row>
    <row r="569">
      <c r="A569" s="29" t="n"/>
      <c r="B569" s="29" t="n"/>
      <c r="C569" s="35" t="n"/>
      <c r="D569" s="36" t="n"/>
      <c r="E569" s="147" t="n"/>
      <c r="F569" s="30" t="n"/>
      <c r="G569" s="30" t="n"/>
      <c r="H569" s="30" t="n"/>
      <c r="I569" s="30" t="n"/>
      <c r="J569" s="119" t="n"/>
      <c r="K569" s="34" t="n"/>
      <c r="L569" s="119" t="n"/>
      <c r="M569" s="34" t="n"/>
      <c r="N569" s="119" t="n"/>
      <c r="O569" s="34" t="n"/>
      <c r="P569" s="34" t="n"/>
      <c r="Q569" s="117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  <c r="AA569" s="34" t="n"/>
      <c r="AB569" s="34" t="n"/>
      <c r="AC569" s="34" t="n"/>
      <c r="AD569" s="34" t="n"/>
      <c r="AE569" s="34" t="n"/>
      <c r="AF569" s="34" t="n"/>
      <c r="AG569" s="34" t="n"/>
      <c r="AH569" s="34" t="n"/>
      <c r="AK569" s="34" t="n"/>
      <c r="AL569" s="34" t="n"/>
      <c r="AM569" s="39" t="n"/>
      <c r="AN569" s="34" t="n"/>
      <c r="AO569" s="34" t="n"/>
      <c r="AP569" s="34" t="n"/>
      <c r="AQ569" s="34" t="n"/>
      <c r="AR569" s="34" t="n"/>
      <c r="AS569" s="34" t="n"/>
      <c r="AU569" s="34" t="n"/>
      <c r="AV569" s="34" t="n"/>
      <c r="AW569" s="34" t="n"/>
      <c r="AX569" s="34" t="n"/>
      <c r="AY569" s="34" t="n"/>
      <c r="AZ569" s="34" t="n"/>
      <c r="BA569" s="34" t="n"/>
      <c r="BB569" s="34" t="n"/>
      <c r="BC569" s="34" t="n"/>
      <c r="BD569" s="34" t="n"/>
      <c r="BE569" s="34" t="n"/>
      <c r="BF569" s="34" t="n"/>
      <c r="BG569" s="34" t="n"/>
      <c r="BH569" s="34" t="n"/>
      <c r="BI569" s="34" t="n"/>
      <c r="BJ569" s="34" t="n"/>
      <c r="BK569" s="34" t="n"/>
      <c r="BL569" s="34" t="n"/>
      <c r="BM569" s="34" t="n"/>
      <c r="BN569" s="34" t="n"/>
      <c r="BO569" s="34" t="n"/>
      <c r="BP569" s="34" t="n"/>
      <c r="BQ569" s="34" t="n"/>
      <c r="BR569" s="82" t="n"/>
      <c r="BS569" s="34" t="n"/>
      <c r="BT569" s="34" t="n"/>
      <c r="BU569" s="34" t="n"/>
      <c r="BV569" s="34" t="n"/>
      <c r="BW569" s="34" t="n"/>
      <c r="BX569" s="34" t="n"/>
      <c r="BY569" s="34" t="n"/>
      <c r="BZ569" s="34" t="n"/>
      <c r="CA569" s="34" t="n"/>
      <c r="CB569" s="33" t="n"/>
      <c r="CC569" s="34" t="n"/>
      <c r="CD569" s="34" t="n"/>
      <c r="CE569" s="82" t="n"/>
      <c r="CF569" s="34" t="n"/>
      <c r="CG569" s="34" t="n"/>
      <c r="CH569" s="34" t="n"/>
      <c r="CI569" s="34" t="n"/>
      <c r="CJ569" s="34" t="n"/>
    </row>
    <row r="570">
      <c r="A570" s="29" t="n"/>
      <c r="B570" s="29" t="n"/>
      <c r="C570" s="35" t="n"/>
      <c r="D570" s="36" t="n"/>
      <c r="E570" s="147" t="n"/>
      <c r="F570" s="30" t="n"/>
      <c r="G570" s="30" t="n"/>
      <c r="H570" s="30" t="n"/>
      <c r="I570" s="30" t="n"/>
      <c r="J570" s="119" t="n"/>
      <c r="K570" s="34" t="n"/>
      <c r="L570" s="119" t="n"/>
      <c r="M570" s="34" t="n"/>
      <c r="N570" s="119" t="n"/>
      <c r="O570" s="34" t="n"/>
      <c r="P570" s="34" t="n"/>
      <c r="Q570" s="117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  <c r="AA570" s="34" t="n"/>
      <c r="AB570" s="34" t="n"/>
      <c r="AC570" s="34" t="n"/>
      <c r="AD570" s="34" t="n"/>
      <c r="AE570" s="34" t="n"/>
      <c r="AF570" s="34" t="n"/>
      <c r="AG570" s="34" t="n"/>
      <c r="AH570" s="34" t="n"/>
      <c r="AK570" s="34" t="n"/>
      <c r="AL570" s="34" t="n"/>
      <c r="AM570" s="39" t="n"/>
      <c r="AN570" s="34" t="n"/>
      <c r="AO570" s="34" t="n"/>
      <c r="AP570" s="34" t="n"/>
      <c r="AQ570" s="34" t="n"/>
      <c r="AR570" s="34" t="n"/>
      <c r="AS570" s="34" t="n"/>
      <c r="AU570" s="34" t="n"/>
      <c r="AV570" s="34" t="n"/>
      <c r="AW570" s="34" t="n"/>
      <c r="AX570" s="34" t="n"/>
      <c r="AY570" s="34" t="n"/>
      <c r="AZ570" s="34" t="n"/>
      <c r="BA570" s="34" t="n"/>
      <c r="BB570" s="34" t="n"/>
      <c r="BC570" s="34" t="n"/>
      <c r="BD570" s="34" t="n"/>
      <c r="BE570" s="34" t="n"/>
      <c r="BF570" s="34" t="n"/>
      <c r="BG570" s="34" t="n"/>
      <c r="BH570" s="34" t="n"/>
      <c r="BI570" s="34" t="n"/>
      <c r="BJ570" s="34" t="n"/>
      <c r="BK570" s="34" t="n"/>
      <c r="BL570" s="34" t="n"/>
      <c r="BM570" s="34" t="n"/>
      <c r="BN570" s="34" t="n"/>
      <c r="BO570" s="34" t="n"/>
      <c r="BP570" s="34" t="n"/>
      <c r="BQ570" s="34" t="n"/>
      <c r="BR570" s="82" t="n"/>
      <c r="BS570" s="34" t="n"/>
      <c r="BT570" s="34" t="n"/>
      <c r="BU570" s="34" t="n"/>
      <c r="BV570" s="34" t="n"/>
      <c r="BW570" s="34" t="n"/>
      <c r="BX570" s="34" t="n"/>
      <c r="BY570" s="34" t="n"/>
      <c r="BZ570" s="34" t="n"/>
      <c r="CA570" s="34" t="n"/>
      <c r="CB570" s="33" t="n"/>
      <c r="CC570" s="34" t="n"/>
      <c r="CD570" s="34" t="n"/>
      <c r="CE570" s="82" t="n"/>
      <c r="CF570" s="34" t="n"/>
      <c r="CG570" s="34" t="n"/>
      <c r="CH570" s="34" t="n"/>
      <c r="CI570" s="34" t="n"/>
      <c r="CJ570" s="34" t="n"/>
    </row>
    <row r="571">
      <c r="A571" s="29" t="n"/>
      <c r="B571" s="29" t="n"/>
      <c r="C571" s="35" t="n"/>
      <c r="D571" s="36" t="n"/>
      <c r="E571" s="147" t="n"/>
      <c r="F571" s="30" t="n"/>
      <c r="G571" s="30" t="n"/>
      <c r="H571" s="30" t="n"/>
      <c r="I571" s="30" t="n"/>
      <c r="J571" s="119" t="n"/>
      <c r="K571" s="34" t="n"/>
      <c r="L571" s="119" t="n"/>
      <c r="M571" s="34" t="n"/>
      <c r="N571" s="119" t="n"/>
      <c r="O571" s="34" t="n"/>
      <c r="P571" s="34" t="n"/>
      <c r="Q571" s="117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  <c r="AA571" s="34" t="n"/>
      <c r="AB571" s="34" t="n"/>
      <c r="AC571" s="34" t="n"/>
      <c r="AD571" s="34" t="n"/>
      <c r="AE571" s="34" t="n"/>
      <c r="AF571" s="34" t="n"/>
      <c r="AG571" s="34" t="n"/>
      <c r="AH571" s="34" t="n"/>
      <c r="AK571" s="34" t="n"/>
      <c r="AL571" s="34" t="n"/>
      <c r="AM571" s="39" t="n"/>
      <c r="AN571" s="34" t="n"/>
      <c r="AO571" s="34" t="n"/>
      <c r="AP571" s="34" t="n"/>
      <c r="AQ571" s="34" t="n"/>
      <c r="AR571" s="34" t="n"/>
      <c r="AS571" s="34" t="n"/>
      <c r="AU571" s="34" t="n"/>
      <c r="AV571" s="34" t="n"/>
      <c r="AW571" s="34" t="n"/>
      <c r="AX571" s="34" t="n"/>
      <c r="AY571" s="34" t="n"/>
      <c r="AZ571" s="34" t="n"/>
      <c r="BA571" s="34" t="n"/>
      <c r="BB571" s="34" t="n"/>
      <c r="BC571" s="34" t="n"/>
      <c r="BD571" s="34" t="n"/>
      <c r="BE571" s="34" t="n"/>
      <c r="BF571" s="34" t="n"/>
      <c r="BG571" s="34" t="n"/>
      <c r="BH571" s="34" t="n"/>
      <c r="BI571" s="34" t="n"/>
      <c r="BJ571" s="34" t="n"/>
      <c r="BK571" s="34" t="n"/>
      <c r="BL571" s="34" t="n"/>
      <c r="BM571" s="34" t="n"/>
      <c r="BN571" s="34" t="n"/>
      <c r="BO571" s="34" t="n"/>
      <c r="BP571" s="34" t="n"/>
      <c r="BQ571" s="34" t="n"/>
      <c r="BR571" s="82" t="n"/>
      <c r="BS571" s="34" t="n"/>
      <c r="BT571" s="34" t="n"/>
      <c r="BU571" s="34" t="n"/>
      <c r="BV571" s="34" t="n"/>
      <c r="BW571" s="34" t="n"/>
      <c r="BX571" s="34" t="n"/>
      <c r="BY571" s="34" t="n"/>
      <c r="BZ571" s="34" t="n"/>
      <c r="CA571" s="34" t="n"/>
      <c r="CB571" s="33" t="n"/>
      <c r="CC571" s="34" t="n"/>
      <c r="CD571" s="34" t="n"/>
      <c r="CE571" s="82" t="n"/>
      <c r="CF571" s="34" t="n"/>
      <c r="CG571" s="34" t="n"/>
      <c r="CH571" s="34" t="n"/>
      <c r="CI571" s="34" t="n"/>
      <c r="CJ571" s="34" t="n"/>
    </row>
    <row r="572">
      <c r="A572" s="29" t="n"/>
      <c r="B572" s="29" t="n"/>
      <c r="C572" s="35" t="n"/>
      <c r="D572" s="36" t="n"/>
      <c r="E572" s="147" t="n"/>
      <c r="F572" s="30" t="n"/>
      <c r="G572" s="30" t="n"/>
      <c r="H572" s="30" t="n"/>
      <c r="I572" s="30" t="n"/>
      <c r="J572" s="119" t="n"/>
      <c r="K572" s="34" t="n"/>
      <c r="L572" s="119" t="n"/>
      <c r="M572" s="34" t="n"/>
      <c r="N572" s="119" t="n"/>
      <c r="O572" s="34" t="n"/>
      <c r="P572" s="34" t="n"/>
      <c r="Q572" s="117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  <c r="AA572" s="34" t="n"/>
      <c r="AB572" s="34" t="n"/>
      <c r="AC572" s="34" t="n"/>
      <c r="AD572" s="34" t="n"/>
      <c r="AE572" s="34" t="n"/>
      <c r="AF572" s="34" t="n"/>
      <c r="AG572" s="34" t="n"/>
      <c r="AH572" s="34" t="n"/>
      <c r="AK572" s="34" t="n"/>
      <c r="AL572" s="34" t="n"/>
      <c r="AM572" s="39" t="n"/>
      <c r="AN572" s="34" t="n"/>
      <c r="AO572" s="34" t="n"/>
      <c r="AP572" s="34" t="n"/>
      <c r="AQ572" s="34" t="n"/>
      <c r="AR572" s="34" t="n"/>
      <c r="AS572" s="34" t="n"/>
      <c r="AU572" s="34" t="n"/>
      <c r="AV572" s="34" t="n"/>
      <c r="AW572" s="34" t="n"/>
      <c r="AX572" s="34" t="n"/>
      <c r="AY572" s="34" t="n"/>
      <c r="AZ572" s="34" t="n"/>
      <c r="BA572" s="34" t="n"/>
      <c r="BB572" s="34" t="n"/>
      <c r="BC572" s="34" t="n"/>
      <c r="BD572" s="34" t="n"/>
      <c r="BE572" s="34" t="n"/>
      <c r="BF572" s="34" t="n"/>
      <c r="BG572" s="34" t="n"/>
      <c r="BH572" s="34" t="n"/>
      <c r="BI572" s="34" t="n"/>
      <c r="BJ572" s="34" t="n"/>
      <c r="BK572" s="34" t="n"/>
      <c r="BL572" s="34" t="n"/>
      <c r="BM572" s="34" t="n"/>
      <c r="BN572" s="34" t="n"/>
      <c r="BO572" s="34" t="n"/>
      <c r="BP572" s="34" t="n"/>
      <c r="BQ572" s="34" t="n"/>
      <c r="BR572" s="82" t="n"/>
      <c r="BS572" s="34" t="n"/>
      <c r="BT572" s="34" t="n"/>
      <c r="BU572" s="34" t="n"/>
      <c r="BV572" s="34" t="n"/>
      <c r="BW572" s="34" t="n"/>
      <c r="BX572" s="34" t="n"/>
      <c r="BY572" s="34" t="n"/>
      <c r="BZ572" s="34" t="n"/>
      <c r="CA572" s="34" t="n"/>
      <c r="CB572" s="33" t="n"/>
      <c r="CC572" s="34" t="n"/>
      <c r="CD572" s="34" t="n"/>
      <c r="CE572" s="82" t="n"/>
      <c r="CF572" s="34" t="n"/>
      <c r="CG572" s="34" t="n"/>
      <c r="CH572" s="34" t="n"/>
      <c r="CI572" s="34" t="n"/>
      <c r="CJ572" s="34" t="n"/>
    </row>
    <row r="573">
      <c r="A573" s="29" t="n"/>
      <c r="B573" s="29" t="n"/>
      <c r="C573" s="35" t="n"/>
      <c r="D573" s="36" t="n"/>
      <c r="E573" s="147" t="n"/>
      <c r="F573" s="30" t="n"/>
      <c r="G573" s="30" t="n"/>
      <c r="H573" s="30" t="n"/>
      <c r="I573" s="30" t="n"/>
      <c r="J573" s="119" t="n"/>
      <c r="K573" s="34" t="n"/>
      <c r="L573" s="119" t="n"/>
      <c r="M573" s="34" t="n"/>
      <c r="N573" s="119" t="n"/>
      <c r="O573" s="34" t="n"/>
      <c r="P573" s="34" t="n"/>
      <c r="Q573" s="117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  <c r="AA573" s="34" t="n"/>
      <c r="AB573" s="34" t="n"/>
      <c r="AC573" s="34" t="n"/>
      <c r="AD573" s="34" t="n"/>
      <c r="AE573" s="34" t="n"/>
      <c r="AF573" s="34" t="n"/>
      <c r="AG573" s="34" t="n"/>
      <c r="AH573" s="34" t="n"/>
      <c r="AK573" s="34" t="n"/>
      <c r="AL573" s="34" t="n"/>
      <c r="AM573" s="39" t="n"/>
      <c r="AN573" s="34" t="n"/>
      <c r="AO573" s="34" t="n"/>
      <c r="AP573" s="34" t="n"/>
      <c r="AQ573" s="34" t="n"/>
      <c r="AR573" s="34" t="n"/>
      <c r="AS573" s="34" t="n"/>
      <c r="AU573" s="34" t="n"/>
      <c r="AV573" s="34" t="n"/>
      <c r="AW573" s="34" t="n"/>
      <c r="AX573" s="34" t="n"/>
      <c r="AY573" s="34" t="n"/>
      <c r="AZ573" s="34" t="n"/>
      <c r="BA573" s="34" t="n"/>
      <c r="BB573" s="34" t="n"/>
      <c r="BC573" s="34" t="n"/>
      <c r="BD573" s="34" t="n"/>
      <c r="BE573" s="34" t="n"/>
      <c r="BF573" s="34" t="n"/>
      <c r="BG573" s="34" t="n"/>
      <c r="BH573" s="34" t="n"/>
      <c r="BI573" s="34" t="n"/>
      <c r="BJ573" s="34" t="n"/>
      <c r="BK573" s="34" t="n"/>
      <c r="BL573" s="34" t="n"/>
      <c r="BM573" s="34" t="n"/>
      <c r="BN573" s="34" t="n"/>
      <c r="BO573" s="34" t="n"/>
      <c r="BP573" s="34" t="n"/>
      <c r="BQ573" s="34" t="n"/>
      <c r="BR573" s="82" t="n"/>
      <c r="BS573" s="34" t="n"/>
      <c r="BT573" s="34" t="n"/>
      <c r="BU573" s="34" t="n"/>
      <c r="BV573" s="34" t="n"/>
      <c r="BW573" s="34" t="n"/>
      <c r="BX573" s="34" t="n"/>
      <c r="BY573" s="34" t="n"/>
      <c r="BZ573" s="34" t="n"/>
      <c r="CA573" s="34" t="n"/>
      <c r="CB573" s="33" t="n"/>
      <c r="CC573" s="34" t="n"/>
      <c r="CD573" s="34" t="n"/>
      <c r="CE573" s="82" t="n"/>
      <c r="CF573" s="34" t="n"/>
      <c r="CG573" s="34" t="n"/>
      <c r="CH573" s="34" t="n"/>
      <c r="CI573" s="34" t="n"/>
      <c r="CJ573" s="34" t="n"/>
    </row>
    <row r="574">
      <c r="A574" s="29" t="n"/>
      <c r="B574" s="29" t="n"/>
      <c r="C574" s="35" t="n"/>
      <c r="D574" s="36" t="n"/>
      <c r="E574" s="147" t="n"/>
      <c r="F574" s="30" t="n"/>
      <c r="G574" s="30" t="n"/>
      <c r="H574" s="30" t="n"/>
      <c r="I574" s="30" t="n"/>
      <c r="J574" s="119" t="n"/>
      <c r="K574" s="34" t="n"/>
      <c r="L574" s="119" t="n"/>
      <c r="M574" s="34" t="n"/>
      <c r="N574" s="119" t="n"/>
      <c r="O574" s="34" t="n"/>
      <c r="P574" s="34" t="n"/>
      <c r="Q574" s="117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  <c r="AA574" s="34" t="n"/>
      <c r="AB574" s="34" t="n"/>
      <c r="AC574" s="34" t="n"/>
      <c r="AD574" s="34" t="n"/>
      <c r="AE574" s="34" t="n"/>
      <c r="AF574" s="34" t="n"/>
      <c r="AG574" s="34" t="n"/>
      <c r="AH574" s="34" t="n"/>
      <c r="AK574" s="34" t="n"/>
      <c r="AL574" s="34" t="n"/>
      <c r="AM574" s="39" t="n"/>
      <c r="AN574" s="34" t="n"/>
      <c r="AO574" s="34" t="n"/>
      <c r="AP574" s="34" t="n"/>
      <c r="AQ574" s="34" t="n"/>
      <c r="AR574" s="34" t="n"/>
      <c r="AS574" s="34" t="n"/>
      <c r="AU574" s="34" t="n"/>
      <c r="AV574" s="34" t="n"/>
      <c r="AW574" s="34" t="n"/>
      <c r="AX574" s="34" t="n"/>
      <c r="AY574" s="34" t="n"/>
      <c r="AZ574" s="34" t="n"/>
      <c r="BA574" s="34" t="n"/>
      <c r="BB574" s="34" t="n"/>
      <c r="BC574" s="34" t="n"/>
      <c r="BD574" s="34" t="n"/>
      <c r="BE574" s="34" t="n"/>
      <c r="BF574" s="34" t="n"/>
      <c r="BG574" s="34" t="n"/>
      <c r="BH574" s="34" t="n"/>
      <c r="BI574" s="34" t="n"/>
      <c r="BJ574" s="34" t="n"/>
      <c r="BK574" s="34" t="n"/>
      <c r="BL574" s="34" t="n"/>
      <c r="BM574" s="34" t="n"/>
      <c r="BN574" s="34" t="n"/>
      <c r="BO574" s="34" t="n"/>
      <c r="BP574" s="34" t="n"/>
      <c r="BQ574" s="34" t="n"/>
      <c r="BR574" s="82" t="n"/>
      <c r="BS574" s="34" t="n"/>
      <c r="BT574" s="34" t="n"/>
      <c r="BU574" s="34" t="n"/>
      <c r="BV574" s="34" t="n"/>
      <c r="BW574" s="34" t="n"/>
      <c r="BX574" s="34" t="n"/>
      <c r="BY574" s="34" t="n"/>
      <c r="BZ574" s="34" t="n"/>
      <c r="CA574" s="34" t="n"/>
      <c r="CB574" s="33" t="n"/>
      <c r="CC574" s="34" t="n"/>
      <c r="CD574" s="34" t="n"/>
      <c r="CE574" s="82" t="n"/>
      <c r="CF574" s="34" t="n"/>
      <c r="CG574" s="34" t="n"/>
      <c r="CH574" s="34" t="n"/>
      <c r="CI574" s="34" t="n"/>
      <c r="CJ574" s="34" t="n"/>
    </row>
    <row r="575">
      <c r="A575" s="29" t="n"/>
      <c r="B575" s="29" t="n"/>
      <c r="C575" s="35" t="n"/>
      <c r="D575" s="36" t="n"/>
      <c r="E575" s="147" t="n"/>
      <c r="F575" s="30" t="n"/>
      <c r="G575" s="30" t="n"/>
      <c r="H575" s="30" t="n"/>
      <c r="I575" s="30" t="n"/>
      <c r="J575" s="119" t="n"/>
      <c r="K575" s="34" t="n"/>
      <c r="L575" s="119" t="n"/>
      <c r="M575" s="34" t="n"/>
      <c r="N575" s="119" t="n"/>
      <c r="O575" s="34" t="n"/>
      <c r="P575" s="34" t="n"/>
      <c r="Q575" s="117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  <c r="AA575" s="34" t="n"/>
      <c r="AB575" s="34" t="n"/>
      <c r="AC575" s="34" t="n"/>
      <c r="AD575" s="34" t="n"/>
      <c r="AE575" s="34" t="n"/>
      <c r="AF575" s="34" t="n"/>
      <c r="AG575" s="34" t="n"/>
      <c r="AH575" s="34" t="n"/>
      <c r="AK575" s="34" t="n"/>
      <c r="AL575" s="34" t="n"/>
      <c r="AM575" s="39" t="n"/>
      <c r="AN575" s="34" t="n"/>
      <c r="AO575" s="34" t="n"/>
      <c r="AP575" s="34" t="n"/>
      <c r="AQ575" s="34" t="n"/>
      <c r="AR575" s="34" t="n"/>
      <c r="AS575" s="34" t="n"/>
      <c r="AU575" s="34" t="n"/>
      <c r="AV575" s="34" t="n"/>
      <c r="AW575" s="34" t="n"/>
      <c r="AX575" s="34" t="n"/>
      <c r="AY575" s="34" t="n"/>
      <c r="AZ575" s="34" t="n"/>
      <c r="BA575" s="34" t="n"/>
      <c r="BB575" s="34" t="n"/>
      <c r="BC575" s="34" t="n"/>
      <c r="BD575" s="34" t="n"/>
      <c r="BE575" s="34" t="n"/>
      <c r="BF575" s="34" t="n"/>
      <c r="BG575" s="34" t="n"/>
      <c r="BH575" s="34" t="n"/>
      <c r="BI575" s="34" t="n"/>
      <c r="BJ575" s="34" t="n"/>
      <c r="BK575" s="34" t="n"/>
      <c r="BL575" s="34" t="n"/>
      <c r="BM575" s="34" t="n"/>
      <c r="BN575" s="34" t="n"/>
      <c r="BO575" s="34" t="n"/>
      <c r="BP575" s="34" t="n"/>
      <c r="BQ575" s="34" t="n"/>
      <c r="BR575" s="82" t="n"/>
      <c r="BS575" s="34" t="n"/>
      <c r="BT575" s="34" t="n"/>
      <c r="BU575" s="34" t="n"/>
      <c r="BV575" s="34" t="n"/>
      <c r="BW575" s="34" t="n"/>
      <c r="BX575" s="34" t="n"/>
      <c r="BY575" s="34" t="n"/>
      <c r="BZ575" s="34" t="n"/>
      <c r="CA575" s="34" t="n"/>
      <c r="CB575" s="33" t="n"/>
      <c r="CC575" s="34" t="n"/>
      <c r="CD575" s="34" t="n"/>
      <c r="CE575" s="82" t="n"/>
      <c r="CF575" s="34" t="n"/>
      <c r="CG575" s="34" t="n"/>
      <c r="CH575" s="34" t="n"/>
      <c r="CI575" s="34" t="n"/>
      <c r="CJ575" s="34" t="n"/>
    </row>
    <row r="576">
      <c r="A576" s="29" t="n"/>
      <c r="B576" s="29" t="n"/>
      <c r="C576" s="35" t="n"/>
      <c r="D576" s="36" t="n"/>
      <c r="E576" s="147" t="n"/>
      <c r="F576" s="30" t="n"/>
      <c r="G576" s="30" t="n"/>
      <c r="H576" s="30" t="n"/>
      <c r="I576" s="30" t="n"/>
      <c r="J576" s="119" t="n"/>
      <c r="K576" s="34" t="n"/>
      <c r="L576" s="119" t="n"/>
      <c r="M576" s="34" t="n"/>
      <c r="N576" s="119" t="n"/>
      <c r="O576" s="34" t="n"/>
      <c r="P576" s="34" t="n"/>
      <c r="Q576" s="117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  <c r="AA576" s="34" t="n"/>
      <c r="AB576" s="34" t="n"/>
      <c r="AC576" s="34" t="n"/>
      <c r="AD576" s="34" t="n"/>
      <c r="AE576" s="34" t="n"/>
      <c r="AF576" s="34" t="n"/>
      <c r="AG576" s="34" t="n"/>
      <c r="AH576" s="34" t="n"/>
      <c r="AK576" s="34" t="n"/>
      <c r="AL576" s="34" t="n"/>
      <c r="AM576" s="39" t="n"/>
      <c r="AN576" s="34" t="n"/>
      <c r="AO576" s="34" t="n"/>
      <c r="AP576" s="34" t="n"/>
      <c r="AQ576" s="34" t="n"/>
      <c r="AR576" s="34" t="n"/>
      <c r="AS576" s="34" t="n"/>
      <c r="AU576" s="34" t="n"/>
      <c r="AV576" s="34" t="n"/>
      <c r="AW576" s="34" t="n"/>
      <c r="AX576" s="34" t="n"/>
      <c r="AY576" s="34" t="n"/>
      <c r="AZ576" s="34" t="n"/>
      <c r="BA576" s="34" t="n"/>
      <c r="BB576" s="34" t="n"/>
      <c r="BC576" s="34" t="n"/>
      <c r="BD576" s="34" t="n"/>
      <c r="BE576" s="34" t="n"/>
      <c r="BF576" s="34" t="n"/>
      <c r="BG576" s="34" t="n"/>
      <c r="BH576" s="34" t="n"/>
      <c r="BI576" s="34" t="n"/>
      <c r="BJ576" s="34" t="n"/>
      <c r="BK576" s="34" t="n"/>
      <c r="BL576" s="34" t="n"/>
      <c r="BM576" s="34" t="n"/>
      <c r="BN576" s="34" t="n"/>
      <c r="BO576" s="34" t="n"/>
      <c r="BP576" s="34" t="n"/>
      <c r="BQ576" s="34" t="n"/>
      <c r="BR576" s="82" t="n"/>
      <c r="BS576" s="34" t="n"/>
      <c r="BT576" s="34" t="n"/>
      <c r="BU576" s="34" t="n"/>
      <c r="BV576" s="34" t="n"/>
      <c r="BW576" s="34" t="n"/>
      <c r="BX576" s="34" t="n"/>
      <c r="BY576" s="34" t="n"/>
      <c r="BZ576" s="34" t="n"/>
      <c r="CA576" s="34" t="n"/>
      <c r="CB576" s="33" t="n"/>
      <c r="CC576" s="34" t="n"/>
      <c r="CD576" s="34" t="n"/>
      <c r="CE576" s="82" t="n"/>
      <c r="CF576" s="34" t="n"/>
      <c r="CG576" s="34" t="n"/>
      <c r="CH576" s="34" t="n"/>
      <c r="CI576" s="34" t="n"/>
      <c r="CJ576" s="34" t="n"/>
    </row>
    <row r="577">
      <c r="A577" s="29" t="n"/>
      <c r="B577" s="29" t="n"/>
      <c r="C577" s="35" t="n"/>
      <c r="D577" s="36" t="n"/>
      <c r="E577" s="147" t="n"/>
      <c r="F577" s="30" t="n"/>
      <c r="G577" s="30" t="n"/>
      <c r="H577" s="30" t="n"/>
      <c r="I577" s="30" t="n"/>
      <c r="J577" s="119" t="n"/>
      <c r="K577" s="34" t="n"/>
      <c r="L577" s="119" t="n"/>
      <c r="M577" s="34" t="n"/>
      <c r="N577" s="119" t="n"/>
      <c r="O577" s="34" t="n"/>
      <c r="P577" s="34" t="n"/>
      <c r="Q577" s="117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  <c r="AA577" s="34" t="n"/>
      <c r="AB577" s="34" t="n"/>
      <c r="AC577" s="34" t="n"/>
      <c r="AD577" s="34" t="n"/>
      <c r="AE577" s="34" t="n"/>
      <c r="AF577" s="34" t="n"/>
      <c r="AG577" s="34" t="n"/>
      <c r="AH577" s="34" t="n"/>
      <c r="AK577" s="34" t="n"/>
      <c r="AL577" s="34" t="n"/>
      <c r="AM577" s="39" t="n"/>
      <c r="AN577" s="34" t="n"/>
      <c r="AO577" s="34" t="n"/>
      <c r="AP577" s="34" t="n"/>
      <c r="AQ577" s="34" t="n"/>
      <c r="AR577" s="34" t="n"/>
      <c r="AS577" s="34" t="n"/>
      <c r="AU577" s="34" t="n"/>
      <c r="AV577" s="34" t="n"/>
      <c r="AW577" s="34" t="n"/>
      <c r="AX577" s="34" t="n"/>
      <c r="AY577" s="34" t="n"/>
      <c r="AZ577" s="34" t="n"/>
      <c r="BA577" s="34" t="n"/>
      <c r="BB577" s="34" t="n"/>
      <c r="BC577" s="34" t="n"/>
      <c r="BD577" s="34" t="n"/>
      <c r="BE577" s="34" t="n"/>
      <c r="BF577" s="34" t="n"/>
      <c r="BG577" s="34" t="n"/>
      <c r="BH577" s="34" t="n"/>
      <c r="BI577" s="34" t="n"/>
      <c r="BJ577" s="34" t="n"/>
      <c r="BK577" s="34" t="n"/>
      <c r="BL577" s="34" t="n"/>
      <c r="BM577" s="34" t="n"/>
      <c r="BN577" s="34" t="n"/>
      <c r="BO577" s="34" t="n"/>
      <c r="BP577" s="34" t="n"/>
      <c r="BQ577" s="34" t="n"/>
      <c r="BR577" s="82" t="n"/>
      <c r="BS577" s="34" t="n"/>
      <c r="BT577" s="34" t="n"/>
      <c r="BU577" s="34" t="n"/>
      <c r="BV577" s="34" t="n"/>
      <c r="BW577" s="34" t="n"/>
      <c r="BX577" s="34" t="n"/>
      <c r="BY577" s="34" t="n"/>
      <c r="BZ577" s="34" t="n"/>
      <c r="CA577" s="34" t="n"/>
      <c r="CB577" s="33" t="n"/>
      <c r="CC577" s="34" t="n"/>
      <c r="CD577" s="34" t="n"/>
      <c r="CE577" s="82" t="n"/>
      <c r="CF577" s="34" t="n"/>
      <c r="CG577" s="34" t="n"/>
      <c r="CH577" s="34" t="n"/>
      <c r="CI577" s="34" t="n"/>
      <c r="CJ577" s="34" t="n"/>
    </row>
    <row r="578">
      <c r="A578" s="29" t="n"/>
      <c r="B578" s="29" t="n"/>
      <c r="C578" s="35" t="n"/>
      <c r="D578" s="36" t="n"/>
      <c r="E578" s="147" t="n"/>
      <c r="F578" s="30" t="n"/>
      <c r="G578" s="30" t="n"/>
      <c r="H578" s="30" t="n"/>
      <c r="I578" s="30" t="n"/>
      <c r="J578" s="119" t="n"/>
      <c r="K578" s="34" t="n"/>
      <c r="L578" s="119" t="n"/>
      <c r="M578" s="34" t="n"/>
      <c r="N578" s="119" t="n"/>
      <c r="O578" s="34" t="n"/>
      <c r="P578" s="34" t="n"/>
      <c r="Q578" s="117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  <c r="AA578" s="34" t="n"/>
      <c r="AB578" s="34" t="n"/>
      <c r="AC578" s="34" t="n"/>
      <c r="AD578" s="34" t="n"/>
      <c r="AE578" s="34" t="n"/>
      <c r="AF578" s="34" t="n"/>
      <c r="AG578" s="34" t="n"/>
      <c r="AH578" s="34" t="n"/>
      <c r="AK578" s="34" t="n"/>
      <c r="AL578" s="34" t="n"/>
      <c r="AM578" s="39" t="n"/>
      <c r="AN578" s="34" t="n"/>
      <c r="AO578" s="34" t="n"/>
      <c r="AP578" s="34" t="n"/>
      <c r="AQ578" s="34" t="n"/>
      <c r="AR578" s="34" t="n"/>
      <c r="AS578" s="34" t="n"/>
      <c r="AU578" s="34" t="n"/>
      <c r="AV578" s="34" t="n"/>
      <c r="AW578" s="34" t="n"/>
      <c r="AX578" s="34" t="n"/>
      <c r="AY578" s="34" t="n"/>
      <c r="AZ578" s="34" t="n"/>
      <c r="BA578" s="34" t="n"/>
      <c r="BB578" s="34" t="n"/>
      <c r="BC578" s="34" t="n"/>
      <c r="BD578" s="34" t="n"/>
      <c r="BE578" s="34" t="n"/>
      <c r="BF578" s="34" t="n"/>
      <c r="BG578" s="34" t="n"/>
      <c r="BH578" s="34" t="n"/>
      <c r="BI578" s="34" t="n"/>
      <c r="BJ578" s="34" t="n"/>
      <c r="BK578" s="34" t="n"/>
      <c r="BL578" s="34" t="n"/>
      <c r="BM578" s="34" t="n"/>
      <c r="BN578" s="34" t="n"/>
      <c r="BO578" s="34" t="n"/>
      <c r="BP578" s="34" t="n"/>
      <c r="BQ578" s="34" t="n"/>
      <c r="BR578" s="82" t="n"/>
      <c r="BS578" s="34" t="n"/>
      <c r="BT578" s="34" t="n"/>
      <c r="BU578" s="34" t="n"/>
      <c r="BV578" s="34" t="n"/>
      <c r="BW578" s="34" t="n"/>
      <c r="BX578" s="34" t="n"/>
      <c r="BY578" s="34" t="n"/>
      <c r="BZ578" s="34" t="n"/>
      <c r="CA578" s="34" t="n"/>
      <c r="CB578" s="33" t="n"/>
      <c r="CC578" s="34" t="n"/>
      <c r="CD578" s="34" t="n"/>
      <c r="CE578" s="82" t="n"/>
      <c r="CF578" s="34" t="n"/>
      <c r="CG578" s="34" t="n"/>
      <c r="CH578" s="34" t="n"/>
      <c r="CI578" s="34" t="n"/>
      <c r="CJ578" s="34" t="n"/>
    </row>
    <row r="579">
      <c r="A579" s="29" t="n"/>
      <c r="B579" s="29" t="n"/>
      <c r="C579" s="35" t="n"/>
      <c r="D579" s="36" t="n"/>
      <c r="E579" s="147" t="n"/>
      <c r="F579" s="30" t="n"/>
      <c r="G579" s="30" t="n"/>
      <c r="H579" s="30" t="n"/>
      <c r="I579" s="30" t="n"/>
      <c r="J579" s="119" t="n"/>
      <c r="K579" s="34" t="n"/>
      <c r="L579" s="119" t="n"/>
      <c r="M579" s="34" t="n"/>
      <c r="N579" s="119" t="n"/>
      <c r="O579" s="34" t="n"/>
      <c r="P579" s="34" t="n"/>
      <c r="Q579" s="117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  <c r="AA579" s="34" t="n"/>
      <c r="AB579" s="34" t="n"/>
      <c r="AC579" s="34" t="n"/>
      <c r="AD579" s="34" t="n"/>
      <c r="AE579" s="34" t="n"/>
      <c r="AF579" s="34" t="n"/>
      <c r="AG579" s="34" t="n"/>
      <c r="AH579" s="34" t="n"/>
      <c r="AK579" s="34" t="n"/>
      <c r="AL579" s="34" t="n"/>
      <c r="AM579" s="39" t="n"/>
      <c r="AN579" s="34" t="n"/>
      <c r="AO579" s="34" t="n"/>
      <c r="AP579" s="34" t="n"/>
      <c r="AQ579" s="34" t="n"/>
      <c r="AR579" s="34" t="n"/>
      <c r="AS579" s="34" t="n"/>
      <c r="AU579" s="34" t="n"/>
      <c r="AV579" s="34" t="n"/>
      <c r="AW579" s="34" t="n"/>
      <c r="AX579" s="34" t="n"/>
      <c r="AY579" s="34" t="n"/>
      <c r="AZ579" s="34" t="n"/>
      <c r="BA579" s="34" t="n"/>
      <c r="BB579" s="34" t="n"/>
      <c r="BC579" s="34" t="n"/>
      <c r="BD579" s="34" t="n"/>
      <c r="BE579" s="34" t="n"/>
      <c r="BF579" s="34" t="n"/>
      <c r="BG579" s="34" t="n"/>
      <c r="BH579" s="34" t="n"/>
      <c r="BI579" s="34" t="n"/>
      <c r="BJ579" s="34" t="n"/>
      <c r="BK579" s="34" t="n"/>
      <c r="BL579" s="34" t="n"/>
      <c r="BM579" s="34" t="n"/>
      <c r="BN579" s="34" t="n"/>
      <c r="BO579" s="34" t="n"/>
      <c r="BP579" s="34" t="n"/>
      <c r="BQ579" s="34" t="n"/>
      <c r="BR579" s="82" t="n"/>
      <c r="BS579" s="34" t="n"/>
      <c r="BT579" s="34" t="n"/>
      <c r="BU579" s="34" t="n"/>
      <c r="BV579" s="34" t="n"/>
      <c r="BW579" s="34" t="n"/>
      <c r="BX579" s="34" t="n"/>
      <c r="BY579" s="34" t="n"/>
      <c r="BZ579" s="34" t="n"/>
      <c r="CA579" s="34" t="n"/>
      <c r="CB579" s="33" t="n"/>
      <c r="CC579" s="34" t="n"/>
      <c r="CD579" s="34" t="n"/>
      <c r="CE579" s="82" t="n"/>
      <c r="CF579" s="34" t="n"/>
      <c r="CG579" s="34" t="n"/>
      <c r="CH579" s="34" t="n"/>
      <c r="CI579" s="34" t="n"/>
      <c r="CJ579" s="34" t="n"/>
    </row>
    <row r="580">
      <c r="A580" s="29" t="n"/>
      <c r="B580" s="29" t="n"/>
      <c r="C580" s="35" t="n"/>
      <c r="D580" s="36" t="n"/>
      <c r="E580" s="147" t="n"/>
      <c r="F580" s="30" t="n"/>
      <c r="G580" s="30" t="n"/>
      <c r="H580" s="30" t="n"/>
      <c r="I580" s="30" t="n"/>
      <c r="J580" s="119" t="n"/>
      <c r="K580" s="34" t="n"/>
      <c r="L580" s="119" t="n"/>
      <c r="M580" s="34" t="n"/>
      <c r="N580" s="119" t="n"/>
      <c r="O580" s="34" t="n"/>
      <c r="P580" s="34" t="n"/>
      <c r="Q580" s="117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  <c r="AA580" s="34" t="n"/>
      <c r="AB580" s="34" t="n"/>
      <c r="AC580" s="34" t="n"/>
      <c r="AD580" s="34" t="n"/>
      <c r="AE580" s="34" t="n"/>
      <c r="AF580" s="34" t="n"/>
      <c r="AG580" s="34" t="n"/>
      <c r="AH580" s="34" t="n"/>
      <c r="AK580" s="34" t="n"/>
      <c r="AL580" s="34" t="n"/>
      <c r="AM580" s="39" t="n"/>
      <c r="AN580" s="34" t="n"/>
      <c r="AO580" s="34" t="n"/>
      <c r="AP580" s="34" t="n"/>
      <c r="AQ580" s="34" t="n"/>
      <c r="AR580" s="34" t="n"/>
      <c r="AS580" s="34" t="n"/>
      <c r="AU580" s="34" t="n"/>
      <c r="AV580" s="34" t="n"/>
      <c r="AW580" s="34" t="n"/>
      <c r="AX580" s="34" t="n"/>
      <c r="AY580" s="34" t="n"/>
      <c r="AZ580" s="34" t="n"/>
      <c r="BA580" s="34" t="n"/>
      <c r="BB580" s="34" t="n"/>
      <c r="BC580" s="34" t="n"/>
      <c r="BD580" s="34" t="n"/>
      <c r="BE580" s="34" t="n"/>
      <c r="BF580" s="34" t="n"/>
      <c r="BG580" s="34" t="n"/>
      <c r="BH580" s="34" t="n"/>
      <c r="BI580" s="34" t="n"/>
      <c r="BJ580" s="34" t="n"/>
      <c r="BK580" s="34" t="n"/>
      <c r="BL580" s="34" t="n"/>
      <c r="BM580" s="34" t="n"/>
      <c r="BN580" s="34" t="n"/>
      <c r="BO580" s="34" t="n"/>
      <c r="BP580" s="34" t="n"/>
      <c r="BQ580" s="34" t="n"/>
      <c r="BR580" s="82" t="n"/>
      <c r="BS580" s="34" t="n"/>
      <c r="BT580" s="34" t="n"/>
      <c r="BU580" s="34" t="n"/>
      <c r="BV580" s="34" t="n"/>
      <c r="BW580" s="34" t="n"/>
      <c r="BX580" s="34" t="n"/>
      <c r="BY580" s="34" t="n"/>
      <c r="BZ580" s="34" t="n"/>
      <c r="CA580" s="34" t="n"/>
      <c r="CB580" s="33" t="n"/>
      <c r="CC580" s="34" t="n"/>
      <c r="CD580" s="34" t="n"/>
      <c r="CE580" s="82" t="n"/>
      <c r="CF580" s="34" t="n"/>
      <c r="CG580" s="34" t="n"/>
      <c r="CH580" s="34" t="n"/>
      <c r="CI580" s="34" t="n"/>
      <c r="CJ580" s="34" t="n"/>
    </row>
    <row r="581">
      <c r="A581" s="29" t="n"/>
      <c r="B581" s="29" t="n"/>
      <c r="C581" s="35" t="n"/>
      <c r="D581" s="36" t="n"/>
      <c r="E581" s="147" t="n"/>
      <c r="F581" s="30" t="n"/>
      <c r="G581" s="30" t="n"/>
      <c r="H581" s="30" t="n"/>
      <c r="I581" s="30" t="n"/>
      <c r="J581" s="119" t="n"/>
      <c r="K581" s="34" t="n"/>
      <c r="L581" s="119" t="n"/>
      <c r="M581" s="34" t="n"/>
      <c r="N581" s="119" t="n"/>
      <c r="O581" s="34" t="n"/>
      <c r="P581" s="34" t="n"/>
      <c r="Q581" s="117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  <c r="AA581" s="34" t="n"/>
      <c r="AB581" s="34" t="n"/>
      <c r="AC581" s="34" t="n"/>
      <c r="AD581" s="34" t="n"/>
      <c r="AE581" s="34" t="n"/>
      <c r="AF581" s="34" t="n"/>
      <c r="AG581" s="34" t="n"/>
      <c r="AH581" s="34" t="n"/>
      <c r="AK581" s="34" t="n"/>
      <c r="AL581" s="34" t="n"/>
      <c r="AM581" s="39" t="n"/>
      <c r="AN581" s="34" t="n"/>
      <c r="AO581" s="34" t="n"/>
      <c r="AP581" s="34" t="n"/>
      <c r="AQ581" s="34" t="n"/>
      <c r="AR581" s="34" t="n"/>
      <c r="AS581" s="34" t="n"/>
      <c r="AU581" s="34" t="n"/>
      <c r="AV581" s="34" t="n"/>
      <c r="AW581" s="34" t="n"/>
      <c r="AX581" s="34" t="n"/>
      <c r="AY581" s="34" t="n"/>
      <c r="AZ581" s="34" t="n"/>
      <c r="BA581" s="34" t="n"/>
      <c r="BB581" s="34" t="n"/>
      <c r="BC581" s="34" t="n"/>
      <c r="BD581" s="34" t="n"/>
      <c r="BE581" s="34" t="n"/>
      <c r="BF581" s="34" t="n"/>
      <c r="BG581" s="34" t="n"/>
      <c r="BH581" s="34" t="n"/>
      <c r="BI581" s="34" t="n"/>
      <c r="BJ581" s="34" t="n"/>
      <c r="BK581" s="34" t="n"/>
      <c r="BL581" s="34" t="n"/>
      <c r="BM581" s="34" t="n"/>
      <c r="BN581" s="34" t="n"/>
      <c r="BO581" s="34" t="n"/>
      <c r="BP581" s="34" t="n"/>
      <c r="BQ581" s="34" t="n"/>
      <c r="BR581" s="82" t="n"/>
      <c r="BS581" s="34" t="n"/>
      <c r="BT581" s="34" t="n"/>
      <c r="BU581" s="34" t="n"/>
      <c r="BV581" s="34" t="n"/>
      <c r="BW581" s="34" t="n"/>
      <c r="BX581" s="34" t="n"/>
      <c r="BY581" s="34" t="n"/>
      <c r="BZ581" s="34" t="n"/>
      <c r="CA581" s="34" t="n"/>
      <c r="CB581" s="33" t="n"/>
      <c r="CC581" s="34" t="n"/>
      <c r="CD581" s="34" t="n"/>
      <c r="CE581" s="82" t="n"/>
      <c r="CF581" s="34" t="n"/>
      <c r="CG581" s="34" t="n"/>
      <c r="CH581" s="34" t="n"/>
      <c r="CI581" s="34" t="n"/>
      <c r="CJ581" s="34" t="n"/>
    </row>
    <row r="582">
      <c r="A582" s="29" t="n"/>
      <c r="B582" s="29" t="n"/>
      <c r="C582" s="35" t="n"/>
      <c r="D582" s="36" t="n"/>
      <c r="E582" s="147" t="n"/>
      <c r="F582" s="30" t="n"/>
      <c r="G582" s="30" t="n"/>
      <c r="H582" s="30" t="n"/>
      <c r="I582" s="30" t="n"/>
      <c r="J582" s="119" t="n"/>
      <c r="K582" s="34" t="n"/>
      <c r="L582" s="119" t="n"/>
      <c r="M582" s="34" t="n"/>
      <c r="N582" s="119" t="n"/>
      <c r="O582" s="34" t="n"/>
      <c r="P582" s="34" t="n"/>
      <c r="Q582" s="117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  <c r="AA582" s="34" t="n"/>
      <c r="AB582" s="34" t="n"/>
      <c r="AC582" s="34" t="n"/>
      <c r="AD582" s="34" t="n"/>
      <c r="AE582" s="34" t="n"/>
      <c r="AF582" s="34" t="n"/>
      <c r="AG582" s="34" t="n"/>
      <c r="AH582" s="34" t="n"/>
      <c r="AK582" s="34" t="n"/>
      <c r="AL582" s="34" t="n"/>
      <c r="AM582" s="39" t="n"/>
      <c r="AN582" s="34" t="n"/>
      <c r="AO582" s="34" t="n"/>
      <c r="AP582" s="34" t="n"/>
      <c r="AQ582" s="34" t="n"/>
      <c r="AR582" s="34" t="n"/>
      <c r="AS582" s="34" t="n"/>
      <c r="AU582" s="34" t="n"/>
      <c r="AV582" s="34" t="n"/>
      <c r="AW582" s="34" t="n"/>
      <c r="AX582" s="34" t="n"/>
      <c r="AY582" s="34" t="n"/>
      <c r="AZ582" s="34" t="n"/>
      <c r="BA582" s="34" t="n"/>
      <c r="BB582" s="34" t="n"/>
      <c r="BC582" s="34" t="n"/>
      <c r="BD582" s="34" t="n"/>
      <c r="BE582" s="34" t="n"/>
      <c r="BF582" s="34" t="n"/>
      <c r="BG582" s="34" t="n"/>
      <c r="BH582" s="34" t="n"/>
      <c r="BI582" s="34" t="n"/>
      <c r="BJ582" s="34" t="n"/>
      <c r="BK582" s="34" t="n"/>
      <c r="BL582" s="34" t="n"/>
      <c r="BM582" s="34" t="n"/>
      <c r="BN582" s="34" t="n"/>
      <c r="BO582" s="34" t="n"/>
      <c r="BP582" s="34" t="n"/>
      <c r="BQ582" s="34" t="n"/>
      <c r="BR582" s="82" t="n"/>
      <c r="BS582" s="34" t="n"/>
      <c r="BT582" s="34" t="n"/>
      <c r="BU582" s="34" t="n"/>
      <c r="BV582" s="34" t="n"/>
      <c r="BW582" s="34" t="n"/>
      <c r="BX582" s="34" t="n"/>
      <c r="BY582" s="34" t="n"/>
      <c r="BZ582" s="34" t="n"/>
      <c r="CA582" s="34" t="n"/>
      <c r="CB582" s="33" t="n"/>
      <c r="CC582" s="34" t="n"/>
      <c r="CD582" s="34" t="n"/>
      <c r="CE582" s="82" t="n"/>
      <c r="CF582" s="34" t="n"/>
      <c r="CG582" s="34" t="n"/>
      <c r="CH582" s="34" t="n"/>
      <c r="CI582" s="34" t="n"/>
      <c r="CJ582" s="34" t="n"/>
    </row>
    <row r="583">
      <c r="A583" s="29" t="n"/>
      <c r="B583" s="29" t="n"/>
      <c r="C583" s="35" t="n"/>
      <c r="D583" s="36" t="n"/>
      <c r="E583" s="147" t="n"/>
      <c r="F583" s="30" t="n"/>
      <c r="G583" s="30" t="n"/>
      <c r="H583" s="30" t="n"/>
      <c r="I583" s="30" t="n"/>
      <c r="J583" s="119" t="n"/>
      <c r="K583" s="34" t="n"/>
      <c r="L583" s="119" t="n"/>
      <c r="M583" s="34" t="n"/>
      <c r="N583" s="119" t="n"/>
      <c r="O583" s="34" t="n"/>
      <c r="P583" s="34" t="n"/>
      <c r="Q583" s="117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  <c r="AA583" s="34" t="n"/>
      <c r="AB583" s="34" t="n"/>
      <c r="AC583" s="34" t="n"/>
      <c r="AD583" s="34" t="n"/>
      <c r="AE583" s="34" t="n"/>
      <c r="AF583" s="34" t="n"/>
      <c r="AG583" s="34" t="n"/>
      <c r="AH583" s="34" t="n"/>
      <c r="AK583" s="34" t="n"/>
      <c r="AL583" s="34" t="n"/>
      <c r="AM583" s="39" t="n"/>
      <c r="AN583" s="34" t="n"/>
      <c r="AO583" s="34" t="n"/>
      <c r="AP583" s="34" t="n"/>
      <c r="AQ583" s="34" t="n"/>
      <c r="AR583" s="34" t="n"/>
      <c r="AS583" s="34" t="n"/>
      <c r="AU583" s="34" t="n"/>
      <c r="AV583" s="34" t="n"/>
      <c r="AW583" s="34" t="n"/>
      <c r="AX583" s="34" t="n"/>
      <c r="AY583" s="34" t="n"/>
      <c r="AZ583" s="34" t="n"/>
      <c r="BA583" s="34" t="n"/>
      <c r="BB583" s="34" t="n"/>
      <c r="BC583" s="34" t="n"/>
      <c r="BD583" s="34" t="n"/>
      <c r="BE583" s="34" t="n"/>
      <c r="BF583" s="34" t="n"/>
      <c r="BG583" s="34" t="n"/>
      <c r="BH583" s="34" t="n"/>
      <c r="BI583" s="34" t="n"/>
      <c r="BJ583" s="34" t="n"/>
      <c r="BK583" s="34" t="n"/>
      <c r="BL583" s="34" t="n"/>
      <c r="BM583" s="34" t="n"/>
      <c r="BN583" s="34" t="n"/>
      <c r="BO583" s="34" t="n"/>
      <c r="BP583" s="34" t="n"/>
      <c r="BQ583" s="34" t="n"/>
      <c r="BR583" s="82" t="n"/>
      <c r="BS583" s="34" t="n"/>
      <c r="BT583" s="34" t="n"/>
      <c r="BU583" s="34" t="n"/>
      <c r="BV583" s="34" t="n"/>
      <c r="BW583" s="34" t="n"/>
      <c r="BX583" s="34" t="n"/>
      <c r="BY583" s="34" t="n"/>
      <c r="BZ583" s="34" t="n"/>
      <c r="CA583" s="34" t="n"/>
      <c r="CB583" s="33" t="n"/>
      <c r="CC583" s="34" t="n"/>
      <c r="CD583" s="34" t="n"/>
      <c r="CE583" s="82" t="n"/>
      <c r="CF583" s="34" t="n"/>
      <c r="CG583" s="34" t="n"/>
      <c r="CH583" s="34" t="n"/>
      <c r="CI583" s="34" t="n"/>
      <c r="CJ583" s="34" t="n"/>
    </row>
    <row r="584">
      <c r="A584" s="29" t="n"/>
      <c r="B584" s="29" t="n"/>
      <c r="C584" s="35" t="n"/>
      <c r="D584" s="36" t="n"/>
      <c r="E584" s="147" t="n"/>
      <c r="F584" s="30" t="n"/>
      <c r="G584" s="30" t="n"/>
      <c r="H584" s="30" t="n"/>
      <c r="I584" s="30" t="n"/>
      <c r="J584" s="119" t="n"/>
      <c r="K584" s="34" t="n"/>
      <c r="L584" s="119" t="n"/>
      <c r="M584" s="34" t="n"/>
      <c r="N584" s="119" t="n"/>
      <c r="O584" s="34" t="n"/>
      <c r="P584" s="34" t="n"/>
      <c r="Q584" s="117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  <c r="AA584" s="34" t="n"/>
      <c r="AB584" s="34" t="n"/>
      <c r="AC584" s="34" t="n"/>
      <c r="AD584" s="34" t="n"/>
      <c r="AE584" s="34" t="n"/>
      <c r="AF584" s="34" t="n"/>
      <c r="AG584" s="34" t="n"/>
      <c r="AH584" s="34" t="n"/>
      <c r="AK584" s="34" t="n"/>
      <c r="AL584" s="34" t="n"/>
      <c r="AM584" s="39" t="n"/>
      <c r="AN584" s="34" t="n"/>
      <c r="AO584" s="34" t="n"/>
      <c r="AP584" s="34" t="n"/>
      <c r="AQ584" s="34" t="n"/>
      <c r="AR584" s="34" t="n"/>
      <c r="AS584" s="34" t="n"/>
      <c r="AU584" s="34" t="n"/>
      <c r="AV584" s="34" t="n"/>
      <c r="AW584" s="34" t="n"/>
      <c r="AX584" s="34" t="n"/>
      <c r="AY584" s="34" t="n"/>
      <c r="AZ584" s="34" t="n"/>
      <c r="BA584" s="34" t="n"/>
      <c r="BB584" s="34" t="n"/>
      <c r="BC584" s="34" t="n"/>
      <c r="BD584" s="34" t="n"/>
      <c r="BE584" s="34" t="n"/>
      <c r="BF584" s="34" t="n"/>
      <c r="BG584" s="34" t="n"/>
      <c r="BH584" s="34" t="n"/>
      <c r="BI584" s="34" t="n"/>
      <c r="BJ584" s="34" t="n"/>
      <c r="BK584" s="34" t="n"/>
      <c r="BL584" s="34" t="n"/>
      <c r="BM584" s="34" t="n"/>
      <c r="BN584" s="34" t="n"/>
      <c r="BO584" s="34" t="n"/>
      <c r="BP584" s="34" t="n"/>
      <c r="BQ584" s="34" t="n"/>
      <c r="BR584" s="82" t="n"/>
      <c r="BS584" s="34" t="n"/>
      <c r="BT584" s="34" t="n"/>
      <c r="BU584" s="34" t="n"/>
      <c r="BV584" s="34" t="n"/>
      <c r="BW584" s="34" t="n"/>
      <c r="BX584" s="34" t="n"/>
      <c r="BY584" s="34" t="n"/>
      <c r="BZ584" s="34" t="n"/>
      <c r="CA584" s="34" t="n"/>
      <c r="CB584" s="33" t="n"/>
      <c r="CC584" s="34" t="n"/>
      <c r="CD584" s="34" t="n"/>
      <c r="CE584" s="82" t="n"/>
      <c r="CF584" s="34" t="n"/>
      <c r="CG584" s="34" t="n"/>
      <c r="CH584" s="34" t="n"/>
      <c r="CI584" s="34" t="n"/>
      <c r="CJ584" s="34" t="n"/>
    </row>
    <row r="585">
      <c r="A585" s="29" t="n"/>
      <c r="B585" s="29" t="n"/>
      <c r="C585" s="35" t="n"/>
      <c r="D585" s="36" t="n"/>
      <c r="E585" s="147" t="n"/>
      <c r="F585" s="30" t="n"/>
      <c r="G585" s="30" t="n"/>
      <c r="H585" s="30" t="n"/>
      <c r="I585" s="30" t="n"/>
      <c r="J585" s="119" t="n"/>
      <c r="K585" s="34" t="n"/>
      <c r="L585" s="119" t="n"/>
      <c r="M585" s="34" t="n"/>
      <c r="N585" s="119" t="n"/>
      <c r="O585" s="34" t="n"/>
      <c r="P585" s="34" t="n"/>
      <c r="Q585" s="117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  <c r="AA585" s="34" t="n"/>
      <c r="AB585" s="34" t="n"/>
      <c r="AC585" s="34" t="n"/>
      <c r="AD585" s="34" t="n"/>
      <c r="AE585" s="34" t="n"/>
      <c r="AF585" s="34" t="n"/>
      <c r="AG585" s="34" t="n"/>
      <c r="AH585" s="34" t="n"/>
      <c r="AK585" s="34" t="n"/>
      <c r="AL585" s="34" t="n"/>
      <c r="AM585" s="39" t="n"/>
      <c r="AN585" s="34" t="n"/>
      <c r="AO585" s="34" t="n"/>
      <c r="AP585" s="34" t="n"/>
      <c r="AQ585" s="34" t="n"/>
      <c r="AR585" s="34" t="n"/>
      <c r="AS585" s="34" t="n"/>
      <c r="AU585" s="34" t="n"/>
      <c r="AV585" s="34" t="n"/>
      <c r="AW585" s="34" t="n"/>
      <c r="AX585" s="34" t="n"/>
      <c r="AY585" s="34" t="n"/>
      <c r="AZ585" s="34" t="n"/>
      <c r="BA585" s="34" t="n"/>
      <c r="BB585" s="34" t="n"/>
      <c r="BC585" s="34" t="n"/>
      <c r="BD585" s="34" t="n"/>
      <c r="BE585" s="34" t="n"/>
      <c r="BF585" s="34" t="n"/>
      <c r="BG585" s="34" t="n"/>
      <c r="BH585" s="34" t="n"/>
      <c r="BI585" s="34" t="n"/>
      <c r="BJ585" s="34" t="n"/>
      <c r="BK585" s="34" t="n"/>
      <c r="BL585" s="34" t="n"/>
      <c r="BM585" s="34" t="n"/>
      <c r="BN585" s="34" t="n"/>
      <c r="BO585" s="34" t="n"/>
      <c r="BP585" s="34" t="n"/>
      <c r="BQ585" s="34" t="n"/>
      <c r="BR585" s="82" t="n"/>
      <c r="BS585" s="34" t="n"/>
      <c r="BT585" s="34" t="n"/>
      <c r="BU585" s="34" t="n"/>
      <c r="BV585" s="34" t="n"/>
      <c r="BW585" s="34" t="n"/>
      <c r="BX585" s="34" t="n"/>
      <c r="BY585" s="34" t="n"/>
      <c r="BZ585" s="34" t="n"/>
      <c r="CA585" s="34" t="n"/>
      <c r="CB585" s="33" t="n"/>
      <c r="CC585" s="34" t="n"/>
      <c r="CD585" s="34" t="n"/>
      <c r="CE585" s="82" t="n"/>
      <c r="CF585" s="34" t="n"/>
      <c r="CG585" s="34" t="n"/>
      <c r="CH585" s="34" t="n"/>
      <c r="CI585" s="34" t="n"/>
      <c r="CJ585" s="34" t="n"/>
    </row>
    <row r="586">
      <c r="A586" s="29" t="n"/>
      <c r="B586" s="29" t="n"/>
      <c r="C586" s="35" t="n"/>
      <c r="D586" s="36" t="n"/>
      <c r="E586" s="147" t="n"/>
      <c r="F586" s="30" t="n"/>
      <c r="G586" s="30" t="n"/>
      <c r="H586" s="30" t="n"/>
      <c r="I586" s="30" t="n"/>
      <c r="J586" s="119" t="n"/>
      <c r="K586" s="34" t="n"/>
      <c r="L586" s="119" t="n"/>
      <c r="M586" s="34" t="n"/>
      <c r="N586" s="119" t="n"/>
      <c r="O586" s="34" t="n"/>
      <c r="P586" s="34" t="n"/>
      <c r="Q586" s="117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  <c r="AA586" s="34" t="n"/>
      <c r="AB586" s="34" t="n"/>
      <c r="AC586" s="34" t="n"/>
      <c r="AD586" s="34" t="n"/>
      <c r="AE586" s="34" t="n"/>
      <c r="AF586" s="34" t="n"/>
      <c r="AG586" s="34" t="n"/>
      <c r="AH586" s="34" t="n"/>
      <c r="AK586" s="34" t="n"/>
      <c r="AL586" s="34" t="n"/>
      <c r="AM586" s="39" t="n"/>
      <c r="AN586" s="34" t="n"/>
      <c r="AO586" s="34" t="n"/>
      <c r="AP586" s="34" t="n"/>
      <c r="AQ586" s="34" t="n"/>
      <c r="AR586" s="34" t="n"/>
      <c r="AS586" s="34" t="n"/>
      <c r="AU586" s="34" t="n"/>
      <c r="AV586" s="34" t="n"/>
      <c r="AW586" s="34" t="n"/>
      <c r="AX586" s="34" t="n"/>
      <c r="AY586" s="34" t="n"/>
      <c r="AZ586" s="34" t="n"/>
      <c r="BA586" s="34" t="n"/>
      <c r="BB586" s="34" t="n"/>
      <c r="BC586" s="34" t="n"/>
      <c r="BD586" s="34" t="n"/>
      <c r="BE586" s="34" t="n"/>
      <c r="BF586" s="34" t="n"/>
      <c r="BG586" s="34" t="n"/>
      <c r="BH586" s="34" t="n"/>
      <c r="BI586" s="34" t="n"/>
      <c r="BJ586" s="34" t="n"/>
      <c r="BK586" s="34" t="n"/>
      <c r="BL586" s="34" t="n"/>
      <c r="BM586" s="34" t="n"/>
      <c r="BN586" s="34" t="n"/>
      <c r="BO586" s="34" t="n"/>
      <c r="BP586" s="34" t="n"/>
      <c r="BQ586" s="34" t="n"/>
      <c r="BR586" s="82" t="n"/>
      <c r="BS586" s="34" t="n"/>
      <c r="BT586" s="34" t="n"/>
      <c r="BU586" s="34" t="n"/>
      <c r="BV586" s="34" t="n"/>
      <c r="BW586" s="34" t="n"/>
      <c r="BX586" s="34" t="n"/>
      <c r="BY586" s="34" t="n"/>
      <c r="BZ586" s="34" t="n"/>
      <c r="CA586" s="34" t="n"/>
      <c r="CB586" s="33" t="n"/>
      <c r="CC586" s="34" t="n"/>
      <c r="CD586" s="34" t="n"/>
      <c r="CE586" s="82" t="n"/>
      <c r="CF586" s="34" t="n"/>
      <c r="CG586" s="34" t="n"/>
      <c r="CH586" s="34" t="n"/>
      <c r="CI586" s="34" t="n"/>
      <c r="CJ586" s="34" t="n"/>
    </row>
    <row r="587">
      <c r="A587" s="29" t="n"/>
      <c r="B587" s="29" t="n"/>
      <c r="C587" s="35" t="n"/>
      <c r="D587" s="36" t="n"/>
      <c r="E587" s="147" t="n"/>
      <c r="F587" s="30" t="n"/>
      <c r="G587" s="30" t="n"/>
      <c r="H587" s="30" t="n"/>
      <c r="I587" s="30" t="n"/>
      <c r="J587" s="119" t="n"/>
      <c r="K587" s="34" t="n"/>
      <c r="L587" s="119" t="n"/>
      <c r="M587" s="34" t="n"/>
      <c r="N587" s="119" t="n"/>
      <c r="O587" s="34" t="n"/>
      <c r="P587" s="34" t="n"/>
      <c r="Q587" s="117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  <c r="AA587" s="34" t="n"/>
      <c r="AB587" s="34" t="n"/>
      <c r="AC587" s="34" t="n"/>
      <c r="AD587" s="34" t="n"/>
      <c r="AE587" s="34" t="n"/>
      <c r="AF587" s="34" t="n"/>
      <c r="AG587" s="34" t="n"/>
      <c r="AH587" s="34" t="n"/>
      <c r="AK587" s="34" t="n"/>
      <c r="AL587" s="34" t="n"/>
      <c r="AM587" s="39" t="n"/>
      <c r="AN587" s="34" t="n"/>
      <c r="AO587" s="34" t="n"/>
      <c r="AP587" s="34" t="n"/>
      <c r="AQ587" s="34" t="n"/>
      <c r="AR587" s="34" t="n"/>
      <c r="AS587" s="34" t="n"/>
      <c r="AU587" s="34" t="n"/>
      <c r="AV587" s="34" t="n"/>
      <c r="AW587" s="34" t="n"/>
      <c r="AX587" s="34" t="n"/>
      <c r="AY587" s="34" t="n"/>
      <c r="AZ587" s="34" t="n"/>
      <c r="BA587" s="34" t="n"/>
      <c r="BB587" s="34" t="n"/>
      <c r="BC587" s="34" t="n"/>
      <c r="BD587" s="34" t="n"/>
      <c r="BE587" s="34" t="n"/>
      <c r="BF587" s="34" t="n"/>
      <c r="BG587" s="34" t="n"/>
      <c r="BH587" s="34" t="n"/>
      <c r="BI587" s="34" t="n"/>
      <c r="BJ587" s="34" t="n"/>
      <c r="BK587" s="34" t="n"/>
      <c r="BL587" s="34" t="n"/>
      <c r="BM587" s="34" t="n"/>
      <c r="BN587" s="34" t="n"/>
      <c r="BO587" s="34" t="n"/>
      <c r="BP587" s="34" t="n"/>
      <c r="BQ587" s="34" t="n"/>
      <c r="BR587" s="82" t="n"/>
      <c r="BS587" s="34" t="n"/>
      <c r="BT587" s="34" t="n"/>
      <c r="BU587" s="34" t="n"/>
      <c r="BV587" s="34" t="n"/>
      <c r="BW587" s="34" t="n"/>
      <c r="BX587" s="34" t="n"/>
      <c r="BY587" s="34" t="n"/>
      <c r="BZ587" s="34" t="n"/>
      <c r="CA587" s="34" t="n"/>
      <c r="CB587" s="33" t="n"/>
      <c r="CC587" s="34" t="n"/>
      <c r="CD587" s="34" t="n"/>
      <c r="CE587" s="82" t="n"/>
      <c r="CF587" s="34" t="n"/>
      <c r="CG587" s="34" t="n"/>
      <c r="CH587" s="34" t="n"/>
      <c r="CI587" s="34" t="n"/>
      <c r="CJ587" s="34" t="n"/>
    </row>
    <row r="588">
      <c r="A588" s="29" t="n"/>
      <c r="B588" s="29" t="n"/>
      <c r="C588" s="35" t="n"/>
      <c r="D588" s="36" t="n"/>
      <c r="E588" s="147" t="n"/>
      <c r="F588" s="30" t="n"/>
      <c r="G588" s="30" t="n"/>
      <c r="H588" s="30" t="n"/>
      <c r="I588" s="30" t="n"/>
      <c r="J588" s="119" t="n"/>
      <c r="K588" s="34" t="n"/>
      <c r="L588" s="119" t="n"/>
      <c r="M588" s="34" t="n"/>
      <c r="N588" s="119" t="n"/>
      <c r="O588" s="34" t="n"/>
      <c r="P588" s="34" t="n"/>
      <c r="Q588" s="117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  <c r="AA588" s="34" t="n"/>
      <c r="AB588" s="34" t="n"/>
      <c r="AC588" s="34" t="n"/>
      <c r="AD588" s="34" t="n"/>
      <c r="AE588" s="34" t="n"/>
      <c r="AF588" s="34" t="n"/>
      <c r="AG588" s="34" t="n"/>
      <c r="AH588" s="34" t="n"/>
      <c r="AK588" s="34" t="n"/>
      <c r="AL588" s="34" t="n"/>
      <c r="AM588" s="39" t="n"/>
      <c r="AN588" s="34" t="n"/>
      <c r="AO588" s="34" t="n"/>
      <c r="AP588" s="34" t="n"/>
      <c r="AQ588" s="34" t="n"/>
      <c r="AR588" s="34" t="n"/>
      <c r="AS588" s="34" t="n"/>
      <c r="AU588" s="34" t="n"/>
      <c r="AV588" s="34" t="n"/>
      <c r="AW588" s="34" t="n"/>
      <c r="AX588" s="34" t="n"/>
      <c r="AY588" s="34" t="n"/>
      <c r="AZ588" s="34" t="n"/>
      <c r="BA588" s="34" t="n"/>
      <c r="BB588" s="34" t="n"/>
      <c r="BC588" s="34" t="n"/>
      <c r="BD588" s="34" t="n"/>
      <c r="BE588" s="34" t="n"/>
      <c r="BF588" s="34" t="n"/>
      <c r="BG588" s="34" t="n"/>
      <c r="BH588" s="34" t="n"/>
      <c r="BI588" s="34" t="n"/>
      <c r="BJ588" s="34" t="n"/>
      <c r="BK588" s="34" t="n"/>
      <c r="BL588" s="34" t="n"/>
      <c r="BM588" s="34" t="n"/>
      <c r="BN588" s="34" t="n"/>
      <c r="BO588" s="34" t="n"/>
      <c r="BP588" s="34" t="n"/>
      <c r="BQ588" s="34" t="n"/>
      <c r="BR588" s="82" t="n"/>
      <c r="BS588" s="34" t="n"/>
      <c r="BT588" s="34" t="n"/>
      <c r="BU588" s="34" t="n"/>
      <c r="BV588" s="34" t="n"/>
      <c r="BW588" s="34" t="n"/>
      <c r="BX588" s="34" t="n"/>
      <c r="BY588" s="34" t="n"/>
      <c r="BZ588" s="34" t="n"/>
      <c r="CA588" s="34" t="n"/>
      <c r="CB588" s="33" t="n"/>
      <c r="CC588" s="34" t="n"/>
      <c r="CD588" s="34" t="n"/>
      <c r="CE588" s="82" t="n"/>
      <c r="CF588" s="34" t="n"/>
      <c r="CG588" s="34" t="n"/>
      <c r="CH588" s="34" t="n"/>
      <c r="CI588" s="34" t="n"/>
      <c r="CJ588" s="34" t="n"/>
    </row>
    <row r="589">
      <c r="A589" s="29" t="n"/>
      <c r="B589" s="29" t="n"/>
      <c r="C589" s="35" t="n"/>
      <c r="D589" s="36" t="n"/>
      <c r="E589" s="147" t="n"/>
      <c r="F589" s="30" t="n"/>
      <c r="G589" s="30" t="n"/>
      <c r="H589" s="30" t="n"/>
      <c r="I589" s="30" t="n"/>
      <c r="J589" s="119" t="n"/>
      <c r="K589" s="34" t="n"/>
      <c r="L589" s="119" t="n"/>
      <c r="M589" s="34" t="n"/>
      <c r="N589" s="119" t="n"/>
      <c r="O589" s="34" t="n"/>
      <c r="P589" s="34" t="n"/>
      <c r="Q589" s="117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  <c r="AA589" s="34" t="n"/>
      <c r="AB589" s="34" t="n"/>
      <c r="AC589" s="34" t="n"/>
      <c r="AD589" s="34" t="n"/>
      <c r="AE589" s="34" t="n"/>
      <c r="AF589" s="34" t="n"/>
      <c r="AG589" s="34" t="n"/>
      <c r="AH589" s="34" t="n"/>
      <c r="AK589" s="34" t="n"/>
      <c r="AL589" s="34" t="n"/>
      <c r="AM589" s="39" t="n"/>
      <c r="AN589" s="34" t="n"/>
      <c r="AO589" s="34" t="n"/>
      <c r="AP589" s="34" t="n"/>
      <c r="AQ589" s="34" t="n"/>
      <c r="AR589" s="34" t="n"/>
      <c r="AS589" s="34" t="n"/>
      <c r="AU589" s="34" t="n"/>
      <c r="AV589" s="34" t="n"/>
      <c r="AW589" s="34" t="n"/>
      <c r="AX589" s="34" t="n"/>
      <c r="AY589" s="34" t="n"/>
      <c r="AZ589" s="34" t="n"/>
      <c r="BA589" s="34" t="n"/>
      <c r="BB589" s="34" t="n"/>
      <c r="BC589" s="34" t="n"/>
      <c r="BD589" s="34" t="n"/>
      <c r="BE589" s="34" t="n"/>
      <c r="BF589" s="34" t="n"/>
      <c r="BG589" s="34" t="n"/>
      <c r="BH589" s="34" t="n"/>
      <c r="BI589" s="34" t="n"/>
      <c r="BJ589" s="34" t="n"/>
      <c r="BK589" s="34" t="n"/>
      <c r="BL589" s="34" t="n"/>
      <c r="BM589" s="34" t="n"/>
      <c r="BN589" s="34" t="n"/>
      <c r="BO589" s="34" t="n"/>
      <c r="BP589" s="34" t="n"/>
      <c r="BQ589" s="34" t="n"/>
      <c r="BR589" s="82" t="n"/>
      <c r="BS589" s="34" t="n"/>
      <c r="BT589" s="34" t="n"/>
      <c r="BU589" s="34" t="n"/>
      <c r="BV589" s="34" t="n"/>
      <c r="BW589" s="34" t="n"/>
      <c r="BX589" s="34" t="n"/>
      <c r="BY589" s="34" t="n"/>
      <c r="BZ589" s="34" t="n"/>
      <c r="CA589" s="34" t="n"/>
      <c r="CB589" s="33" t="n"/>
      <c r="CC589" s="34" t="n"/>
      <c r="CD589" s="34" t="n"/>
      <c r="CE589" s="82" t="n"/>
      <c r="CF589" s="34" t="n"/>
      <c r="CG589" s="34" t="n"/>
      <c r="CH589" s="34" t="n"/>
      <c r="CI589" s="34" t="n"/>
      <c r="CJ589" s="34" t="n"/>
    </row>
    <row r="590">
      <c r="A590" s="29" t="n"/>
      <c r="B590" s="29" t="n"/>
      <c r="C590" s="35" t="n"/>
      <c r="D590" s="36" t="n"/>
      <c r="E590" s="147" t="n"/>
      <c r="F590" s="30" t="n"/>
      <c r="G590" s="30" t="n"/>
      <c r="H590" s="30" t="n"/>
      <c r="I590" s="30" t="n"/>
      <c r="J590" s="119" t="n"/>
      <c r="K590" s="34" t="n"/>
      <c r="L590" s="119" t="n"/>
      <c r="M590" s="34" t="n"/>
      <c r="N590" s="119" t="n"/>
      <c r="O590" s="34" t="n"/>
      <c r="P590" s="34" t="n"/>
      <c r="Q590" s="117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  <c r="AA590" s="34" t="n"/>
      <c r="AB590" s="34" t="n"/>
      <c r="AC590" s="34" t="n"/>
      <c r="AD590" s="34" t="n"/>
      <c r="AE590" s="34" t="n"/>
      <c r="AF590" s="34" t="n"/>
      <c r="AG590" s="34" t="n"/>
      <c r="AH590" s="34" t="n"/>
      <c r="AK590" s="34" t="n"/>
      <c r="AL590" s="34" t="n"/>
      <c r="AM590" s="39" t="n"/>
      <c r="AN590" s="34" t="n"/>
      <c r="AO590" s="34" t="n"/>
      <c r="AP590" s="34" t="n"/>
      <c r="AQ590" s="34" t="n"/>
      <c r="AR590" s="34" t="n"/>
      <c r="AS590" s="34" t="n"/>
      <c r="AU590" s="34" t="n"/>
      <c r="AV590" s="34" t="n"/>
      <c r="AW590" s="34" t="n"/>
      <c r="AX590" s="34" t="n"/>
      <c r="AY590" s="34" t="n"/>
      <c r="AZ590" s="34" t="n"/>
      <c r="BA590" s="34" t="n"/>
      <c r="BB590" s="34" t="n"/>
      <c r="BC590" s="34" t="n"/>
      <c r="BD590" s="34" t="n"/>
      <c r="BE590" s="34" t="n"/>
      <c r="BF590" s="34" t="n"/>
      <c r="BG590" s="34" t="n"/>
      <c r="BH590" s="34" t="n"/>
      <c r="BI590" s="34" t="n"/>
      <c r="BJ590" s="34" t="n"/>
      <c r="BK590" s="34" t="n"/>
      <c r="BL590" s="34" t="n"/>
      <c r="BM590" s="34" t="n"/>
      <c r="BN590" s="34" t="n"/>
      <c r="BO590" s="34" t="n"/>
      <c r="BP590" s="34" t="n"/>
      <c r="BQ590" s="34" t="n"/>
      <c r="BR590" s="82" t="n"/>
      <c r="BS590" s="34" t="n"/>
      <c r="BT590" s="34" t="n"/>
      <c r="BU590" s="34" t="n"/>
      <c r="BV590" s="34" t="n"/>
      <c r="BW590" s="34" t="n"/>
      <c r="BX590" s="34" t="n"/>
      <c r="BY590" s="34" t="n"/>
      <c r="BZ590" s="34" t="n"/>
      <c r="CA590" s="34" t="n"/>
      <c r="CB590" s="33" t="n"/>
      <c r="CC590" s="34" t="n"/>
      <c r="CD590" s="34" t="n"/>
      <c r="CE590" s="82" t="n"/>
      <c r="CF590" s="34" t="n"/>
      <c r="CG590" s="34" t="n"/>
      <c r="CH590" s="34" t="n"/>
      <c r="CI590" s="34" t="n"/>
      <c r="CJ590" s="34" t="n"/>
    </row>
    <row r="591">
      <c r="A591" s="29" t="n"/>
      <c r="B591" s="29" t="n"/>
      <c r="C591" s="35" t="n"/>
      <c r="D591" s="36" t="n"/>
      <c r="E591" s="147" t="n"/>
      <c r="F591" s="30" t="n"/>
      <c r="G591" s="30" t="n"/>
      <c r="H591" s="30" t="n"/>
      <c r="I591" s="30" t="n"/>
      <c r="J591" s="119" t="n"/>
      <c r="K591" s="34" t="n"/>
      <c r="L591" s="119" t="n"/>
      <c r="M591" s="34" t="n"/>
      <c r="N591" s="119" t="n"/>
      <c r="O591" s="34" t="n"/>
      <c r="P591" s="34" t="n"/>
      <c r="Q591" s="117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  <c r="AA591" s="34" t="n"/>
      <c r="AB591" s="34" t="n"/>
      <c r="AC591" s="34" t="n"/>
      <c r="AD591" s="34" t="n"/>
      <c r="AE591" s="34" t="n"/>
      <c r="AF591" s="34" t="n"/>
      <c r="AG591" s="34" t="n"/>
      <c r="AH591" s="34" t="n"/>
      <c r="AK591" s="34" t="n"/>
      <c r="AL591" s="34" t="n"/>
      <c r="AM591" s="39" t="n"/>
      <c r="AN591" s="34" t="n"/>
      <c r="AO591" s="34" t="n"/>
      <c r="AP591" s="34" t="n"/>
      <c r="AQ591" s="34" t="n"/>
      <c r="AR591" s="34" t="n"/>
      <c r="AS591" s="34" t="n"/>
      <c r="AU591" s="34" t="n"/>
      <c r="AV591" s="34" t="n"/>
      <c r="AW591" s="34" t="n"/>
      <c r="AX591" s="34" t="n"/>
      <c r="AY591" s="34" t="n"/>
      <c r="AZ591" s="34" t="n"/>
      <c r="BA591" s="34" t="n"/>
      <c r="BB591" s="34" t="n"/>
      <c r="BC591" s="34" t="n"/>
      <c r="BD591" s="34" t="n"/>
      <c r="BE591" s="34" t="n"/>
      <c r="BF591" s="34" t="n"/>
      <c r="BG591" s="34" t="n"/>
      <c r="BH591" s="34" t="n"/>
      <c r="BI591" s="34" t="n"/>
      <c r="BJ591" s="34" t="n"/>
      <c r="BK591" s="34" t="n"/>
      <c r="BL591" s="34" t="n"/>
      <c r="BM591" s="34" t="n"/>
      <c r="BN591" s="34" t="n"/>
      <c r="BO591" s="34" t="n"/>
      <c r="BP591" s="34" t="n"/>
      <c r="BQ591" s="34" t="n"/>
      <c r="BR591" s="82" t="n"/>
      <c r="BS591" s="34" t="n"/>
      <c r="BT591" s="34" t="n"/>
      <c r="BU591" s="34" t="n"/>
      <c r="BV591" s="34" t="n"/>
      <c r="BW591" s="34" t="n"/>
      <c r="BX591" s="34" t="n"/>
      <c r="BY591" s="34" t="n"/>
      <c r="BZ591" s="34" t="n"/>
      <c r="CA591" s="34" t="n"/>
      <c r="CB591" s="33" t="n"/>
      <c r="CC591" s="34" t="n"/>
      <c r="CD591" s="34" t="n"/>
      <c r="CE591" s="82" t="n"/>
      <c r="CF591" s="34" t="n"/>
      <c r="CG591" s="34" t="n"/>
      <c r="CH591" s="34" t="n"/>
      <c r="CI591" s="34" t="n"/>
      <c r="CJ591" s="34" t="n"/>
    </row>
    <row r="592">
      <c r="A592" s="29" t="n"/>
      <c r="B592" s="29" t="n"/>
      <c r="C592" s="35" t="n"/>
      <c r="D592" s="36" t="n"/>
      <c r="E592" s="147" t="n"/>
      <c r="F592" s="30" t="n"/>
      <c r="G592" s="30" t="n"/>
      <c r="H592" s="30" t="n"/>
      <c r="I592" s="30" t="n"/>
      <c r="J592" s="119" t="n"/>
      <c r="K592" s="34" t="n"/>
      <c r="L592" s="119" t="n"/>
      <c r="M592" s="34" t="n"/>
      <c r="N592" s="119" t="n"/>
      <c r="O592" s="34" t="n"/>
      <c r="P592" s="34" t="n"/>
      <c r="Q592" s="117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  <c r="AA592" s="34" t="n"/>
      <c r="AB592" s="34" t="n"/>
      <c r="AC592" s="34" t="n"/>
      <c r="AD592" s="34" t="n"/>
      <c r="AE592" s="34" t="n"/>
      <c r="AF592" s="34" t="n"/>
      <c r="AG592" s="34" t="n"/>
      <c r="AH592" s="34" t="n"/>
      <c r="AK592" s="34" t="n"/>
      <c r="AL592" s="34" t="n"/>
      <c r="AM592" s="39" t="n"/>
      <c r="AN592" s="34" t="n"/>
      <c r="AO592" s="34" t="n"/>
      <c r="AP592" s="34" t="n"/>
      <c r="AQ592" s="34" t="n"/>
      <c r="AR592" s="34" t="n"/>
      <c r="AS592" s="34" t="n"/>
      <c r="AU592" s="34" t="n"/>
      <c r="AV592" s="34" t="n"/>
      <c r="AW592" s="34" t="n"/>
      <c r="AX592" s="34" t="n"/>
      <c r="AY592" s="34" t="n"/>
      <c r="AZ592" s="34" t="n"/>
      <c r="BA592" s="34" t="n"/>
      <c r="BB592" s="34" t="n"/>
      <c r="BC592" s="34" t="n"/>
      <c r="BD592" s="34" t="n"/>
      <c r="BE592" s="34" t="n"/>
      <c r="BF592" s="34" t="n"/>
      <c r="BG592" s="34" t="n"/>
      <c r="BH592" s="34" t="n"/>
      <c r="BI592" s="34" t="n"/>
      <c r="BJ592" s="34" t="n"/>
      <c r="BK592" s="34" t="n"/>
      <c r="BL592" s="34" t="n"/>
      <c r="BM592" s="34" t="n"/>
      <c r="BN592" s="34" t="n"/>
      <c r="BO592" s="34" t="n"/>
      <c r="BP592" s="34" t="n"/>
      <c r="BQ592" s="34" t="n"/>
      <c r="BR592" s="82" t="n"/>
      <c r="BS592" s="34" t="n"/>
      <c r="BT592" s="34" t="n"/>
      <c r="BU592" s="34" t="n"/>
      <c r="BV592" s="34" t="n"/>
      <c r="BW592" s="34" t="n"/>
      <c r="BX592" s="34" t="n"/>
      <c r="BY592" s="34" t="n"/>
      <c r="BZ592" s="34" t="n"/>
      <c r="CA592" s="34" t="n"/>
      <c r="CB592" s="33" t="n"/>
      <c r="CC592" s="34" t="n"/>
      <c r="CD592" s="34" t="n"/>
      <c r="CE592" s="82" t="n"/>
      <c r="CF592" s="34" t="n"/>
      <c r="CG592" s="34" t="n"/>
      <c r="CH592" s="34" t="n"/>
      <c r="CI592" s="34" t="n"/>
      <c r="CJ592" s="34" t="n"/>
    </row>
    <row r="593">
      <c r="A593" s="29" t="n"/>
      <c r="B593" s="29" t="n"/>
      <c r="C593" s="35" t="n"/>
      <c r="D593" s="36" t="n"/>
      <c r="E593" s="147" t="n"/>
      <c r="F593" s="30" t="n"/>
      <c r="G593" s="30" t="n"/>
      <c r="H593" s="30" t="n"/>
      <c r="I593" s="30" t="n"/>
      <c r="J593" s="119" t="n"/>
      <c r="K593" s="34" t="n"/>
      <c r="L593" s="119" t="n"/>
      <c r="M593" s="34" t="n"/>
      <c r="N593" s="119" t="n"/>
      <c r="O593" s="34" t="n"/>
      <c r="P593" s="34" t="n"/>
      <c r="Q593" s="117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  <c r="AA593" s="34" t="n"/>
      <c r="AB593" s="34" t="n"/>
      <c r="AC593" s="34" t="n"/>
      <c r="AD593" s="34" t="n"/>
      <c r="AE593" s="34" t="n"/>
      <c r="AF593" s="34" t="n"/>
      <c r="AG593" s="34" t="n"/>
      <c r="AH593" s="34" t="n"/>
      <c r="AK593" s="34" t="n"/>
      <c r="AL593" s="34" t="n"/>
      <c r="AM593" s="39" t="n"/>
      <c r="AN593" s="34" t="n"/>
      <c r="AO593" s="34" t="n"/>
      <c r="AP593" s="34" t="n"/>
      <c r="AQ593" s="34" t="n"/>
      <c r="AR593" s="34" t="n"/>
      <c r="AS593" s="34" t="n"/>
      <c r="AU593" s="34" t="n"/>
      <c r="AV593" s="34" t="n"/>
      <c r="AW593" s="34" t="n"/>
      <c r="AX593" s="34" t="n"/>
      <c r="AY593" s="34" t="n"/>
      <c r="AZ593" s="34" t="n"/>
      <c r="BA593" s="34" t="n"/>
      <c r="BB593" s="34" t="n"/>
      <c r="BC593" s="34" t="n"/>
      <c r="BD593" s="34" t="n"/>
      <c r="BE593" s="34" t="n"/>
      <c r="BF593" s="34" t="n"/>
      <c r="BG593" s="34" t="n"/>
      <c r="BH593" s="34" t="n"/>
      <c r="BI593" s="34" t="n"/>
      <c r="BJ593" s="34" t="n"/>
      <c r="BK593" s="34" t="n"/>
      <c r="BL593" s="34" t="n"/>
      <c r="BM593" s="34" t="n"/>
      <c r="BN593" s="34" t="n"/>
      <c r="BO593" s="34" t="n"/>
      <c r="BP593" s="34" t="n"/>
      <c r="BQ593" s="34" t="n"/>
      <c r="BR593" s="82" t="n"/>
      <c r="BS593" s="34" t="n"/>
      <c r="BT593" s="34" t="n"/>
      <c r="BU593" s="34" t="n"/>
      <c r="BV593" s="34" t="n"/>
      <c r="BW593" s="34" t="n"/>
      <c r="BX593" s="34" t="n"/>
      <c r="BY593" s="34" t="n"/>
      <c r="BZ593" s="34" t="n"/>
      <c r="CA593" s="34" t="n"/>
      <c r="CB593" s="33" t="n"/>
      <c r="CC593" s="34" t="n"/>
      <c r="CD593" s="34" t="n"/>
      <c r="CE593" s="82" t="n"/>
      <c r="CF593" s="34" t="n"/>
      <c r="CG593" s="34" t="n"/>
      <c r="CH593" s="34" t="n"/>
      <c r="CI593" s="34" t="n"/>
      <c r="CJ593" s="34" t="n"/>
    </row>
    <row r="594">
      <c r="A594" s="29" t="n"/>
      <c r="B594" s="29" t="n"/>
      <c r="C594" s="35" t="n"/>
      <c r="D594" s="36" t="n"/>
      <c r="E594" s="147" t="n"/>
      <c r="F594" s="30" t="n"/>
      <c r="G594" s="30" t="n"/>
      <c r="H594" s="30" t="n"/>
      <c r="I594" s="30" t="n"/>
      <c r="J594" s="119" t="n"/>
      <c r="K594" s="34" t="n"/>
      <c r="L594" s="119" t="n"/>
      <c r="M594" s="34" t="n"/>
      <c r="N594" s="119" t="n"/>
      <c r="O594" s="34" t="n"/>
      <c r="P594" s="34" t="n"/>
      <c r="Q594" s="117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  <c r="AA594" s="34" t="n"/>
      <c r="AB594" s="34" t="n"/>
      <c r="AC594" s="34" t="n"/>
      <c r="AD594" s="34" t="n"/>
      <c r="AE594" s="34" t="n"/>
      <c r="AF594" s="34" t="n"/>
      <c r="AG594" s="34" t="n"/>
      <c r="AH594" s="34" t="n"/>
      <c r="AK594" s="34" t="n"/>
      <c r="AL594" s="34" t="n"/>
      <c r="AM594" s="39" t="n"/>
      <c r="AN594" s="34" t="n"/>
      <c r="AO594" s="34" t="n"/>
      <c r="AP594" s="34" t="n"/>
      <c r="AQ594" s="34" t="n"/>
      <c r="AR594" s="34" t="n"/>
      <c r="AS594" s="34" t="n"/>
      <c r="AU594" s="34" t="n"/>
      <c r="AV594" s="34" t="n"/>
      <c r="AW594" s="34" t="n"/>
      <c r="AX594" s="34" t="n"/>
      <c r="AY594" s="34" t="n"/>
      <c r="AZ594" s="34" t="n"/>
      <c r="BA594" s="34" t="n"/>
      <c r="BB594" s="34" t="n"/>
      <c r="BC594" s="34" t="n"/>
      <c r="BD594" s="34" t="n"/>
      <c r="BE594" s="34" t="n"/>
      <c r="BF594" s="34" t="n"/>
      <c r="BG594" s="34" t="n"/>
      <c r="BH594" s="34" t="n"/>
      <c r="BI594" s="34" t="n"/>
      <c r="BJ594" s="34" t="n"/>
      <c r="BK594" s="34" t="n"/>
      <c r="BL594" s="34" t="n"/>
      <c r="BM594" s="34" t="n"/>
      <c r="BN594" s="34" t="n"/>
      <c r="BO594" s="34" t="n"/>
      <c r="BP594" s="34" t="n"/>
      <c r="BQ594" s="34" t="n"/>
      <c r="BR594" s="82" t="n"/>
      <c r="BS594" s="34" t="n"/>
      <c r="BT594" s="34" t="n"/>
      <c r="BU594" s="34" t="n"/>
      <c r="BV594" s="34" t="n"/>
      <c r="BW594" s="34" t="n"/>
      <c r="BX594" s="34" t="n"/>
      <c r="BY594" s="34" t="n"/>
      <c r="BZ594" s="34" t="n"/>
      <c r="CA594" s="34" t="n"/>
      <c r="CB594" s="33" t="n"/>
      <c r="CC594" s="34" t="n"/>
      <c r="CD594" s="34" t="n"/>
      <c r="CE594" s="82" t="n"/>
      <c r="CF594" s="34" t="n"/>
      <c r="CG594" s="34" t="n"/>
      <c r="CH594" s="34" t="n"/>
      <c r="CI594" s="34" t="n"/>
      <c r="CJ594" s="34" t="n"/>
    </row>
    <row r="595">
      <c r="A595" s="29" t="n"/>
      <c r="B595" s="29" t="n"/>
      <c r="C595" s="35" t="n"/>
      <c r="D595" s="36" t="n"/>
      <c r="E595" s="147" t="n"/>
      <c r="F595" s="30" t="n"/>
      <c r="G595" s="30" t="n"/>
      <c r="H595" s="30" t="n"/>
      <c r="I595" s="30" t="n"/>
      <c r="J595" s="119" t="n"/>
      <c r="K595" s="34" t="n"/>
      <c r="L595" s="119" t="n"/>
      <c r="M595" s="34" t="n"/>
      <c r="N595" s="119" t="n"/>
      <c r="O595" s="34" t="n"/>
      <c r="P595" s="34" t="n"/>
      <c r="Q595" s="117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  <c r="AA595" s="34" t="n"/>
      <c r="AB595" s="34" t="n"/>
      <c r="AC595" s="34" t="n"/>
      <c r="AD595" s="34" t="n"/>
      <c r="AE595" s="34" t="n"/>
      <c r="AF595" s="34" t="n"/>
      <c r="AG595" s="34" t="n"/>
      <c r="AH595" s="34" t="n"/>
      <c r="AK595" s="34" t="n"/>
      <c r="AL595" s="34" t="n"/>
      <c r="AM595" s="39" t="n"/>
      <c r="AN595" s="34" t="n"/>
      <c r="AO595" s="34" t="n"/>
      <c r="AP595" s="34" t="n"/>
      <c r="AQ595" s="34" t="n"/>
      <c r="AR595" s="34" t="n"/>
      <c r="AS595" s="34" t="n"/>
      <c r="AU595" s="34" t="n"/>
      <c r="AV595" s="34" t="n"/>
      <c r="AW595" s="34" t="n"/>
      <c r="AX595" s="34" t="n"/>
      <c r="AY595" s="34" t="n"/>
      <c r="AZ595" s="34" t="n"/>
      <c r="BA595" s="34" t="n"/>
      <c r="BB595" s="34" t="n"/>
      <c r="BC595" s="34" t="n"/>
      <c r="BD595" s="34" t="n"/>
      <c r="BE595" s="34" t="n"/>
      <c r="BF595" s="34" t="n"/>
      <c r="BG595" s="34" t="n"/>
      <c r="BH595" s="34" t="n"/>
      <c r="BI595" s="34" t="n"/>
      <c r="BJ595" s="34" t="n"/>
      <c r="BK595" s="34" t="n"/>
      <c r="BL595" s="34" t="n"/>
      <c r="BM595" s="34" t="n"/>
      <c r="BN595" s="34" t="n"/>
      <c r="BO595" s="34" t="n"/>
      <c r="BP595" s="34" t="n"/>
      <c r="BQ595" s="34" t="n"/>
      <c r="BR595" s="82" t="n"/>
      <c r="BS595" s="34" t="n"/>
      <c r="BT595" s="34" t="n"/>
      <c r="BU595" s="34" t="n"/>
      <c r="BV595" s="34" t="n"/>
      <c r="BW595" s="34" t="n"/>
      <c r="BX595" s="34" t="n"/>
      <c r="BY595" s="34" t="n"/>
      <c r="BZ595" s="34" t="n"/>
      <c r="CA595" s="34" t="n"/>
      <c r="CB595" s="33" t="n"/>
      <c r="CC595" s="34" t="n"/>
      <c r="CD595" s="34" t="n"/>
      <c r="CE595" s="82" t="n"/>
      <c r="CF595" s="34" t="n"/>
      <c r="CG595" s="34" t="n"/>
      <c r="CH595" s="34" t="n"/>
      <c r="CI595" s="34" t="n"/>
      <c r="CJ595" s="34" t="n"/>
    </row>
    <row r="596">
      <c r="A596" s="29" t="n"/>
      <c r="B596" s="29" t="n"/>
      <c r="C596" s="35" t="n"/>
      <c r="D596" s="36" t="n"/>
      <c r="E596" s="147" t="n"/>
      <c r="F596" s="30" t="n"/>
      <c r="G596" s="30" t="n"/>
      <c r="H596" s="30" t="n"/>
      <c r="I596" s="30" t="n"/>
      <c r="J596" s="119" t="n"/>
      <c r="K596" s="34" t="n"/>
      <c r="L596" s="119" t="n"/>
      <c r="M596" s="34" t="n"/>
      <c r="N596" s="119" t="n"/>
      <c r="O596" s="34" t="n"/>
      <c r="P596" s="34" t="n"/>
      <c r="Q596" s="117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  <c r="AA596" s="34" t="n"/>
      <c r="AB596" s="34" t="n"/>
      <c r="AC596" s="34" t="n"/>
      <c r="AD596" s="34" t="n"/>
      <c r="AE596" s="34" t="n"/>
      <c r="AF596" s="34" t="n"/>
      <c r="AG596" s="34" t="n"/>
      <c r="AH596" s="34" t="n"/>
      <c r="AK596" s="34" t="n"/>
      <c r="AL596" s="34" t="n"/>
      <c r="AM596" s="39" t="n"/>
      <c r="AN596" s="34" t="n"/>
      <c r="AO596" s="34" t="n"/>
      <c r="AP596" s="34" t="n"/>
      <c r="AQ596" s="34" t="n"/>
      <c r="AR596" s="34" t="n"/>
      <c r="AS596" s="34" t="n"/>
      <c r="AU596" s="34" t="n"/>
      <c r="AV596" s="34" t="n"/>
      <c r="AW596" s="34" t="n"/>
      <c r="AX596" s="34" t="n"/>
      <c r="AY596" s="34" t="n"/>
      <c r="AZ596" s="34" t="n"/>
      <c r="BA596" s="34" t="n"/>
      <c r="BB596" s="34" t="n"/>
      <c r="BC596" s="34" t="n"/>
      <c r="BD596" s="34" t="n"/>
      <c r="BE596" s="34" t="n"/>
      <c r="BF596" s="34" t="n"/>
      <c r="BG596" s="34" t="n"/>
      <c r="BH596" s="34" t="n"/>
      <c r="BI596" s="34" t="n"/>
      <c r="BJ596" s="34" t="n"/>
      <c r="BK596" s="34" t="n"/>
      <c r="BL596" s="34" t="n"/>
      <c r="BM596" s="34" t="n"/>
      <c r="BN596" s="34" t="n"/>
      <c r="BO596" s="34" t="n"/>
      <c r="BP596" s="34" t="n"/>
      <c r="BQ596" s="34" t="n"/>
      <c r="BR596" s="82" t="n"/>
      <c r="BS596" s="34" t="n"/>
      <c r="BT596" s="34" t="n"/>
      <c r="BU596" s="34" t="n"/>
      <c r="BV596" s="34" t="n"/>
      <c r="BW596" s="34" t="n"/>
      <c r="BX596" s="34" t="n"/>
      <c r="BY596" s="34" t="n"/>
      <c r="BZ596" s="34" t="n"/>
      <c r="CA596" s="34" t="n"/>
      <c r="CB596" s="33" t="n"/>
      <c r="CC596" s="34" t="n"/>
      <c r="CD596" s="34" t="n"/>
      <c r="CE596" s="82" t="n"/>
      <c r="CF596" s="34" t="n"/>
      <c r="CG596" s="34" t="n"/>
      <c r="CH596" s="34" t="n"/>
      <c r="CI596" s="34" t="n"/>
      <c r="CJ596" s="34" t="n"/>
    </row>
    <row r="597">
      <c r="A597" s="29" t="n"/>
      <c r="B597" s="29" t="n"/>
      <c r="C597" s="35" t="n"/>
      <c r="D597" s="36" t="n"/>
      <c r="E597" s="147" t="n"/>
      <c r="F597" s="30" t="n"/>
      <c r="G597" s="30" t="n"/>
      <c r="H597" s="30" t="n"/>
      <c r="I597" s="30" t="n"/>
      <c r="J597" s="119" t="n"/>
      <c r="K597" s="34" t="n"/>
      <c r="L597" s="119" t="n"/>
      <c r="M597" s="34" t="n"/>
      <c r="N597" s="119" t="n"/>
      <c r="O597" s="34" t="n"/>
      <c r="P597" s="34" t="n"/>
      <c r="Q597" s="117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  <c r="AA597" s="34" t="n"/>
      <c r="AB597" s="34" t="n"/>
      <c r="AC597" s="34" t="n"/>
      <c r="AD597" s="34" t="n"/>
      <c r="AE597" s="34" t="n"/>
      <c r="AF597" s="34" t="n"/>
      <c r="AG597" s="34" t="n"/>
      <c r="AH597" s="34" t="n"/>
      <c r="AK597" s="34" t="n"/>
      <c r="AL597" s="34" t="n"/>
      <c r="AM597" s="39" t="n"/>
      <c r="AN597" s="34" t="n"/>
      <c r="AO597" s="34" t="n"/>
      <c r="AP597" s="34" t="n"/>
      <c r="AQ597" s="34" t="n"/>
      <c r="AR597" s="34" t="n"/>
      <c r="AS597" s="34" t="n"/>
      <c r="AU597" s="34" t="n"/>
      <c r="AV597" s="34" t="n"/>
      <c r="AW597" s="34" t="n"/>
      <c r="AX597" s="34" t="n"/>
      <c r="AY597" s="34" t="n"/>
      <c r="AZ597" s="34" t="n"/>
      <c r="BA597" s="34" t="n"/>
      <c r="BB597" s="34" t="n"/>
      <c r="BC597" s="34" t="n"/>
      <c r="BD597" s="34" t="n"/>
      <c r="BE597" s="34" t="n"/>
      <c r="BF597" s="34" t="n"/>
      <c r="BG597" s="34" t="n"/>
      <c r="BH597" s="34" t="n"/>
      <c r="BI597" s="34" t="n"/>
      <c r="BJ597" s="34" t="n"/>
      <c r="BK597" s="34" t="n"/>
      <c r="BL597" s="34" t="n"/>
      <c r="BM597" s="34" t="n"/>
      <c r="BN597" s="34" t="n"/>
      <c r="BO597" s="34" t="n"/>
      <c r="BP597" s="34" t="n"/>
      <c r="BQ597" s="34" t="n"/>
      <c r="BR597" s="82" t="n"/>
      <c r="BS597" s="34" t="n"/>
      <c r="BT597" s="34" t="n"/>
      <c r="BU597" s="34" t="n"/>
      <c r="BV597" s="34" t="n"/>
      <c r="BW597" s="34" t="n"/>
      <c r="BX597" s="34" t="n"/>
      <c r="BY597" s="34" t="n"/>
      <c r="BZ597" s="34" t="n"/>
      <c r="CA597" s="34" t="n"/>
      <c r="CB597" s="33" t="n"/>
      <c r="CC597" s="34" t="n"/>
      <c r="CD597" s="34" t="n"/>
      <c r="CE597" s="82" t="n"/>
      <c r="CF597" s="34" t="n"/>
      <c r="CG597" s="34" t="n"/>
      <c r="CH597" s="34" t="n"/>
      <c r="CI597" s="34" t="n"/>
      <c r="CJ597" s="34" t="n"/>
    </row>
    <row r="598">
      <c r="A598" s="29" t="n"/>
      <c r="B598" s="29" t="n"/>
      <c r="C598" s="35" t="n"/>
      <c r="D598" s="36" t="n"/>
      <c r="E598" s="147" t="n"/>
      <c r="F598" s="30" t="n"/>
      <c r="G598" s="30" t="n"/>
      <c r="H598" s="30" t="n"/>
      <c r="I598" s="30" t="n"/>
      <c r="J598" s="119" t="n"/>
      <c r="K598" s="34" t="n"/>
      <c r="L598" s="119" t="n"/>
      <c r="M598" s="34" t="n"/>
      <c r="N598" s="119" t="n"/>
      <c r="O598" s="34" t="n"/>
      <c r="P598" s="34" t="n"/>
      <c r="Q598" s="117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  <c r="AA598" s="34" t="n"/>
      <c r="AB598" s="34" t="n"/>
      <c r="AC598" s="34" t="n"/>
      <c r="AD598" s="34" t="n"/>
      <c r="AE598" s="34" t="n"/>
      <c r="AF598" s="34" t="n"/>
      <c r="AG598" s="34" t="n"/>
      <c r="AH598" s="34" t="n"/>
      <c r="AK598" s="34" t="n"/>
      <c r="AL598" s="34" t="n"/>
      <c r="AM598" s="39" t="n"/>
      <c r="AN598" s="34" t="n"/>
      <c r="AO598" s="34" t="n"/>
      <c r="AP598" s="34" t="n"/>
      <c r="AQ598" s="34" t="n"/>
      <c r="AR598" s="34" t="n"/>
      <c r="AS598" s="34" t="n"/>
      <c r="AU598" s="34" t="n"/>
      <c r="AV598" s="34" t="n"/>
      <c r="AW598" s="34" t="n"/>
      <c r="AX598" s="34" t="n"/>
      <c r="AY598" s="34" t="n"/>
      <c r="AZ598" s="34" t="n"/>
      <c r="BA598" s="34" t="n"/>
      <c r="BB598" s="34" t="n"/>
      <c r="BC598" s="34" t="n"/>
      <c r="BD598" s="34" t="n"/>
      <c r="BE598" s="34" t="n"/>
      <c r="BF598" s="34" t="n"/>
      <c r="BG598" s="34" t="n"/>
      <c r="BH598" s="34" t="n"/>
      <c r="BI598" s="34" t="n"/>
      <c r="BJ598" s="34" t="n"/>
      <c r="BK598" s="34" t="n"/>
      <c r="BL598" s="34" t="n"/>
      <c r="BM598" s="34" t="n"/>
      <c r="BN598" s="34" t="n"/>
      <c r="BO598" s="34" t="n"/>
      <c r="BP598" s="34" t="n"/>
      <c r="BQ598" s="34" t="n"/>
      <c r="BR598" s="82" t="n"/>
      <c r="BS598" s="34" t="n"/>
      <c r="BT598" s="34" t="n"/>
      <c r="BU598" s="34" t="n"/>
      <c r="BV598" s="34" t="n"/>
      <c r="BW598" s="34" t="n"/>
      <c r="BX598" s="34" t="n"/>
      <c r="BY598" s="34" t="n"/>
      <c r="BZ598" s="34" t="n"/>
      <c r="CA598" s="34" t="n"/>
      <c r="CB598" s="33" t="n"/>
      <c r="CC598" s="34" t="n"/>
      <c r="CD598" s="34" t="n"/>
      <c r="CE598" s="82" t="n"/>
      <c r="CF598" s="34" t="n"/>
      <c r="CG598" s="34" t="n"/>
      <c r="CH598" s="34" t="n"/>
      <c r="CI598" s="34" t="n"/>
      <c r="CJ598" s="34" t="n"/>
    </row>
    <row r="599">
      <c r="A599" s="29" t="n"/>
      <c r="B599" s="29" t="n"/>
      <c r="C599" s="35" t="n"/>
      <c r="D599" s="36" t="n"/>
      <c r="E599" s="147" t="n"/>
      <c r="F599" s="30" t="n"/>
      <c r="G599" s="30" t="n"/>
      <c r="H599" s="30" t="n"/>
      <c r="I599" s="30" t="n"/>
      <c r="J599" s="119" t="n"/>
      <c r="K599" s="34" t="n"/>
      <c r="L599" s="119" t="n"/>
      <c r="M599" s="34" t="n"/>
      <c r="N599" s="119" t="n"/>
      <c r="O599" s="34" t="n"/>
      <c r="P599" s="34" t="n"/>
      <c r="Q599" s="117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  <c r="AA599" s="34" t="n"/>
      <c r="AB599" s="34" t="n"/>
      <c r="AC599" s="34" t="n"/>
      <c r="AD599" s="34" t="n"/>
      <c r="AE599" s="34" t="n"/>
      <c r="AF599" s="34" t="n"/>
      <c r="AG599" s="34" t="n"/>
      <c r="AH599" s="34" t="n"/>
      <c r="AK599" s="34" t="n"/>
      <c r="AL599" s="34" t="n"/>
      <c r="AM599" s="39" t="n"/>
      <c r="AN599" s="34" t="n"/>
      <c r="AO599" s="34" t="n"/>
      <c r="AP599" s="34" t="n"/>
      <c r="AQ599" s="34" t="n"/>
      <c r="AR599" s="34" t="n"/>
      <c r="AS599" s="34" t="n"/>
      <c r="AU599" s="34" t="n"/>
      <c r="AV599" s="34" t="n"/>
      <c r="AW599" s="34" t="n"/>
      <c r="AX599" s="34" t="n"/>
      <c r="AY599" s="34" t="n"/>
      <c r="AZ599" s="34" t="n"/>
      <c r="BA599" s="34" t="n"/>
      <c r="BB599" s="34" t="n"/>
      <c r="BC599" s="34" t="n"/>
      <c r="BD599" s="34" t="n"/>
      <c r="BE599" s="34" t="n"/>
      <c r="BF599" s="34" t="n"/>
      <c r="BG599" s="34" t="n"/>
      <c r="BH599" s="34" t="n"/>
      <c r="BI599" s="34" t="n"/>
      <c r="BJ599" s="34" t="n"/>
      <c r="BK599" s="34" t="n"/>
      <c r="BL599" s="34" t="n"/>
      <c r="BM599" s="34" t="n"/>
      <c r="BN599" s="34" t="n"/>
      <c r="BO599" s="34" t="n"/>
      <c r="BP599" s="34" t="n"/>
      <c r="BQ599" s="34" t="n"/>
      <c r="BR599" s="82" t="n"/>
      <c r="BS599" s="34" t="n"/>
      <c r="BT599" s="34" t="n"/>
      <c r="BU599" s="34" t="n"/>
      <c r="BV599" s="34" t="n"/>
      <c r="BW599" s="34" t="n"/>
      <c r="BX599" s="34" t="n"/>
      <c r="BY599" s="34" t="n"/>
      <c r="BZ599" s="34" t="n"/>
      <c r="CA599" s="34" t="n"/>
      <c r="CB599" s="33" t="n"/>
      <c r="CC599" s="34" t="n"/>
      <c r="CD599" s="34" t="n"/>
      <c r="CE599" s="82" t="n"/>
      <c r="CF599" s="34" t="n"/>
      <c r="CG599" s="34" t="n"/>
      <c r="CH599" s="34" t="n"/>
      <c r="CI599" s="34" t="n"/>
      <c r="CJ599" s="34" t="n"/>
    </row>
    <row r="600">
      <c r="A600" s="29" t="n"/>
      <c r="B600" s="29" t="n"/>
      <c r="C600" s="35" t="n"/>
      <c r="D600" s="36" t="n"/>
      <c r="E600" s="147" t="n"/>
      <c r="F600" s="30" t="n"/>
      <c r="G600" s="30" t="n"/>
      <c r="H600" s="30" t="n"/>
      <c r="I600" s="30" t="n"/>
      <c r="J600" s="119" t="n"/>
      <c r="K600" s="34" t="n"/>
      <c r="L600" s="119" t="n"/>
      <c r="M600" s="34" t="n"/>
      <c r="N600" s="119" t="n"/>
      <c r="O600" s="34" t="n"/>
      <c r="P600" s="34" t="n"/>
      <c r="Q600" s="117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  <c r="AA600" s="34" t="n"/>
      <c r="AB600" s="34" t="n"/>
      <c r="AC600" s="34" t="n"/>
      <c r="AD600" s="34" t="n"/>
      <c r="AE600" s="34" t="n"/>
      <c r="AF600" s="34" t="n"/>
      <c r="AG600" s="34" t="n"/>
      <c r="AH600" s="34" t="n"/>
      <c r="AK600" s="34" t="n"/>
      <c r="AL600" s="34" t="n"/>
      <c r="AM600" s="39" t="n"/>
      <c r="AN600" s="34" t="n"/>
      <c r="AO600" s="34" t="n"/>
      <c r="AP600" s="34" t="n"/>
      <c r="AQ600" s="34" t="n"/>
      <c r="AR600" s="34" t="n"/>
      <c r="AS600" s="34" t="n"/>
      <c r="AU600" s="34" t="n"/>
      <c r="AV600" s="34" t="n"/>
      <c r="AW600" s="34" t="n"/>
      <c r="AX600" s="34" t="n"/>
      <c r="AY600" s="34" t="n"/>
      <c r="AZ600" s="34" t="n"/>
      <c r="BA600" s="34" t="n"/>
      <c r="BB600" s="34" t="n"/>
      <c r="BC600" s="34" t="n"/>
      <c r="BD600" s="34" t="n"/>
      <c r="BE600" s="34" t="n"/>
      <c r="BF600" s="34" t="n"/>
      <c r="BG600" s="34" t="n"/>
      <c r="BH600" s="34" t="n"/>
      <c r="BI600" s="34" t="n"/>
      <c r="BJ600" s="34" t="n"/>
      <c r="BK600" s="34" t="n"/>
      <c r="BL600" s="34" t="n"/>
      <c r="BM600" s="34" t="n"/>
      <c r="BN600" s="34" t="n"/>
      <c r="BO600" s="34" t="n"/>
      <c r="BP600" s="34" t="n"/>
      <c r="BQ600" s="34" t="n"/>
      <c r="BR600" s="82" t="n"/>
      <c r="BS600" s="34" t="n"/>
      <c r="BT600" s="34" t="n"/>
      <c r="BU600" s="34" t="n"/>
      <c r="BV600" s="34" t="n"/>
      <c r="BW600" s="34" t="n"/>
      <c r="BX600" s="34" t="n"/>
      <c r="BY600" s="34" t="n"/>
      <c r="BZ600" s="34" t="n"/>
      <c r="CA600" s="34" t="n"/>
      <c r="CB600" s="33" t="n"/>
      <c r="CC600" s="34" t="n"/>
      <c r="CD600" s="34" t="n"/>
      <c r="CE600" s="82" t="n"/>
      <c r="CF600" s="34" t="n"/>
      <c r="CG600" s="34" t="n"/>
      <c r="CH600" s="34" t="n"/>
      <c r="CI600" s="34" t="n"/>
      <c r="CJ600" s="34" t="n"/>
    </row>
    <row r="601">
      <c r="A601" s="29" t="n"/>
      <c r="B601" s="29" t="n"/>
      <c r="C601" s="35" t="n"/>
      <c r="D601" s="36" t="n"/>
      <c r="E601" s="147" t="n"/>
      <c r="F601" s="30" t="n"/>
      <c r="G601" s="30" t="n"/>
      <c r="H601" s="30" t="n"/>
      <c r="I601" s="30" t="n"/>
      <c r="J601" s="119" t="n"/>
      <c r="K601" s="34" t="n"/>
      <c r="L601" s="119" t="n"/>
      <c r="M601" s="34" t="n"/>
      <c r="N601" s="119" t="n"/>
      <c r="O601" s="34" t="n"/>
      <c r="P601" s="34" t="n"/>
      <c r="Q601" s="117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  <c r="AA601" s="34" t="n"/>
      <c r="AB601" s="34" t="n"/>
      <c r="AC601" s="34" t="n"/>
      <c r="AD601" s="34" t="n"/>
      <c r="AE601" s="34" t="n"/>
      <c r="AF601" s="34" t="n"/>
      <c r="AG601" s="34" t="n"/>
      <c r="AH601" s="34" t="n"/>
      <c r="AK601" s="34" t="n"/>
      <c r="AL601" s="34" t="n"/>
      <c r="AM601" s="39" t="n"/>
      <c r="AN601" s="34" t="n"/>
      <c r="AO601" s="34" t="n"/>
      <c r="AP601" s="34" t="n"/>
      <c r="AQ601" s="34" t="n"/>
      <c r="AR601" s="34" t="n"/>
      <c r="AS601" s="34" t="n"/>
      <c r="AU601" s="34" t="n"/>
      <c r="AV601" s="34" t="n"/>
      <c r="AW601" s="34" t="n"/>
      <c r="AX601" s="34" t="n"/>
      <c r="AY601" s="34" t="n"/>
      <c r="AZ601" s="34" t="n"/>
      <c r="BA601" s="34" t="n"/>
      <c r="BB601" s="34" t="n"/>
      <c r="BC601" s="34" t="n"/>
      <c r="BD601" s="34" t="n"/>
      <c r="BE601" s="34" t="n"/>
      <c r="BF601" s="34" t="n"/>
      <c r="BG601" s="34" t="n"/>
      <c r="BH601" s="34" t="n"/>
      <c r="BI601" s="34" t="n"/>
      <c r="BJ601" s="34" t="n"/>
      <c r="BK601" s="34" t="n"/>
      <c r="BL601" s="34" t="n"/>
      <c r="BM601" s="34" t="n"/>
      <c r="BN601" s="34" t="n"/>
      <c r="BO601" s="34" t="n"/>
      <c r="BP601" s="34" t="n"/>
      <c r="BQ601" s="34" t="n"/>
      <c r="BR601" s="82" t="n"/>
      <c r="BS601" s="34" t="n"/>
      <c r="BT601" s="34" t="n"/>
      <c r="BU601" s="34" t="n"/>
      <c r="BV601" s="34" t="n"/>
      <c r="BW601" s="34" t="n"/>
      <c r="BX601" s="34" t="n"/>
      <c r="BY601" s="34" t="n"/>
      <c r="BZ601" s="34" t="n"/>
      <c r="CA601" s="34" t="n"/>
      <c r="CB601" s="33" t="n"/>
      <c r="CC601" s="34" t="n"/>
      <c r="CD601" s="34" t="n"/>
      <c r="CE601" s="82" t="n"/>
      <c r="CF601" s="34" t="n"/>
      <c r="CG601" s="34" t="n"/>
      <c r="CH601" s="34" t="n"/>
      <c r="CI601" s="34" t="n"/>
      <c r="CJ601" s="34" t="n"/>
    </row>
    <row r="602">
      <c r="A602" s="29" t="n"/>
      <c r="B602" s="29" t="n"/>
      <c r="C602" s="35" t="n"/>
      <c r="D602" s="36" t="n"/>
      <c r="E602" s="147" t="n"/>
      <c r="F602" s="30" t="n"/>
      <c r="G602" s="30" t="n"/>
      <c r="H602" s="30" t="n"/>
      <c r="I602" s="30" t="n"/>
      <c r="J602" s="119" t="n"/>
      <c r="K602" s="34" t="n"/>
      <c r="L602" s="119" t="n"/>
      <c r="M602" s="34" t="n"/>
      <c r="N602" s="119" t="n"/>
      <c r="O602" s="34" t="n"/>
      <c r="P602" s="34" t="n"/>
      <c r="Q602" s="117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  <c r="AA602" s="34" t="n"/>
      <c r="AB602" s="34" t="n"/>
      <c r="AC602" s="34" t="n"/>
      <c r="AD602" s="34" t="n"/>
      <c r="AE602" s="34" t="n"/>
      <c r="AF602" s="34" t="n"/>
      <c r="AG602" s="34" t="n"/>
      <c r="AH602" s="34" t="n"/>
      <c r="AK602" s="34" t="n"/>
      <c r="AL602" s="34" t="n"/>
      <c r="AM602" s="39" t="n"/>
      <c r="AN602" s="34" t="n"/>
      <c r="AO602" s="34" t="n"/>
      <c r="AP602" s="34" t="n"/>
      <c r="AQ602" s="34" t="n"/>
      <c r="AR602" s="34" t="n"/>
      <c r="AS602" s="34" t="n"/>
      <c r="AU602" s="34" t="n"/>
      <c r="AV602" s="34" t="n"/>
      <c r="AW602" s="34" t="n"/>
      <c r="AX602" s="34" t="n"/>
      <c r="AY602" s="34" t="n"/>
      <c r="AZ602" s="34" t="n"/>
      <c r="BA602" s="34" t="n"/>
      <c r="BB602" s="34" t="n"/>
      <c r="BC602" s="34" t="n"/>
      <c r="BD602" s="34" t="n"/>
      <c r="BE602" s="34" t="n"/>
      <c r="BF602" s="34" t="n"/>
      <c r="BG602" s="34" t="n"/>
      <c r="BH602" s="34" t="n"/>
      <c r="BI602" s="34" t="n"/>
      <c r="BJ602" s="34" t="n"/>
      <c r="BK602" s="34" t="n"/>
      <c r="BL602" s="34" t="n"/>
      <c r="BM602" s="34" t="n"/>
      <c r="BN602" s="34" t="n"/>
      <c r="BO602" s="34" t="n"/>
      <c r="BP602" s="34" t="n"/>
      <c r="BQ602" s="34" t="n"/>
      <c r="BR602" s="82" t="n"/>
      <c r="BS602" s="34" t="n"/>
      <c r="BT602" s="34" t="n"/>
      <c r="BU602" s="34" t="n"/>
      <c r="BV602" s="34" t="n"/>
      <c r="BW602" s="34" t="n"/>
      <c r="BX602" s="34" t="n"/>
      <c r="BY602" s="34" t="n"/>
      <c r="BZ602" s="34" t="n"/>
      <c r="CA602" s="34" t="n"/>
      <c r="CB602" s="33" t="n"/>
      <c r="CC602" s="34" t="n"/>
      <c r="CD602" s="34" t="n"/>
      <c r="CE602" s="82" t="n"/>
      <c r="CF602" s="34" t="n"/>
      <c r="CG602" s="34" t="n"/>
      <c r="CH602" s="34" t="n"/>
      <c r="CI602" s="34" t="n"/>
      <c r="CJ602" s="34" t="n"/>
    </row>
    <row r="603">
      <c r="A603" s="29" t="n"/>
      <c r="B603" s="29" t="n"/>
      <c r="C603" s="35" t="n"/>
      <c r="D603" s="36" t="n"/>
      <c r="E603" s="147" t="n"/>
      <c r="F603" s="30" t="n"/>
      <c r="G603" s="30" t="n"/>
      <c r="H603" s="30" t="n"/>
      <c r="I603" s="30" t="n"/>
      <c r="J603" s="119" t="n"/>
      <c r="K603" s="34" t="n"/>
      <c r="L603" s="119" t="n"/>
      <c r="M603" s="34" t="n"/>
      <c r="N603" s="119" t="n"/>
      <c r="O603" s="34" t="n"/>
      <c r="P603" s="34" t="n"/>
      <c r="Q603" s="117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  <c r="AA603" s="34" t="n"/>
      <c r="AB603" s="34" t="n"/>
      <c r="AC603" s="34" t="n"/>
      <c r="AD603" s="34" t="n"/>
      <c r="AE603" s="34" t="n"/>
      <c r="AF603" s="34" t="n"/>
      <c r="AG603" s="34" t="n"/>
      <c r="AH603" s="34" t="n"/>
      <c r="AK603" s="34" t="n"/>
      <c r="AL603" s="34" t="n"/>
      <c r="AM603" s="39" t="n"/>
      <c r="AN603" s="34" t="n"/>
      <c r="AO603" s="34" t="n"/>
      <c r="AP603" s="34" t="n"/>
      <c r="AQ603" s="34" t="n"/>
      <c r="AR603" s="34" t="n"/>
      <c r="AS603" s="34" t="n"/>
      <c r="AU603" s="34" t="n"/>
      <c r="AV603" s="34" t="n"/>
      <c r="AW603" s="34" t="n"/>
      <c r="AX603" s="34" t="n"/>
      <c r="AY603" s="34" t="n"/>
      <c r="AZ603" s="34" t="n"/>
      <c r="BA603" s="34" t="n"/>
      <c r="BB603" s="34" t="n"/>
      <c r="BC603" s="34" t="n"/>
      <c r="BD603" s="34" t="n"/>
      <c r="BE603" s="34" t="n"/>
      <c r="BF603" s="34" t="n"/>
      <c r="BG603" s="34" t="n"/>
      <c r="BH603" s="34" t="n"/>
      <c r="BI603" s="34" t="n"/>
      <c r="BJ603" s="34" t="n"/>
      <c r="BK603" s="34" t="n"/>
      <c r="BL603" s="34" t="n"/>
      <c r="BM603" s="34" t="n"/>
      <c r="BN603" s="34" t="n"/>
      <c r="BO603" s="34" t="n"/>
      <c r="BP603" s="34" t="n"/>
      <c r="BQ603" s="34" t="n"/>
      <c r="BR603" s="82" t="n"/>
      <c r="BS603" s="34" t="n"/>
      <c r="BT603" s="34" t="n"/>
      <c r="BU603" s="34" t="n"/>
      <c r="BV603" s="34" t="n"/>
      <c r="BW603" s="34" t="n"/>
      <c r="BX603" s="34" t="n"/>
      <c r="BY603" s="34" t="n"/>
      <c r="BZ603" s="34" t="n"/>
      <c r="CA603" s="34" t="n"/>
      <c r="CB603" s="33" t="n"/>
      <c r="CC603" s="34" t="n"/>
      <c r="CD603" s="34" t="n"/>
      <c r="CE603" s="82" t="n"/>
      <c r="CF603" s="34" t="n"/>
      <c r="CG603" s="34" t="n"/>
      <c r="CH603" s="34" t="n"/>
      <c r="CI603" s="34" t="n"/>
      <c r="CJ603" s="34" t="n"/>
    </row>
    <row r="604">
      <c r="A604" s="29" t="n"/>
      <c r="B604" s="29" t="n"/>
      <c r="C604" s="35" t="n"/>
      <c r="D604" s="36" t="n"/>
      <c r="E604" s="147" t="n"/>
      <c r="F604" s="30" t="n"/>
      <c r="G604" s="30" t="n"/>
      <c r="H604" s="30" t="n"/>
      <c r="I604" s="30" t="n"/>
      <c r="J604" s="119" t="n"/>
      <c r="K604" s="34" t="n"/>
      <c r="L604" s="119" t="n"/>
      <c r="M604" s="34" t="n"/>
      <c r="N604" s="119" t="n"/>
      <c r="O604" s="34" t="n"/>
      <c r="P604" s="34" t="n"/>
      <c r="Q604" s="117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  <c r="AA604" s="34" t="n"/>
      <c r="AB604" s="34" t="n"/>
      <c r="AC604" s="34" t="n"/>
      <c r="AD604" s="34" t="n"/>
      <c r="AE604" s="34" t="n"/>
      <c r="AF604" s="34" t="n"/>
      <c r="AG604" s="34" t="n"/>
      <c r="AH604" s="34" t="n"/>
      <c r="AK604" s="34" t="n"/>
      <c r="AL604" s="34" t="n"/>
      <c r="AM604" s="39" t="n"/>
      <c r="AN604" s="34" t="n"/>
      <c r="AO604" s="34" t="n"/>
      <c r="AP604" s="34" t="n"/>
      <c r="AQ604" s="34" t="n"/>
      <c r="AR604" s="34" t="n"/>
      <c r="AS604" s="34" t="n"/>
      <c r="AU604" s="34" t="n"/>
      <c r="AV604" s="34" t="n"/>
      <c r="AW604" s="34" t="n"/>
      <c r="AX604" s="34" t="n"/>
      <c r="AY604" s="34" t="n"/>
      <c r="AZ604" s="34" t="n"/>
      <c r="BA604" s="34" t="n"/>
      <c r="BB604" s="34" t="n"/>
      <c r="BC604" s="34" t="n"/>
      <c r="BD604" s="34" t="n"/>
      <c r="BE604" s="34" t="n"/>
      <c r="BF604" s="34" t="n"/>
      <c r="BG604" s="34" t="n"/>
      <c r="BH604" s="34" t="n"/>
      <c r="BI604" s="34" t="n"/>
      <c r="BJ604" s="34" t="n"/>
      <c r="BK604" s="34" t="n"/>
      <c r="BL604" s="34" t="n"/>
      <c r="BM604" s="34" t="n"/>
      <c r="BN604" s="34" t="n"/>
      <c r="BO604" s="34" t="n"/>
      <c r="BP604" s="34" t="n"/>
      <c r="BQ604" s="34" t="n"/>
      <c r="BR604" s="82" t="n"/>
      <c r="BS604" s="34" t="n"/>
      <c r="BT604" s="34" t="n"/>
      <c r="BU604" s="34" t="n"/>
      <c r="BV604" s="34" t="n"/>
      <c r="BW604" s="34" t="n"/>
      <c r="BX604" s="34" t="n"/>
      <c r="BY604" s="34" t="n"/>
      <c r="BZ604" s="34" t="n"/>
      <c r="CA604" s="34" t="n"/>
      <c r="CB604" s="33" t="n"/>
      <c r="CC604" s="34" t="n"/>
      <c r="CD604" s="34" t="n"/>
      <c r="CE604" s="82" t="n"/>
      <c r="CF604" s="34" t="n"/>
      <c r="CG604" s="34" t="n"/>
      <c r="CH604" s="34" t="n"/>
      <c r="CI604" s="34" t="n"/>
      <c r="CJ604" s="34" t="n"/>
    </row>
    <row r="605">
      <c r="A605" s="29" t="n"/>
      <c r="B605" s="29" t="n"/>
      <c r="C605" s="35" t="n"/>
      <c r="D605" s="36" t="n"/>
      <c r="E605" s="147" t="n"/>
      <c r="F605" s="30" t="n"/>
      <c r="G605" s="30" t="n"/>
      <c r="H605" s="30" t="n"/>
      <c r="I605" s="30" t="n"/>
      <c r="J605" s="119" t="n"/>
      <c r="K605" s="34" t="n"/>
      <c r="L605" s="119" t="n"/>
      <c r="M605" s="34" t="n"/>
      <c r="N605" s="119" t="n"/>
      <c r="O605" s="34" t="n"/>
      <c r="P605" s="34" t="n"/>
      <c r="Q605" s="117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  <c r="AA605" s="34" t="n"/>
      <c r="AB605" s="34" t="n"/>
      <c r="AC605" s="34" t="n"/>
      <c r="AD605" s="34" t="n"/>
      <c r="AE605" s="34" t="n"/>
      <c r="AF605" s="34" t="n"/>
      <c r="AG605" s="34" t="n"/>
      <c r="AH605" s="34" t="n"/>
      <c r="AK605" s="34" t="n"/>
      <c r="AL605" s="34" t="n"/>
      <c r="AM605" s="39" t="n"/>
      <c r="AN605" s="34" t="n"/>
      <c r="AO605" s="34" t="n"/>
      <c r="AP605" s="34" t="n"/>
      <c r="AQ605" s="34" t="n"/>
      <c r="AR605" s="34" t="n"/>
      <c r="AS605" s="34" t="n"/>
      <c r="AU605" s="34" t="n"/>
      <c r="AV605" s="34" t="n"/>
      <c r="AW605" s="34" t="n"/>
      <c r="AX605" s="34" t="n"/>
      <c r="AY605" s="34" t="n"/>
      <c r="AZ605" s="34" t="n"/>
      <c r="BA605" s="34" t="n"/>
      <c r="BB605" s="34" t="n"/>
      <c r="BC605" s="34" t="n"/>
      <c r="BD605" s="34" t="n"/>
      <c r="BE605" s="34" t="n"/>
      <c r="BF605" s="34" t="n"/>
      <c r="BG605" s="34" t="n"/>
      <c r="BH605" s="34" t="n"/>
      <c r="BI605" s="34" t="n"/>
      <c r="BJ605" s="34" t="n"/>
      <c r="BK605" s="34" t="n"/>
      <c r="BL605" s="34" t="n"/>
      <c r="BM605" s="34" t="n"/>
      <c r="BN605" s="34" t="n"/>
      <c r="BO605" s="34" t="n"/>
      <c r="BP605" s="34" t="n"/>
      <c r="BQ605" s="34" t="n"/>
      <c r="BR605" s="82" t="n"/>
      <c r="BS605" s="34" t="n"/>
      <c r="BT605" s="34" t="n"/>
      <c r="BU605" s="34" t="n"/>
      <c r="BV605" s="34" t="n"/>
      <c r="BW605" s="34" t="n"/>
      <c r="BX605" s="34" t="n"/>
      <c r="BY605" s="34" t="n"/>
      <c r="BZ605" s="34" t="n"/>
      <c r="CA605" s="34" t="n"/>
      <c r="CB605" s="33" t="n"/>
      <c r="CC605" s="34" t="n"/>
      <c r="CD605" s="34" t="n"/>
      <c r="CE605" s="82" t="n"/>
      <c r="CF605" s="34" t="n"/>
      <c r="CG605" s="34" t="n"/>
      <c r="CH605" s="34" t="n"/>
      <c r="CI605" s="34" t="n"/>
      <c r="CJ605" s="34" t="n"/>
    </row>
    <row r="606">
      <c r="A606" s="29" t="n"/>
      <c r="B606" s="29" t="n"/>
      <c r="C606" s="35" t="n"/>
      <c r="D606" s="36" t="n"/>
      <c r="E606" s="147" t="n"/>
      <c r="F606" s="30" t="n"/>
      <c r="G606" s="30" t="n"/>
      <c r="H606" s="30" t="n"/>
      <c r="I606" s="30" t="n"/>
      <c r="J606" s="119" t="n"/>
      <c r="K606" s="34" t="n"/>
      <c r="L606" s="119" t="n"/>
      <c r="M606" s="34" t="n"/>
      <c r="N606" s="119" t="n"/>
      <c r="O606" s="34" t="n"/>
      <c r="P606" s="34" t="n"/>
      <c r="Q606" s="117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  <c r="AA606" s="34" t="n"/>
      <c r="AB606" s="34" t="n"/>
      <c r="AC606" s="34" t="n"/>
      <c r="AD606" s="34" t="n"/>
      <c r="AE606" s="34" t="n"/>
      <c r="AF606" s="34" t="n"/>
      <c r="AG606" s="34" t="n"/>
      <c r="AH606" s="34" t="n"/>
      <c r="AK606" s="34" t="n"/>
      <c r="AL606" s="34" t="n"/>
      <c r="AM606" s="39" t="n"/>
      <c r="AN606" s="34" t="n"/>
      <c r="AO606" s="34" t="n"/>
      <c r="AP606" s="34" t="n"/>
      <c r="AQ606" s="34" t="n"/>
      <c r="AR606" s="34" t="n"/>
      <c r="AS606" s="34" t="n"/>
      <c r="AU606" s="34" t="n"/>
      <c r="AV606" s="34" t="n"/>
      <c r="AW606" s="34" t="n"/>
      <c r="AX606" s="34" t="n"/>
      <c r="AY606" s="34" t="n"/>
      <c r="AZ606" s="34" t="n"/>
      <c r="BA606" s="34" t="n"/>
      <c r="BB606" s="34" t="n"/>
      <c r="BC606" s="34" t="n"/>
      <c r="BD606" s="34" t="n"/>
      <c r="BE606" s="34" t="n"/>
      <c r="BF606" s="34" t="n"/>
      <c r="BG606" s="34" t="n"/>
      <c r="BH606" s="34" t="n"/>
      <c r="BI606" s="34" t="n"/>
      <c r="BJ606" s="34" t="n"/>
      <c r="BK606" s="34" t="n"/>
      <c r="BL606" s="34" t="n"/>
      <c r="BM606" s="34" t="n"/>
      <c r="BN606" s="34" t="n"/>
      <c r="BO606" s="34" t="n"/>
      <c r="BP606" s="34" t="n"/>
      <c r="BQ606" s="34" t="n"/>
      <c r="BR606" s="82" t="n"/>
      <c r="BS606" s="34" t="n"/>
      <c r="BT606" s="34" t="n"/>
      <c r="BU606" s="34" t="n"/>
      <c r="BV606" s="34" t="n"/>
      <c r="BW606" s="34" t="n"/>
      <c r="BX606" s="34" t="n"/>
      <c r="BY606" s="34" t="n"/>
      <c r="BZ606" s="34" t="n"/>
      <c r="CA606" s="34" t="n"/>
      <c r="CB606" s="33" t="n"/>
      <c r="CC606" s="34" t="n"/>
      <c r="CD606" s="34" t="n"/>
      <c r="CE606" s="82" t="n"/>
      <c r="CF606" s="34" t="n"/>
      <c r="CG606" s="34" t="n"/>
      <c r="CH606" s="34" t="n"/>
      <c r="CI606" s="34" t="n"/>
      <c r="CJ606" s="34" t="n"/>
    </row>
    <row r="607">
      <c r="A607" s="29" t="n"/>
      <c r="B607" s="29" t="n"/>
      <c r="C607" s="35" t="n"/>
      <c r="D607" s="36" t="n"/>
      <c r="E607" s="147" t="n"/>
      <c r="F607" s="30" t="n"/>
      <c r="G607" s="30" t="n"/>
      <c r="H607" s="30" t="n"/>
      <c r="I607" s="30" t="n"/>
      <c r="J607" s="119" t="n"/>
      <c r="K607" s="34" t="n"/>
      <c r="L607" s="119" t="n"/>
      <c r="M607" s="34" t="n"/>
      <c r="N607" s="119" t="n"/>
      <c r="O607" s="34" t="n"/>
      <c r="P607" s="34" t="n"/>
      <c r="Q607" s="117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  <c r="AA607" s="34" t="n"/>
      <c r="AB607" s="34" t="n"/>
      <c r="AC607" s="34" t="n"/>
      <c r="AD607" s="34" t="n"/>
      <c r="AE607" s="34" t="n"/>
      <c r="AF607" s="34" t="n"/>
      <c r="AG607" s="34" t="n"/>
      <c r="AH607" s="34" t="n"/>
      <c r="AK607" s="34" t="n"/>
      <c r="AL607" s="34" t="n"/>
      <c r="AM607" s="39" t="n"/>
      <c r="AN607" s="34" t="n"/>
      <c r="AO607" s="34" t="n"/>
      <c r="AP607" s="34" t="n"/>
      <c r="AQ607" s="34" t="n"/>
      <c r="AR607" s="34" t="n"/>
      <c r="AS607" s="34" t="n"/>
      <c r="AU607" s="34" t="n"/>
      <c r="AV607" s="34" t="n"/>
      <c r="AW607" s="34" t="n"/>
      <c r="AX607" s="34" t="n"/>
      <c r="AY607" s="34" t="n"/>
      <c r="AZ607" s="34" t="n"/>
      <c r="BA607" s="34" t="n"/>
      <c r="BB607" s="34" t="n"/>
      <c r="BC607" s="34" t="n"/>
      <c r="BD607" s="34" t="n"/>
      <c r="BE607" s="34" t="n"/>
      <c r="BF607" s="34" t="n"/>
      <c r="BG607" s="34" t="n"/>
      <c r="BH607" s="34" t="n"/>
      <c r="BI607" s="34" t="n"/>
      <c r="BJ607" s="34" t="n"/>
      <c r="BK607" s="34" t="n"/>
      <c r="BL607" s="34" t="n"/>
      <c r="BM607" s="34" t="n"/>
      <c r="BN607" s="34" t="n"/>
      <c r="BO607" s="34" t="n"/>
      <c r="BP607" s="34" t="n"/>
      <c r="BQ607" s="34" t="n"/>
      <c r="BR607" s="82" t="n"/>
      <c r="BS607" s="34" t="n"/>
      <c r="BT607" s="34" t="n"/>
      <c r="BU607" s="34" t="n"/>
      <c r="BV607" s="34" t="n"/>
      <c r="BW607" s="34" t="n"/>
      <c r="BX607" s="34" t="n"/>
      <c r="BY607" s="34" t="n"/>
      <c r="BZ607" s="34" t="n"/>
      <c r="CA607" s="34" t="n"/>
      <c r="CB607" s="33" t="n"/>
      <c r="CC607" s="34" t="n"/>
      <c r="CD607" s="34" t="n"/>
      <c r="CE607" s="82" t="n"/>
      <c r="CF607" s="34" t="n"/>
      <c r="CG607" s="34" t="n"/>
      <c r="CH607" s="34" t="n"/>
      <c r="CI607" s="34" t="n"/>
      <c r="CJ607" s="34" t="n"/>
    </row>
    <row r="608">
      <c r="A608" s="29" t="n"/>
      <c r="B608" s="29" t="n"/>
      <c r="C608" s="35" t="n"/>
      <c r="D608" s="36" t="n"/>
      <c r="E608" s="147" t="n"/>
      <c r="F608" s="30" t="n"/>
      <c r="G608" s="30" t="n"/>
      <c r="H608" s="30" t="n"/>
      <c r="I608" s="30" t="n"/>
      <c r="J608" s="119" t="n"/>
      <c r="K608" s="34" t="n"/>
      <c r="L608" s="119" t="n"/>
      <c r="M608" s="34" t="n"/>
      <c r="N608" s="119" t="n"/>
      <c r="O608" s="34" t="n"/>
      <c r="P608" s="34" t="n"/>
      <c r="Q608" s="117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  <c r="AA608" s="34" t="n"/>
      <c r="AB608" s="34" t="n"/>
      <c r="AC608" s="34" t="n"/>
      <c r="AD608" s="34" t="n"/>
      <c r="AE608" s="34" t="n"/>
      <c r="AF608" s="34" t="n"/>
      <c r="AG608" s="34" t="n"/>
      <c r="AH608" s="34" t="n"/>
      <c r="AK608" s="34" t="n"/>
      <c r="AL608" s="34" t="n"/>
      <c r="AM608" s="39" t="n"/>
      <c r="AN608" s="34" t="n"/>
      <c r="AO608" s="34" t="n"/>
      <c r="AP608" s="34" t="n"/>
      <c r="AQ608" s="34" t="n"/>
      <c r="AR608" s="34" t="n"/>
      <c r="AS608" s="34" t="n"/>
      <c r="AU608" s="34" t="n"/>
      <c r="AV608" s="34" t="n"/>
      <c r="AW608" s="34" t="n"/>
      <c r="AX608" s="34" t="n"/>
      <c r="AY608" s="34" t="n"/>
      <c r="AZ608" s="34" t="n"/>
      <c r="BA608" s="34" t="n"/>
      <c r="BB608" s="34" t="n"/>
      <c r="BC608" s="34" t="n"/>
      <c r="BD608" s="34" t="n"/>
      <c r="BE608" s="34" t="n"/>
      <c r="BF608" s="34" t="n"/>
      <c r="BG608" s="34" t="n"/>
      <c r="BH608" s="34" t="n"/>
      <c r="BI608" s="34" t="n"/>
      <c r="BJ608" s="34" t="n"/>
      <c r="BK608" s="34" t="n"/>
      <c r="BL608" s="34" t="n"/>
      <c r="BM608" s="34" t="n"/>
      <c r="BN608" s="34" t="n"/>
      <c r="BO608" s="34" t="n"/>
      <c r="BP608" s="34" t="n"/>
      <c r="BQ608" s="34" t="n"/>
      <c r="BR608" s="82" t="n"/>
      <c r="BS608" s="34" t="n"/>
      <c r="BT608" s="34" t="n"/>
      <c r="BU608" s="34" t="n"/>
      <c r="BV608" s="34" t="n"/>
      <c r="BW608" s="34" t="n"/>
      <c r="BX608" s="34" t="n"/>
      <c r="BY608" s="34" t="n"/>
      <c r="BZ608" s="34" t="n"/>
      <c r="CA608" s="34" t="n"/>
      <c r="CB608" s="33" t="n"/>
      <c r="CC608" s="34" t="n"/>
      <c r="CD608" s="34" t="n"/>
      <c r="CE608" s="82" t="n"/>
      <c r="CF608" s="34" t="n"/>
      <c r="CG608" s="34" t="n"/>
      <c r="CH608" s="34" t="n"/>
      <c r="CI608" s="34" t="n"/>
      <c r="CJ608" s="34" t="n"/>
    </row>
    <row r="609">
      <c r="A609" s="29" t="n"/>
      <c r="B609" s="29" t="n"/>
      <c r="C609" s="35" t="n"/>
      <c r="D609" s="36" t="n"/>
      <c r="E609" s="147" t="n"/>
      <c r="F609" s="30" t="n"/>
      <c r="G609" s="30" t="n"/>
      <c r="H609" s="30" t="n"/>
      <c r="I609" s="30" t="n"/>
      <c r="J609" s="119" t="n"/>
      <c r="K609" s="34" t="n"/>
      <c r="L609" s="119" t="n"/>
      <c r="M609" s="34" t="n"/>
      <c r="N609" s="119" t="n"/>
      <c r="O609" s="34" t="n"/>
      <c r="P609" s="34" t="n"/>
      <c r="Q609" s="117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  <c r="AA609" s="34" t="n"/>
      <c r="AB609" s="34" t="n"/>
      <c r="AC609" s="34" t="n"/>
      <c r="AD609" s="34" t="n"/>
      <c r="AE609" s="34" t="n"/>
      <c r="AF609" s="34" t="n"/>
      <c r="AG609" s="34" t="n"/>
      <c r="AH609" s="34" t="n"/>
      <c r="AK609" s="34" t="n"/>
      <c r="AL609" s="34" t="n"/>
      <c r="AM609" s="39" t="n"/>
      <c r="AN609" s="34" t="n"/>
      <c r="AO609" s="34" t="n"/>
      <c r="AP609" s="34" t="n"/>
      <c r="AQ609" s="34" t="n"/>
      <c r="AR609" s="34" t="n"/>
      <c r="AS609" s="34" t="n"/>
      <c r="AU609" s="34" t="n"/>
      <c r="AV609" s="34" t="n"/>
      <c r="AW609" s="34" t="n"/>
      <c r="AX609" s="34" t="n"/>
      <c r="AY609" s="34" t="n"/>
      <c r="AZ609" s="34" t="n"/>
      <c r="BA609" s="34" t="n"/>
      <c r="BB609" s="34" t="n"/>
      <c r="BC609" s="34" t="n"/>
      <c r="BD609" s="34" t="n"/>
      <c r="BE609" s="34" t="n"/>
      <c r="BF609" s="34" t="n"/>
      <c r="BG609" s="34" t="n"/>
      <c r="BH609" s="34" t="n"/>
      <c r="BI609" s="34" t="n"/>
      <c r="BJ609" s="34" t="n"/>
      <c r="BK609" s="34" t="n"/>
      <c r="BL609" s="34" t="n"/>
      <c r="BM609" s="34" t="n"/>
      <c r="BN609" s="34" t="n"/>
      <c r="BO609" s="34" t="n"/>
      <c r="BP609" s="34" t="n"/>
      <c r="BQ609" s="34" t="n"/>
      <c r="BR609" s="82" t="n"/>
      <c r="BS609" s="34" t="n"/>
      <c r="BT609" s="34" t="n"/>
      <c r="BU609" s="34" t="n"/>
      <c r="BV609" s="34" t="n"/>
      <c r="BW609" s="34" t="n"/>
      <c r="BX609" s="34" t="n"/>
      <c r="BY609" s="34" t="n"/>
      <c r="BZ609" s="34" t="n"/>
      <c r="CA609" s="34" t="n"/>
      <c r="CB609" s="33" t="n"/>
      <c r="CC609" s="34" t="n"/>
      <c r="CD609" s="34" t="n"/>
      <c r="CE609" s="82" t="n"/>
      <c r="CF609" s="34" t="n"/>
      <c r="CG609" s="34" t="n"/>
      <c r="CH609" s="34" t="n"/>
      <c r="CI609" s="34" t="n"/>
      <c r="CJ609" s="34" t="n"/>
    </row>
    <row r="610">
      <c r="A610" s="29" t="n"/>
      <c r="B610" s="29" t="n"/>
      <c r="C610" s="35" t="n"/>
      <c r="D610" s="36" t="n"/>
      <c r="E610" s="147" t="n"/>
      <c r="F610" s="30" t="n"/>
      <c r="G610" s="30" t="n"/>
      <c r="H610" s="30" t="n"/>
      <c r="I610" s="30" t="n"/>
      <c r="J610" s="119" t="n"/>
      <c r="K610" s="34" t="n"/>
      <c r="L610" s="119" t="n"/>
      <c r="M610" s="34" t="n"/>
      <c r="N610" s="119" t="n"/>
      <c r="O610" s="34" t="n"/>
      <c r="P610" s="34" t="n"/>
      <c r="Q610" s="117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  <c r="AA610" s="34" t="n"/>
      <c r="AB610" s="34" t="n"/>
      <c r="AC610" s="34" t="n"/>
      <c r="AD610" s="34" t="n"/>
      <c r="AE610" s="34" t="n"/>
      <c r="AF610" s="34" t="n"/>
      <c r="AG610" s="34" t="n"/>
      <c r="AH610" s="34" t="n"/>
      <c r="AK610" s="34" t="n"/>
      <c r="AL610" s="34" t="n"/>
      <c r="AM610" s="39" t="n"/>
      <c r="AN610" s="34" t="n"/>
      <c r="AO610" s="34" t="n"/>
      <c r="AP610" s="34" t="n"/>
      <c r="AQ610" s="34" t="n"/>
      <c r="AR610" s="34" t="n"/>
      <c r="AS610" s="34" t="n"/>
      <c r="AU610" s="34" t="n"/>
      <c r="AV610" s="34" t="n"/>
      <c r="AW610" s="34" t="n"/>
      <c r="AX610" s="34" t="n"/>
      <c r="AY610" s="34" t="n"/>
      <c r="AZ610" s="34" t="n"/>
      <c r="BA610" s="34" t="n"/>
      <c r="BB610" s="34" t="n"/>
      <c r="BC610" s="34" t="n"/>
      <c r="BD610" s="34" t="n"/>
      <c r="BE610" s="34" t="n"/>
      <c r="BF610" s="34" t="n"/>
      <c r="BG610" s="34" t="n"/>
      <c r="BH610" s="34" t="n"/>
      <c r="BI610" s="34" t="n"/>
      <c r="BJ610" s="34" t="n"/>
      <c r="BK610" s="34" t="n"/>
      <c r="BL610" s="34" t="n"/>
      <c r="BM610" s="34" t="n"/>
      <c r="BN610" s="34" t="n"/>
      <c r="BO610" s="34" t="n"/>
      <c r="BP610" s="34" t="n"/>
      <c r="BQ610" s="34" t="n"/>
      <c r="BR610" s="82" t="n"/>
      <c r="BS610" s="34" t="n"/>
      <c r="BT610" s="34" t="n"/>
      <c r="BU610" s="34" t="n"/>
      <c r="BV610" s="34" t="n"/>
      <c r="BW610" s="34" t="n"/>
      <c r="BX610" s="34" t="n"/>
      <c r="BY610" s="34" t="n"/>
      <c r="BZ610" s="34" t="n"/>
      <c r="CA610" s="34" t="n"/>
      <c r="CB610" s="33" t="n"/>
      <c r="CC610" s="34" t="n"/>
      <c r="CD610" s="34" t="n"/>
      <c r="CE610" s="82" t="n"/>
      <c r="CF610" s="34" t="n"/>
      <c r="CG610" s="34" t="n"/>
      <c r="CH610" s="34" t="n"/>
      <c r="CI610" s="34" t="n"/>
      <c r="CJ610" s="34" t="n"/>
    </row>
    <row r="611">
      <c r="A611" s="29" t="n"/>
      <c r="B611" s="29" t="n"/>
      <c r="C611" s="35" t="n"/>
      <c r="D611" s="36" t="n"/>
      <c r="E611" s="147" t="n"/>
      <c r="F611" s="30" t="n"/>
      <c r="G611" s="30" t="n"/>
      <c r="H611" s="30" t="n"/>
      <c r="I611" s="30" t="n"/>
      <c r="J611" s="119" t="n"/>
      <c r="K611" s="34" t="n"/>
      <c r="L611" s="119" t="n"/>
      <c r="M611" s="34" t="n"/>
      <c r="N611" s="119" t="n"/>
      <c r="O611" s="34" t="n"/>
      <c r="P611" s="34" t="n"/>
      <c r="Q611" s="117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  <c r="AA611" s="34" t="n"/>
      <c r="AB611" s="34" t="n"/>
      <c r="AC611" s="34" t="n"/>
      <c r="AD611" s="34" t="n"/>
      <c r="AE611" s="34" t="n"/>
      <c r="AF611" s="34" t="n"/>
      <c r="AG611" s="34" t="n"/>
      <c r="AH611" s="34" t="n"/>
      <c r="AK611" s="34" t="n"/>
      <c r="AL611" s="34" t="n"/>
      <c r="AM611" s="39" t="n"/>
      <c r="AN611" s="34" t="n"/>
      <c r="AO611" s="34" t="n"/>
      <c r="AP611" s="34" t="n"/>
      <c r="AQ611" s="34" t="n"/>
      <c r="AR611" s="34" t="n"/>
      <c r="AS611" s="34" t="n"/>
      <c r="AU611" s="34" t="n"/>
      <c r="AV611" s="34" t="n"/>
      <c r="AW611" s="34" t="n"/>
      <c r="AX611" s="34" t="n"/>
      <c r="AY611" s="34" t="n"/>
      <c r="AZ611" s="34" t="n"/>
      <c r="BA611" s="34" t="n"/>
      <c r="BB611" s="34" t="n"/>
      <c r="BC611" s="34" t="n"/>
      <c r="BD611" s="34" t="n"/>
      <c r="BE611" s="34" t="n"/>
      <c r="BF611" s="34" t="n"/>
      <c r="BG611" s="34" t="n"/>
      <c r="BH611" s="34" t="n"/>
      <c r="BI611" s="34" t="n"/>
      <c r="BJ611" s="34" t="n"/>
      <c r="BK611" s="34" t="n"/>
      <c r="BL611" s="34" t="n"/>
      <c r="BM611" s="34" t="n"/>
      <c r="BN611" s="34" t="n"/>
      <c r="BO611" s="34" t="n"/>
      <c r="BP611" s="34" t="n"/>
      <c r="BQ611" s="34" t="n"/>
      <c r="BR611" s="82" t="n"/>
      <c r="BS611" s="34" t="n"/>
      <c r="BT611" s="34" t="n"/>
      <c r="BU611" s="34" t="n"/>
      <c r="BV611" s="34" t="n"/>
      <c r="BW611" s="34" t="n"/>
      <c r="BX611" s="34" t="n"/>
      <c r="BY611" s="34" t="n"/>
      <c r="BZ611" s="34" t="n"/>
      <c r="CA611" s="34" t="n"/>
      <c r="CB611" s="33" t="n"/>
      <c r="CC611" s="34" t="n"/>
      <c r="CD611" s="34" t="n"/>
      <c r="CE611" s="82" t="n"/>
      <c r="CF611" s="34" t="n"/>
      <c r="CG611" s="34" t="n"/>
      <c r="CH611" s="34" t="n"/>
      <c r="CI611" s="34" t="n"/>
      <c r="CJ611" s="34" t="n"/>
    </row>
    <row r="612">
      <c r="A612" s="29" t="n"/>
      <c r="B612" s="29" t="n"/>
      <c r="C612" s="35" t="n"/>
      <c r="D612" s="36" t="n"/>
      <c r="E612" s="147" t="n"/>
      <c r="F612" s="30" t="n"/>
      <c r="G612" s="30" t="n"/>
      <c r="H612" s="30" t="n"/>
      <c r="I612" s="30" t="n"/>
      <c r="J612" s="119" t="n"/>
      <c r="K612" s="34" t="n"/>
      <c r="L612" s="119" t="n"/>
      <c r="M612" s="34" t="n"/>
      <c r="N612" s="119" t="n"/>
      <c r="O612" s="34" t="n"/>
      <c r="P612" s="34" t="n"/>
      <c r="Q612" s="117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  <c r="AA612" s="34" t="n"/>
      <c r="AB612" s="34" t="n"/>
      <c r="AC612" s="34" t="n"/>
      <c r="AD612" s="34" t="n"/>
      <c r="AE612" s="34" t="n"/>
      <c r="AF612" s="34" t="n"/>
      <c r="AG612" s="34" t="n"/>
      <c r="AH612" s="34" t="n"/>
      <c r="AK612" s="34" t="n"/>
      <c r="AL612" s="34" t="n"/>
      <c r="AM612" s="39" t="n"/>
      <c r="AN612" s="34" t="n"/>
      <c r="AO612" s="34" t="n"/>
      <c r="AP612" s="34" t="n"/>
      <c r="AQ612" s="34" t="n"/>
      <c r="AR612" s="34" t="n"/>
      <c r="AS612" s="34" t="n"/>
      <c r="AU612" s="34" t="n"/>
      <c r="AV612" s="34" t="n"/>
      <c r="AW612" s="34" t="n"/>
      <c r="AX612" s="34" t="n"/>
      <c r="AY612" s="34" t="n"/>
      <c r="AZ612" s="34" t="n"/>
      <c r="BA612" s="34" t="n"/>
      <c r="BB612" s="34" t="n"/>
      <c r="BC612" s="34" t="n"/>
      <c r="BD612" s="34" t="n"/>
      <c r="BE612" s="34" t="n"/>
      <c r="BF612" s="34" t="n"/>
      <c r="BG612" s="34" t="n"/>
      <c r="BH612" s="34" t="n"/>
      <c r="BI612" s="34" t="n"/>
      <c r="BJ612" s="34" t="n"/>
      <c r="BK612" s="34" t="n"/>
      <c r="BL612" s="34" t="n"/>
      <c r="BM612" s="34" t="n"/>
      <c r="BN612" s="34" t="n"/>
      <c r="BO612" s="34" t="n"/>
      <c r="BP612" s="34" t="n"/>
      <c r="BQ612" s="34" t="n"/>
      <c r="BR612" s="82" t="n"/>
      <c r="BS612" s="34" t="n"/>
      <c r="BT612" s="34" t="n"/>
      <c r="BU612" s="34" t="n"/>
      <c r="BV612" s="34" t="n"/>
      <c r="BW612" s="34" t="n"/>
      <c r="BX612" s="34" t="n"/>
      <c r="BY612" s="34" t="n"/>
      <c r="BZ612" s="34" t="n"/>
      <c r="CA612" s="34" t="n"/>
      <c r="CB612" s="33" t="n"/>
      <c r="CC612" s="34" t="n"/>
      <c r="CD612" s="34" t="n"/>
      <c r="CE612" s="82" t="n"/>
      <c r="CF612" s="34" t="n"/>
      <c r="CG612" s="34" t="n"/>
      <c r="CH612" s="34" t="n"/>
      <c r="CI612" s="34" t="n"/>
      <c r="CJ612" s="34" t="n"/>
    </row>
    <row r="613">
      <c r="A613" s="29" t="n"/>
      <c r="B613" s="29" t="n"/>
      <c r="C613" s="35" t="n"/>
      <c r="D613" s="36" t="n"/>
      <c r="E613" s="147" t="n"/>
      <c r="F613" s="30" t="n"/>
      <c r="G613" s="30" t="n"/>
      <c r="H613" s="30" t="n"/>
      <c r="I613" s="30" t="n"/>
      <c r="J613" s="119" t="n"/>
      <c r="K613" s="34" t="n"/>
      <c r="L613" s="119" t="n"/>
      <c r="M613" s="34" t="n"/>
      <c r="N613" s="119" t="n"/>
      <c r="O613" s="34" t="n"/>
      <c r="P613" s="34" t="n"/>
      <c r="Q613" s="117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  <c r="AA613" s="34" t="n"/>
      <c r="AB613" s="34" t="n"/>
      <c r="AC613" s="34" t="n"/>
      <c r="AD613" s="34" t="n"/>
      <c r="AE613" s="34" t="n"/>
      <c r="AF613" s="34" t="n"/>
      <c r="AG613" s="34" t="n"/>
      <c r="AH613" s="34" t="n"/>
      <c r="AK613" s="34" t="n"/>
      <c r="AL613" s="34" t="n"/>
      <c r="AM613" s="39" t="n"/>
      <c r="AN613" s="34" t="n"/>
      <c r="AO613" s="34" t="n"/>
      <c r="AP613" s="34" t="n"/>
      <c r="AQ613" s="34" t="n"/>
      <c r="AR613" s="34" t="n"/>
      <c r="AS613" s="34" t="n"/>
      <c r="AU613" s="34" t="n"/>
      <c r="AV613" s="34" t="n"/>
      <c r="AW613" s="34" t="n"/>
      <c r="AX613" s="34" t="n"/>
      <c r="AY613" s="34" t="n"/>
      <c r="AZ613" s="34" t="n"/>
      <c r="BA613" s="34" t="n"/>
      <c r="BB613" s="34" t="n"/>
      <c r="BC613" s="34" t="n"/>
      <c r="BD613" s="34" t="n"/>
      <c r="BE613" s="34" t="n"/>
      <c r="BF613" s="34" t="n"/>
      <c r="BG613" s="34" t="n"/>
      <c r="BH613" s="34" t="n"/>
      <c r="BI613" s="34" t="n"/>
      <c r="BJ613" s="34" t="n"/>
      <c r="BK613" s="34" t="n"/>
      <c r="BL613" s="34" t="n"/>
      <c r="BM613" s="34" t="n"/>
      <c r="BN613" s="34" t="n"/>
      <c r="BO613" s="34" t="n"/>
      <c r="BP613" s="34" t="n"/>
      <c r="BQ613" s="34" t="n"/>
      <c r="BR613" s="82" t="n"/>
      <c r="BS613" s="34" t="n"/>
      <c r="BT613" s="34" t="n"/>
      <c r="BU613" s="34" t="n"/>
      <c r="BV613" s="34" t="n"/>
      <c r="BW613" s="34" t="n"/>
      <c r="BX613" s="34" t="n"/>
      <c r="BY613" s="34" t="n"/>
      <c r="BZ613" s="34" t="n"/>
      <c r="CA613" s="34" t="n"/>
      <c r="CB613" s="33" t="n"/>
      <c r="CC613" s="34" t="n"/>
      <c r="CD613" s="34" t="n"/>
      <c r="CE613" s="82" t="n"/>
      <c r="CF613" s="34" t="n"/>
      <c r="CG613" s="34" t="n"/>
      <c r="CH613" s="34" t="n"/>
      <c r="CI613" s="34" t="n"/>
      <c r="CJ613" s="34" t="n"/>
    </row>
    <row r="614">
      <c r="A614" s="29" t="n"/>
      <c r="B614" s="29" t="n"/>
      <c r="C614" s="35" t="n"/>
      <c r="D614" s="36" t="n"/>
      <c r="E614" s="147" t="n"/>
      <c r="F614" s="30" t="n"/>
      <c r="G614" s="30" t="n"/>
      <c r="H614" s="30" t="n"/>
      <c r="I614" s="30" t="n"/>
      <c r="J614" s="119" t="n"/>
      <c r="K614" s="34" t="n"/>
      <c r="L614" s="119" t="n"/>
      <c r="M614" s="34" t="n"/>
      <c r="N614" s="119" t="n"/>
      <c r="O614" s="34" t="n"/>
      <c r="P614" s="34" t="n"/>
      <c r="Q614" s="117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  <c r="AA614" s="34" t="n"/>
      <c r="AB614" s="34" t="n"/>
      <c r="AC614" s="34" t="n"/>
      <c r="AD614" s="34" t="n"/>
      <c r="AE614" s="34" t="n"/>
      <c r="AF614" s="34" t="n"/>
      <c r="AG614" s="34" t="n"/>
      <c r="AH614" s="34" t="n"/>
      <c r="AK614" s="34" t="n"/>
      <c r="AL614" s="34" t="n"/>
      <c r="AM614" s="39" t="n"/>
      <c r="AN614" s="34" t="n"/>
      <c r="AO614" s="34" t="n"/>
      <c r="AP614" s="34" t="n"/>
      <c r="AQ614" s="34" t="n"/>
      <c r="AR614" s="34" t="n"/>
      <c r="AS614" s="34" t="n"/>
      <c r="AU614" s="34" t="n"/>
      <c r="AV614" s="34" t="n"/>
      <c r="AW614" s="34" t="n"/>
      <c r="AX614" s="34" t="n"/>
      <c r="AY614" s="34" t="n"/>
      <c r="AZ614" s="34" t="n"/>
      <c r="BA614" s="34" t="n"/>
      <c r="BB614" s="34" t="n"/>
      <c r="BC614" s="34" t="n"/>
      <c r="BD614" s="34" t="n"/>
      <c r="BE614" s="34" t="n"/>
      <c r="BF614" s="34" t="n"/>
      <c r="BG614" s="34" t="n"/>
      <c r="BH614" s="34" t="n"/>
      <c r="BI614" s="34" t="n"/>
      <c r="BJ614" s="34" t="n"/>
      <c r="BK614" s="34" t="n"/>
      <c r="BL614" s="34" t="n"/>
      <c r="BM614" s="34" t="n"/>
      <c r="BN614" s="34" t="n"/>
      <c r="BO614" s="34" t="n"/>
      <c r="BP614" s="34" t="n"/>
      <c r="BQ614" s="34" t="n"/>
      <c r="BR614" s="82" t="n"/>
      <c r="BS614" s="34" t="n"/>
      <c r="BT614" s="34" t="n"/>
      <c r="BU614" s="34" t="n"/>
      <c r="BV614" s="34" t="n"/>
      <c r="BW614" s="34" t="n"/>
      <c r="BX614" s="34" t="n"/>
      <c r="BY614" s="34" t="n"/>
      <c r="BZ614" s="34" t="n"/>
      <c r="CA614" s="34" t="n"/>
      <c r="CB614" s="33" t="n"/>
      <c r="CC614" s="34" t="n"/>
      <c r="CD614" s="34" t="n"/>
      <c r="CE614" s="82" t="n"/>
      <c r="CF614" s="34" t="n"/>
      <c r="CG614" s="34" t="n"/>
      <c r="CH614" s="34" t="n"/>
      <c r="CI614" s="34" t="n"/>
      <c r="CJ614" s="34" t="n"/>
    </row>
    <row r="615">
      <c r="A615" s="29" t="n"/>
      <c r="B615" s="29" t="n"/>
      <c r="C615" s="35" t="n"/>
      <c r="D615" s="36" t="n"/>
      <c r="E615" s="147" t="n"/>
      <c r="F615" s="30" t="n"/>
      <c r="G615" s="30" t="n"/>
      <c r="H615" s="30" t="n"/>
      <c r="I615" s="30" t="n"/>
      <c r="J615" s="119" t="n"/>
      <c r="K615" s="34" t="n"/>
      <c r="L615" s="119" t="n"/>
      <c r="M615" s="34" t="n"/>
      <c r="N615" s="119" t="n"/>
      <c r="O615" s="34" t="n"/>
      <c r="P615" s="34" t="n"/>
      <c r="Q615" s="117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  <c r="AA615" s="34" t="n"/>
      <c r="AB615" s="34" t="n"/>
      <c r="AC615" s="34" t="n"/>
      <c r="AD615" s="34" t="n"/>
      <c r="AE615" s="34" t="n"/>
      <c r="AF615" s="34" t="n"/>
      <c r="AG615" s="34" t="n"/>
      <c r="AH615" s="34" t="n"/>
      <c r="AK615" s="34" t="n"/>
      <c r="AL615" s="34" t="n"/>
      <c r="AM615" s="39" t="n"/>
      <c r="AN615" s="34" t="n"/>
      <c r="AO615" s="34" t="n"/>
      <c r="AP615" s="34" t="n"/>
      <c r="AQ615" s="34" t="n"/>
      <c r="AR615" s="34" t="n"/>
      <c r="AS615" s="34" t="n"/>
      <c r="AU615" s="34" t="n"/>
      <c r="AV615" s="34" t="n"/>
      <c r="AW615" s="34" t="n"/>
      <c r="AX615" s="34" t="n"/>
      <c r="AY615" s="34" t="n"/>
      <c r="AZ615" s="34" t="n"/>
      <c r="BA615" s="34" t="n"/>
      <c r="BB615" s="34" t="n"/>
      <c r="BC615" s="34" t="n"/>
      <c r="BD615" s="34" t="n"/>
      <c r="BE615" s="34" t="n"/>
      <c r="BF615" s="34" t="n"/>
      <c r="BG615" s="34" t="n"/>
      <c r="BH615" s="34" t="n"/>
      <c r="BI615" s="34" t="n"/>
      <c r="BJ615" s="34" t="n"/>
      <c r="BK615" s="34" t="n"/>
      <c r="BL615" s="34" t="n"/>
      <c r="BM615" s="34" t="n"/>
      <c r="BN615" s="34" t="n"/>
      <c r="BO615" s="34" t="n"/>
      <c r="BP615" s="34" t="n"/>
      <c r="BQ615" s="34" t="n"/>
      <c r="BR615" s="82" t="n"/>
      <c r="BS615" s="34" t="n"/>
      <c r="BT615" s="34" t="n"/>
      <c r="BU615" s="34" t="n"/>
      <c r="BV615" s="34" t="n"/>
      <c r="BW615" s="34" t="n"/>
      <c r="BX615" s="34" t="n"/>
      <c r="BY615" s="34" t="n"/>
      <c r="BZ615" s="34" t="n"/>
      <c r="CA615" s="34" t="n"/>
      <c r="CB615" s="33" t="n"/>
      <c r="CC615" s="34" t="n"/>
      <c r="CD615" s="34" t="n"/>
      <c r="CE615" s="82" t="n"/>
      <c r="CF615" s="34" t="n"/>
      <c r="CG615" s="34" t="n"/>
      <c r="CH615" s="34" t="n"/>
      <c r="CI615" s="34" t="n"/>
      <c r="CJ615" s="34" t="n"/>
    </row>
    <row r="616">
      <c r="A616" s="29" t="n"/>
      <c r="B616" s="29" t="n"/>
      <c r="C616" s="35" t="n"/>
      <c r="D616" s="36" t="n"/>
      <c r="E616" s="147" t="n"/>
      <c r="F616" s="30" t="n"/>
      <c r="G616" s="30" t="n"/>
      <c r="H616" s="30" t="n"/>
      <c r="I616" s="30" t="n"/>
      <c r="J616" s="119" t="n"/>
      <c r="K616" s="34" t="n"/>
      <c r="L616" s="119" t="n"/>
      <c r="M616" s="34" t="n"/>
      <c r="N616" s="119" t="n"/>
      <c r="O616" s="34" t="n"/>
      <c r="P616" s="34" t="n"/>
      <c r="Q616" s="117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  <c r="AA616" s="34" t="n"/>
      <c r="AB616" s="34" t="n"/>
      <c r="AC616" s="34" t="n"/>
      <c r="AD616" s="34" t="n"/>
      <c r="AE616" s="34" t="n"/>
      <c r="AF616" s="34" t="n"/>
      <c r="AG616" s="34" t="n"/>
      <c r="AH616" s="34" t="n"/>
      <c r="AK616" s="34" t="n"/>
      <c r="AL616" s="34" t="n"/>
      <c r="AM616" s="39" t="n"/>
      <c r="AN616" s="34" t="n"/>
      <c r="AO616" s="34" t="n"/>
      <c r="AP616" s="34" t="n"/>
      <c r="AQ616" s="34" t="n"/>
      <c r="AR616" s="34" t="n"/>
      <c r="AS616" s="34" t="n"/>
      <c r="AU616" s="34" t="n"/>
      <c r="AV616" s="34" t="n"/>
      <c r="AW616" s="34" t="n"/>
      <c r="AX616" s="34" t="n"/>
      <c r="AY616" s="34" t="n"/>
      <c r="AZ616" s="34" t="n"/>
      <c r="BA616" s="34" t="n"/>
      <c r="BB616" s="34" t="n"/>
      <c r="BC616" s="34" t="n"/>
      <c r="BD616" s="34" t="n"/>
      <c r="BE616" s="34" t="n"/>
      <c r="BF616" s="34" t="n"/>
      <c r="BG616" s="34" t="n"/>
      <c r="BH616" s="34" t="n"/>
      <c r="BI616" s="34" t="n"/>
      <c r="BJ616" s="34" t="n"/>
      <c r="BK616" s="34" t="n"/>
      <c r="BL616" s="34" t="n"/>
      <c r="BM616" s="34" t="n"/>
      <c r="BN616" s="34" t="n"/>
      <c r="BO616" s="34" t="n"/>
      <c r="BP616" s="34" t="n"/>
      <c r="BQ616" s="34" t="n"/>
      <c r="BR616" s="82" t="n"/>
      <c r="BS616" s="34" t="n"/>
      <c r="BT616" s="34" t="n"/>
      <c r="BU616" s="34" t="n"/>
      <c r="BV616" s="34" t="n"/>
      <c r="BW616" s="34" t="n"/>
      <c r="BX616" s="34" t="n"/>
      <c r="BY616" s="34" t="n"/>
      <c r="BZ616" s="34" t="n"/>
      <c r="CA616" s="34" t="n"/>
      <c r="CB616" s="33" t="n"/>
      <c r="CC616" s="34" t="n"/>
      <c r="CD616" s="34" t="n"/>
      <c r="CE616" s="82" t="n"/>
      <c r="CF616" s="34" t="n"/>
      <c r="CG616" s="34" t="n"/>
      <c r="CH616" s="34" t="n"/>
      <c r="CI616" s="34" t="n"/>
      <c r="CJ616" s="34" t="n"/>
    </row>
    <row r="617">
      <c r="A617" s="29" t="n"/>
      <c r="B617" s="29" t="n"/>
      <c r="C617" s="35" t="n"/>
      <c r="D617" s="36" t="n"/>
      <c r="E617" s="147" t="n"/>
      <c r="F617" s="30" t="n"/>
      <c r="G617" s="30" t="n"/>
      <c r="H617" s="30" t="n"/>
      <c r="I617" s="30" t="n"/>
      <c r="J617" s="119" t="n"/>
      <c r="K617" s="34" t="n"/>
      <c r="L617" s="119" t="n"/>
      <c r="M617" s="34" t="n"/>
      <c r="N617" s="119" t="n"/>
      <c r="O617" s="34" t="n"/>
      <c r="P617" s="34" t="n"/>
      <c r="Q617" s="117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  <c r="AA617" s="34" t="n"/>
      <c r="AB617" s="34" t="n"/>
      <c r="AC617" s="34" t="n"/>
      <c r="AD617" s="34" t="n"/>
      <c r="AE617" s="34" t="n"/>
      <c r="AF617" s="34" t="n"/>
      <c r="AG617" s="34" t="n"/>
      <c r="AH617" s="34" t="n"/>
      <c r="AK617" s="34" t="n"/>
      <c r="AL617" s="34" t="n"/>
      <c r="AM617" s="39" t="n"/>
      <c r="AN617" s="34" t="n"/>
      <c r="AO617" s="34" t="n"/>
      <c r="AP617" s="34" t="n"/>
      <c r="AQ617" s="34" t="n"/>
      <c r="AR617" s="34" t="n"/>
      <c r="AS617" s="34" t="n"/>
      <c r="AU617" s="34" t="n"/>
      <c r="AV617" s="34" t="n"/>
      <c r="AW617" s="34" t="n"/>
      <c r="AX617" s="34" t="n"/>
      <c r="AY617" s="34" t="n"/>
      <c r="AZ617" s="34" t="n"/>
      <c r="BA617" s="34" t="n"/>
      <c r="BB617" s="34" t="n"/>
      <c r="BC617" s="34" t="n"/>
      <c r="BD617" s="34" t="n"/>
      <c r="BE617" s="34" t="n"/>
      <c r="BF617" s="34" t="n"/>
      <c r="BG617" s="34" t="n"/>
      <c r="BH617" s="34" t="n"/>
      <c r="BI617" s="34" t="n"/>
      <c r="BJ617" s="34" t="n"/>
      <c r="BK617" s="34" t="n"/>
      <c r="BL617" s="34" t="n"/>
      <c r="BM617" s="34" t="n"/>
      <c r="BN617" s="34" t="n"/>
      <c r="BO617" s="34" t="n"/>
      <c r="BP617" s="34" t="n"/>
      <c r="BQ617" s="34" t="n"/>
      <c r="BR617" s="82" t="n"/>
      <c r="BS617" s="34" t="n"/>
      <c r="BT617" s="34" t="n"/>
      <c r="BU617" s="34" t="n"/>
      <c r="BV617" s="34" t="n"/>
      <c r="BW617" s="34" t="n"/>
      <c r="BX617" s="34" t="n"/>
      <c r="BY617" s="34" t="n"/>
      <c r="BZ617" s="34" t="n"/>
      <c r="CA617" s="34" t="n"/>
      <c r="CB617" s="33" t="n"/>
      <c r="CC617" s="34" t="n"/>
      <c r="CD617" s="34" t="n"/>
      <c r="CE617" s="82" t="n"/>
      <c r="CF617" s="34" t="n"/>
      <c r="CG617" s="34" t="n"/>
      <c r="CH617" s="34" t="n"/>
      <c r="CI617" s="34" t="n"/>
      <c r="CJ617" s="34" t="n"/>
    </row>
    <row r="618">
      <c r="A618" s="29" t="n"/>
      <c r="B618" s="29" t="n"/>
      <c r="C618" s="35" t="n"/>
      <c r="D618" s="36" t="n"/>
      <c r="E618" s="147" t="n"/>
      <c r="F618" s="30" t="n"/>
      <c r="G618" s="30" t="n"/>
      <c r="H618" s="30" t="n"/>
      <c r="I618" s="30" t="n"/>
      <c r="J618" s="119" t="n"/>
      <c r="K618" s="34" t="n"/>
      <c r="L618" s="119" t="n"/>
      <c r="M618" s="34" t="n"/>
      <c r="N618" s="119" t="n"/>
      <c r="O618" s="34" t="n"/>
      <c r="P618" s="34" t="n"/>
      <c r="Q618" s="117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  <c r="AA618" s="34" t="n"/>
      <c r="AB618" s="34" t="n"/>
      <c r="AC618" s="34" t="n"/>
      <c r="AD618" s="34" t="n"/>
      <c r="AE618" s="34" t="n"/>
      <c r="AF618" s="34" t="n"/>
      <c r="AG618" s="34" t="n"/>
      <c r="AH618" s="34" t="n"/>
      <c r="AK618" s="34" t="n"/>
      <c r="AL618" s="34" t="n"/>
      <c r="AM618" s="39" t="n"/>
      <c r="AN618" s="34" t="n"/>
      <c r="AO618" s="34" t="n"/>
      <c r="AP618" s="34" t="n"/>
      <c r="AQ618" s="34" t="n"/>
      <c r="AR618" s="34" t="n"/>
      <c r="AS618" s="34" t="n"/>
      <c r="AU618" s="34" t="n"/>
      <c r="AV618" s="34" t="n"/>
      <c r="AW618" s="34" t="n"/>
      <c r="AX618" s="34" t="n"/>
      <c r="AY618" s="34" t="n"/>
      <c r="AZ618" s="34" t="n"/>
      <c r="BA618" s="34" t="n"/>
      <c r="BB618" s="34" t="n"/>
      <c r="BC618" s="34" t="n"/>
      <c r="BD618" s="34" t="n"/>
      <c r="BE618" s="34" t="n"/>
      <c r="BF618" s="34" t="n"/>
      <c r="BG618" s="34" t="n"/>
      <c r="BH618" s="34" t="n"/>
      <c r="BI618" s="34" t="n"/>
      <c r="BJ618" s="34" t="n"/>
      <c r="BK618" s="34" t="n"/>
      <c r="BL618" s="34" t="n"/>
      <c r="BM618" s="34" t="n"/>
      <c r="BN618" s="34" t="n"/>
      <c r="BO618" s="34" t="n"/>
      <c r="BP618" s="34" t="n"/>
      <c r="BQ618" s="34" t="n"/>
      <c r="BR618" s="82" t="n"/>
      <c r="BS618" s="34" t="n"/>
      <c r="BT618" s="34" t="n"/>
      <c r="BU618" s="34" t="n"/>
      <c r="BV618" s="34" t="n"/>
      <c r="BW618" s="34" t="n"/>
      <c r="BX618" s="34" t="n"/>
      <c r="BY618" s="34" t="n"/>
      <c r="BZ618" s="34" t="n"/>
      <c r="CA618" s="34" t="n"/>
      <c r="CB618" s="33" t="n"/>
      <c r="CC618" s="34" t="n"/>
      <c r="CD618" s="34" t="n"/>
      <c r="CE618" s="82" t="n"/>
      <c r="CF618" s="34" t="n"/>
      <c r="CG618" s="34" t="n"/>
      <c r="CH618" s="34" t="n"/>
      <c r="CI618" s="34" t="n"/>
      <c r="CJ618" s="34" t="n"/>
    </row>
    <row r="619">
      <c r="A619" s="29" t="n"/>
      <c r="B619" s="29" t="n"/>
      <c r="C619" s="35" t="n"/>
      <c r="D619" s="36" t="n"/>
      <c r="E619" s="147" t="n"/>
      <c r="F619" s="30" t="n"/>
      <c r="G619" s="30" t="n"/>
      <c r="H619" s="30" t="n"/>
      <c r="I619" s="30" t="n"/>
      <c r="J619" s="119" t="n"/>
      <c r="K619" s="34" t="n"/>
      <c r="L619" s="119" t="n"/>
      <c r="M619" s="34" t="n"/>
      <c r="N619" s="119" t="n"/>
      <c r="O619" s="34" t="n"/>
      <c r="P619" s="34" t="n"/>
      <c r="Q619" s="117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  <c r="AA619" s="34" t="n"/>
      <c r="AB619" s="34" t="n"/>
      <c r="AC619" s="34" t="n"/>
      <c r="AD619" s="34" t="n"/>
      <c r="AE619" s="34" t="n"/>
      <c r="AF619" s="34" t="n"/>
      <c r="AG619" s="34" t="n"/>
      <c r="AH619" s="34" t="n"/>
      <c r="AK619" s="34" t="n"/>
      <c r="AL619" s="34" t="n"/>
      <c r="AM619" s="39" t="n"/>
      <c r="AN619" s="34" t="n"/>
      <c r="AO619" s="34" t="n"/>
      <c r="AP619" s="34" t="n"/>
      <c r="AQ619" s="34" t="n"/>
      <c r="AR619" s="34" t="n"/>
      <c r="AS619" s="34" t="n"/>
      <c r="AU619" s="34" t="n"/>
      <c r="AV619" s="34" t="n"/>
      <c r="AW619" s="34" t="n"/>
      <c r="AX619" s="34" t="n"/>
      <c r="AY619" s="34" t="n"/>
      <c r="AZ619" s="34" t="n"/>
      <c r="BA619" s="34" t="n"/>
      <c r="BB619" s="34" t="n"/>
      <c r="BC619" s="34" t="n"/>
      <c r="BD619" s="34" t="n"/>
      <c r="BE619" s="34" t="n"/>
      <c r="BF619" s="34" t="n"/>
      <c r="BG619" s="34" t="n"/>
      <c r="BH619" s="34" t="n"/>
      <c r="BI619" s="34" t="n"/>
      <c r="BJ619" s="34" t="n"/>
      <c r="BK619" s="34" t="n"/>
      <c r="BL619" s="34" t="n"/>
      <c r="BM619" s="34" t="n"/>
      <c r="BN619" s="34" t="n"/>
      <c r="BO619" s="34" t="n"/>
      <c r="BP619" s="34" t="n"/>
      <c r="BQ619" s="34" t="n"/>
      <c r="BR619" s="82" t="n"/>
      <c r="BS619" s="34" t="n"/>
      <c r="BT619" s="34" t="n"/>
      <c r="BU619" s="34" t="n"/>
      <c r="BV619" s="34" t="n"/>
      <c r="BW619" s="34" t="n"/>
      <c r="BX619" s="34" t="n"/>
      <c r="BY619" s="34" t="n"/>
      <c r="BZ619" s="34" t="n"/>
      <c r="CA619" s="34" t="n"/>
      <c r="CB619" s="33" t="n"/>
      <c r="CC619" s="34" t="n"/>
      <c r="CD619" s="34" t="n"/>
      <c r="CE619" s="82" t="n"/>
      <c r="CF619" s="34" t="n"/>
      <c r="CG619" s="34" t="n"/>
      <c r="CH619" s="34" t="n"/>
      <c r="CI619" s="34" t="n"/>
      <c r="CJ619" s="34" t="n"/>
    </row>
    <row r="620">
      <c r="A620" s="29" t="n"/>
      <c r="B620" s="29" t="n"/>
      <c r="C620" s="35" t="n"/>
      <c r="D620" s="36" t="n"/>
      <c r="E620" s="147" t="n"/>
      <c r="F620" s="30" t="n"/>
      <c r="G620" s="30" t="n"/>
      <c r="H620" s="30" t="n"/>
      <c r="I620" s="30" t="n"/>
      <c r="J620" s="119" t="n"/>
      <c r="K620" s="34" t="n"/>
      <c r="L620" s="119" t="n"/>
      <c r="M620" s="34" t="n"/>
      <c r="N620" s="119" t="n"/>
      <c r="O620" s="34" t="n"/>
      <c r="P620" s="34" t="n"/>
      <c r="Q620" s="117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  <c r="AA620" s="34" t="n"/>
      <c r="AB620" s="34" t="n"/>
      <c r="AC620" s="34" t="n"/>
      <c r="AD620" s="34" t="n"/>
      <c r="AE620" s="34" t="n"/>
      <c r="AF620" s="34" t="n"/>
      <c r="AG620" s="34" t="n"/>
      <c r="AH620" s="34" t="n"/>
      <c r="AK620" s="34" t="n"/>
      <c r="AL620" s="34" t="n"/>
      <c r="AM620" s="39" t="n"/>
      <c r="AN620" s="34" t="n"/>
      <c r="AO620" s="34" t="n"/>
      <c r="AP620" s="34" t="n"/>
      <c r="AQ620" s="34" t="n"/>
      <c r="AR620" s="34" t="n"/>
      <c r="AS620" s="34" t="n"/>
      <c r="AU620" s="34" t="n"/>
      <c r="AV620" s="34" t="n"/>
      <c r="AW620" s="34" t="n"/>
      <c r="AX620" s="34" t="n"/>
      <c r="AY620" s="34" t="n"/>
      <c r="AZ620" s="34" t="n"/>
      <c r="BA620" s="34" t="n"/>
      <c r="BB620" s="34" t="n"/>
      <c r="BC620" s="34" t="n"/>
      <c r="BD620" s="34" t="n"/>
      <c r="BE620" s="34" t="n"/>
      <c r="BF620" s="34" t="n"/>
      <c r="BG620" s="34" t="n"/>
      <c r="BH620" s="34" t="n"/>
      <c r="BI620" s="34" t="n"/>
      <c r="BJ620" s="34" t="n"/>
      <c r="BK620" s="34" t="n"/>
      <c r="BL620" s="34" t="n"/>
      <c r="BM620" s="34" t="n"/>
      <c r="BN620" s="34" t="n"/>
      <c r="BO620" s="34" t="n"/>
      <c r="BP620" s="34" t="n"/>
      <c r="BQ620" s="34" t="n"/>
      <c r="BR620" s="82" t="n"/>
      <c r="BS620" s="34" t="n"/>
      <c r="BT620" s="34" t="n"/>
      <c r="BU620" s="34" t="n"/>
      <c r="BV620" s="34" t="n"/>
      <c r="BW620" s="34" t="n"/>
      <c r="BX620" s="34" t="n"/>
      <c r="BY620" s="34" t="n"/>
      <c r="BZ620" s="34" t="n"/>
      <c r="CA620" s="34" t="n"/>
      <c r="CB620" s="33" t="n"/>
      <c r="CC620" s="34" t="n"/>
      <c r="CD620" s="34" t="n"/>
      <c r="CE620" s="82" t="n"/>
      <c r="CF620" s="34" t="n"/>
      <c r="CG620" s="34" t="n"/>
      <c r="CH620" s="34" t="n"/>
      <c r="CI620" s="34" t="n"/>
      <c r="CJ620" s="34" t="n"/>
    </row>
    <row r="621">
      <c r="A621" s="29" t="n"/>
      <c r="B621" s="29" t="n"/>
      <c r="C621" s="35" t="n"/>
      <c r="D621" s="36" t="n"/>
      <c r="E621" s="147" t="n"/>
      <c r="F621" s="30" t="n"/>
      <c r="G621" s="30" t="n"/>
      <c r="H621" s="30" t="n"/>
      <c r="I621" s="30" t="n"/>
      <c r="J621" s="119" t="n"/>
      <c r="K621" s="34" t="n"/>
      <c r="L621" s="119" t="n"/>
      <c r="M621" s="34" t="n"/>
      <c r="N621" s="119" t="n"/>
      <c r="O621" s="34" t="n"/>
      <c r="P621" s="34" t="n"/>
      <c r="Q621" s="117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  <c r="AA621" s="34" t="n"/>
      <c r="AB621" s="34" t="n"/>
      <c r="AC621" s="34" t="n"/>
      <c r="AD621" s="34" t="n"/>
      <c r="AE621" s="34" t="n"/>
      <c r="AF621" s="34" t="n"/>
      <c r="AG621" s="34" t="n"/>
      <c r="AH621" s="34" t="n"/>
      <c r="AK621" s="34" t="n"/>
      <c r="AL621" s="34" t="n"/>
      <c r="AM621" s="39" t="n"/>
      <c r="AN621" s="34" t="n"/>
      <c r="AO621" s="34" t="n"/>
      <c r="AP621" s="34" t="n"/>
      <c r="AQ621" s="34" t="n"/>
      <c r="AR621" s="34" t="n"/>
      <c r="AS621" s="34" t="n"/>
      <c r="AU621" s="34" t="n"/>
      <c r="AV621" s="34" t="n"/>
      <c r="AW621" s="34" t="n"/>
      <c r="AX621" s="34" t="n"/>
      <c r="AY621" s="34" t="n"/>
      <c r="AZ621" s="34" t="n"/>
      <c r="BA621" s="34" t="n"/>
      <c r="BB621" s="34" t="n"/>
      <c r="BC621" s="34" t="n"/>
      <c r="BD621" s="34" t="n"/>
      <c r="BE621" s="34" t="n"/>
      <c r="BF621" s="34" t="n"/>
      <c r="BG621" s="34" t="n"/>
      <c r="BH621" s="34" t="n"/>
      <c r="BI621" s="34" t="n"/>
      <c r="BJ621" s="34" t="n"/>
      <c r="BK621" s="34" t="n"/>
      <c r="BL621" s="34" t="n"/>
      <c r="BM621" s="34" t="n"/>
      <c r="BN621" s="34" t="n"/>
      <c r="BO621" s="34" t="n"/>
      <c r="BP621" s="34" t="n"/>
      <c r="BQ621" s="34" t="n"/>
      <c r="BR621" s="82" t="n"/>
      <c r="BS621" s="34" t="n"/>
      <c r="BT621" s="34" t="n"/>
      <c r="BU621" s="34" t="n"/>
      <c r="BV621" s="34" t="n"/>
      <c r="BW621" s="34" t="n"/>
      <c r="BX621" s="34" t="n"/>
      <c r="BY621" s="34" t="n"/>
      <c r="BZ621" s="34" t="n"/>
      <c r="CA621" s="34" t="n"/>
      <c r="CB621" s="33" t="n"/>
      <c r="CC621" s="34" t="n"/>
      <c r="CD621" s="34" t="n"/>
      <c r="CE621" s="82" t="n"/>
      <c r="CF621" s="34" t="n"/>
      <c r="CG621" s="34" t="n"/>
      <c r="CH621" s="34" t="n"/>
      <c r="CI621" s="34" t="n"/>
      <c r="CJ621" s="34" t="n"/>
    </row>
    <row r="622">
      <c r="A622" s="29" t="n"/>
      <c r="B622" s="29" t="n"/>
      <c r="C622" s="35" t="n"/>
      <c r="D622" s="36" t="n"/>
      <c r="E622" s="147" t="n"/>
      <c r="F622" s="30" t="n"/>
      <c r="G622" s="30" t="n"/>
      <c r="H622" s="30" t="n"/>
      <c r="I622" s="30" t="n"/>
      <c r="J622" s="119" t="n"/>
      <c r="K622" s="34" t="n"/>
      <c r="L622" s="119" t="n"/>
      <c r="M622" s="34" t="n"/>
      <c r="N622" s="119" t="n"/>
      <c r="O622" s="34" t="n"/>
      <c r="P622" s="34" t="n"/>
      <c r="Q622" s="117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  <c r="AA622" s="34" t="n"/>
      <c r="AB622" s="34" t="n"/>
      <c r="AC622" s="34" t="n"/>
      <c r="AD622" s="34" t="n"/>
      <c r="AE622" s="34" t="n"/>
      <c r="AF622" s="34" t="n"/>
      <c r="AG622" s="34" t="n"/>
      <c r="AH622" s="34" t="n"/>
      <c r="AK622" s="34" t="n"/>
      <c r="AL622" s="34" t="n"/>
      <c r="AM622" s="39" t="n"/>
      <c r="AN622" s="34" t="n"/>
      <c r="AO622" s="34" t="n"/>
      <c r="AP622" s="34" t="n"/>
      <c r="AQ622" s="34" t="n"/>
      <c r="AR622" s="34" t="n"/>
      <c r="AS622" s="34" t="n"/>
      <c r="AU622" s="34" t="n"/>
      <c r="AV622" s="34" t="n"/>
      <c r="AW622" s="34" t="n"/>
      <c r="AX622" s="34" t="n"/>
      <c r="AY622" s="34" t="n"/>
      <c r="AZ622" s="34" t="n"/>
      <c r="BA622" s="34" t="n"/>
      <c r="BB622" s="34" t="n"/>
      <c r="BC622" s="34" t="n"/>
      <c r="BD622" s="34" t="n"/>
      <c r="BE622" s="34" t="n"/>
      <c r="BF622" s="34" t="n"/>
      <c r="BG622" s="34" t="n"/>
      <c r="BH622" s="34" t="n"/>
      <c r="BI622" s="34" t="n"/>
      <c r="BJ622" s="34" t="n"/>
      <c r="BK622" s="34" t="n"/>
      <c r="BL622" s="34" t="n"/>
      <c r="BM622" s="34" t="n"/>
      <c r="BN622" s="34" t="n"/>
      <c r="BO622" s="34" t="n"/>
      <c r="BP622" s="34" t="n"/>
      <c r="BQ622" s="34" t="n"/>
      <c r="BR622" s="82" t="n"/>
      <c r="BS622" s="34" t="n"/>
      <c r="BT622" s="34" t="n"/>
      <c r="BU622" s="34" t="n"/>
      <c r="BV622" s="34" t="n"/>
      <c r="BW622" s="34" t="n"/>
      <c r="BX622" s="34" t="n"/>
      <c r="BY622" s="34" t="n"/>
      <c r="BZ622" s="34" t="n"/>
      <c r="CA622" s="34" t="n"/>
      <c r="CB622" s="33" t="n"/>
      <c r="CC622" s="34" t="n"/>
      <c r="CD622" s="34" t="n"/>
      <c r="CE622" s="82" t="n"/>
      <c r="CF622" s="34" t="n"/>
      <c r="CG622" s="34" t="n"/>
      <c r="CH622" s="34" t="n"/>
      <c r="CI622" s="34" t="n"/>
      <c r="CJ622" s="34" t="n"/>
    </row>
    <row r="623">
      <c r="A623" s="29" t="n"/>
      <c r="B623" s="29" t="n"/>
      <c r="C623" s="35" t="n"/>
      <c r="D623" s="36" t="n"/>
      <c r="E623" s="147" t="n"/>
      <c r="F623" s="30" t="n"/>
      <c r="G623" s="30" t="n"/>
      <c r="H623" s="30" t="n"/>
      <c r="I623" s="30" t="n"/>
      <c r="J623" s="119" t="n"/>
      <c r="K623" s="34" t="n"/>
      <c r="L623" s="119" t="n"/>
      <c r="M623" s="34" t="n"/>
      <c r="N623" s="119" t="n"/>
      <c r="O623" s="34" t="n"/>
      <c r="P623" s="34" t="n"/>
      <c r="Q623" s="117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  <c r="AA623" s="34" t="n"/>
      <c r="AB623" s="34" t="n"/>
      <c r="AC623" s="34" t="n"/>
      <c r="AD623" s="34" t="n"/>
      <c r="AE623" s="34" t="n"/>
      <c r="AF623" s="34" t="n"/>
      <c r="AG623" s="34" t="n"/>
      <c r="AH623" s="34" t="n"/>
      <c r="AK623" s="34" t="n"/>
      <c r="AL623" s="34" t="n"/>
      <c r="AM623" s="39" t="n"/>
      <c r="AN623" s="34" t="n"/>
      <c r="AO623" s="34" t="n"/>
      <c r="AP623" s="34" t="n"/>
      <c r="AQ623" s="34" t="n"/>
      <c r="AR623" s="34" t="n"/>
      <c r="AS623" s="34" t="n"/>
      <c r="AU623" s="34" t="n"/>
      <c r="AV623" s="34" t="n"/>
      <c r="AW623" s="34" t="n"/>
      <c r="AX623" s="34" t="n"/>
      <c r="AY623" s="34" t="n"/>
      <c r="AZ623" s="34" t="n"/>
      <c r="BA623" s="34" t="n"/>
      <c r="BB623" s="34" t="n"/>
      <c r="BC623" s="34" t="n"/>
      <c r="BD623" s="34" t="n"/>
      <c r="BE623" s="34" t="n"/>
      <c r="BF623" s="34" t="n"/>
      <c r="BG623" s="34" t="n"/>
      <c r="BH623" s="34" t="n"/>
      <c r="BI623" s="34" t="n"/>
      <c r="BJ623" s="34" t="n"/>
      <c r="BK623" s="34" t="n"/>
      <c r="BL623" s="34" t="n"/>
      <c r="BM623" s="34" t="n"/>
      <c r="BN623" s="34" t="n"/>
      <c r="BO623" s="34" t="n"/>
      <c r="BP623" s="34" t="n"/>
      <c r="BQ623" s="34" t="n"/>
      <c r="BR623" s="82" t="n"/>
      <c r="BS623" s="34" t="n"/>
      <c r="BT623" s="34" t="n"/>
      <c r="BU623" s="34" t="n"/>
      <c r="BV623" s="34" t="n"/>
      <c r="BW623" s="34" t="n"/>
      <c r="BX623" s="34" t="n"/>
      <c r="BY623" s="34" t="n"/>
      <c r="BZ623" s="34" t="n"/>
      <c r="CA623" s="34" t="n"/>
      <c r="CB623" s="33" t="n"/>
      <c r="CC623" s="34" t="n"/>
      <c r="CD623" s="34" t="n"/>
      <c r="CE623" s="82" t="n"/>
      <c r="CF623" s="34" t="n"/>
      <c r="CG623" s="34" t="n"/>
      <c r="CH623" s="34" t="n"/>
      <c r="CI623" s="34" t="n"/>
      <c r="CJ623" s="34" t="n"/>
    </row>
    <row r="624">
      <c r="A624" s="29" t="n"/>
      <c r="B624" s="29" t="n"/>
      <c r="C624" s="35" t="n"/>
      <c r="D624" s="36" t="n"/>
      <c r="E624" s="147" t="n"/>
      <c r="F624" s="30" t="n"/>
      <c r="G624" s="30" t="n"/>
      <c r="H624" s="30" t="n"/>
      <c r="I624" s="30" t="n"/>
      <c r="J624" s="119" t="n"/>
      <c r="K624" s="34" t="n"/>
      <c r="L624" s="119" t="n"/>
      <c r="M624" s="34" t="n"/>
      <c r="N624" s="119" t="n"/>
      <c r="O624" s="34" t="n"/>
      <c r="P624" s="34" t="n"/>
      <c r="Q624" s="117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  <c r="AA624" s="34" t="n"/>
      <c r="AB624" s="34" t="n"/>
      <c r="AC624" s="34" t="n"/>
      <c r="AD624" s="34" t="n"/>
      <c r="AE624" s="34" t="n"/>
      <c r="AF624" s="34" t="n"/>
      <c r="AG624" s="34" t="n"/>
      <c r="AH624" s="34" t="n"/>
      <c r="AK624" s="34" t="n"/>
      <c r="AL624" s="34" t="n"/>
      <c r="AM624" s="39" t="n"/>
      <c r="AN624" s="34" t="n"/>
      <c r="AO624" s="34" t="n"/>
      <c r="AP624" s="34" t="n"/>
      <c r="AQ624" s="34" t="n"/>
      <c r="AR624" s="34" t="n"/>
      <c r="AS624" s="34" t="n"/>
      <c r="AU624" s="34" t="n"/>
      <c r="AV624" s="34" t="n"/>
      <c r="AW624" s="34" t="n"/>
      <c r="AX624" s="34" t="n"/>
      <c r="AY624" s="34" t="n"/>
      <c r="AZ624" s="34" t="n"/>
      <c r="BA624" s="34" t="n"/>
      <c r="BB624" s="34" t="n"/>
      <c r="BC624" s="34" t="n"/>
      <c r="BD624" s="34" t="n"/>
      <c r="BE624" s="34" t="n"/>
      <c r="BF624" s="34" t="n"/>
      <c r="BG624" s="34" t="n"/>
      <c r="BH624" s="34" t="n"/>
      <c r="BI624" s="34" t="n"/>
      <c r="BJ624" s="34" t="n"/>
      <c r="BK624" s="34" t="n"/>
      <c r="BL624" s="34" t="n"/>
      <c r="BM624" s="34" t="n"/>
      <c r="BN624" s="34" t="n"/>
      <c r="BO624" s="34" t="n"/>
      <c r="BP624" s="34" t="n"/>
      <c r="BQ624" s="34" t="n"/>
      <c r="BR624" s="82" t="n"/>
      <c r="BS624" s="34" t="n"/>
      <c r="BT624" s="34" t="n"/>
      <c r="BU624" s="34" t="n"/>
      <c r="BV624" s="34" t="n"/>
      <c r="BW624" s="34" t="n"/>
      <c r="BX624" s="34" t="n"/>
      <c r="BY624" s="34" t="n"/>
      <c r="BZ624" s="34" t="n"/>
      <c r="CA624" s="34" t="n"/>
      <c r="CB624" s="33" t="n"/>
      <c r="CC624" s="34" t="n"/>
      <c r="CD624" s="34" t="n"/>
      <c r="CE624" s="82" t="n"/>
      <c r="CF624" s="34" t="n"/>
      <c r="CG624" s="34" t="n"/>
      <c r="CH624" s="34" t="n"/>
      <c r="CI624" s="34" t="n"/>
      <c r="CJ624" s="34" t="n"/>
    </row>
    <row r="625">
      <c r="A625" s="29" t="n"/>
      <c r="B625" s="29" t="n"/>
      <c r="C625" s="35" t="n"/>
      <c r="D625" s="36" t="n"/>
      <c r="E625" s="147" t="n"/>
      <c r="F625" s="30" t="n"/>
      <c r="G625" s="30" t="n"/>
      <c r="H625" s="30" t="n"/>
      <c r="I625" s="30" t="n"/>
      <c r="J625" s="119" t="n"/>
      <c r="K625" s="34" t="n"/>
      <c r="L625" s="119" t="n"/>
      <c r="M625" s="34" t="n"/>
      <c r="N625" s="119" t="n"/>
      <c r="O625" s="34" t="n"/>
      <c r="P625" s="34" t="n"/>
      <c r="Q625" s="117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  <c r="AA625" s="34" t="n"/>
      <c r="AB625" s="34" t="n"/>
      <c r="AC625" s="34" t="n"/>
      <c r="AD625" s="34" t="n"/>
      <c r="AE625" s="34" t="n"/>
      <c r="AF625" s="34" t="n"/>
      <c r="AG625" s="34" t="n"/>
      <c r="AH625" s="34" t="n"/>
      <c r="AK625" s="34" t="n"/>
      <c r="AL625" s="34" t="n"/>
      <c r="AM625" s="39" t="n"/>
      <c r="AN625" s="34" t="n"/>
      <c r="AO625" s="34" t="n"/>
      <c r="AP625" s="34" t="n"/>
      <c r="AQ625" s="34" t="n"/>
      <c r="AR625" s="34" t="n"/>
      <c r="AS625" s="34" t="n"/>
      <c r="AU625" s="34" t="n"/>
      <c r="AV625" s="34" t="n"/>
      <c r="AW625" s="34" t="n"/>
      <c r="AX625" s="34" t="n"/>
      <c r="AY625" s="34" t="n"/>
      <c r="AZ625" s="34" t="n"/>
      <c r="BA625" s="34" t="n"/>
      <c r="BB625" s="34" t="n"/>
      <c r="BC625" s="34" t="n"/>
      <c r="BD625" s="34" t="n"/>
      <c r="BE625" s="34" t="n"/>
      <c r="BF625" s="34" t="n"/>
      <c r="BG625" s="34" t="n"/>
      <c r="BH625" s="34" t="n"/>
      <c r="BI625" s="34" t="n"/>
      <c r="BJ625" s="34" t="n"/>
      <c r="BK625" s="34" t="n"/>
      <c r="BL625" s="34" t="n"/>
      <c r="BM625" s="34" t="n"/>
      <c r="BN625" s="34" t="n"/>
      <c r="BO625" s="34" t="n"/>
      <c r="BP625" s="34" t="n"/>
      <c r="BQ625" s="34" t="n"/>
      <c r="BR625" s="82" t="n"/>
      <c r="BS625" s="34" t="n"/>
      <c r="BT625" s="34" t="n"/>
      <c r="BU625" s="34" t="n"/>
      <c r="BV625" s="34" t="n"/>
      <c r="BW625" s="34" t="n"/>
      <c r="BX625" s="34" t="n"/>
      <c r="BY625" s="34" t="n"/>
      <c r="BZ625" s="34" t="n"/>
      <c r="CA625" s="34" t="n"/>
      <c r="CB625" s="33" t="n"/>
      <c r="CC625" s="34" t="n"/>
      <c r="CD625" s="34" t="n"/>
      <c r="CE625" s="82" t="n"/>
      <c r="CF625" s="34" t="n"/>
      <c r="CG625" s="34" t="n"/>
      <c r="CH625" s="34" t="n"/>
      <c r="CI625" s="34" t="n"/>
      <c r="CJ625" s="34" t="n"/>
    </row>
    <row r="626">
      <c r="A626" s="29" t="n"/>
      <c r="B626" s="29" t="n"/>
      <c r="C626" s="35" t="n"/>
      <c r="D626" s="36" t="n"/>
      <c r="E626" s="147" t="n"/>
      <c r="F626" s="30" t="n"/>
      <c r="G626" s="30" t="n"/>
      <c r="H626" s="30" t="n"/>
      <c r="I626" s="30" t="n"/>
      <c r="J626" s="119" t="n"/>
      <c r="K626" s="34" t="n"/>
      <c r="L626" s="119" t="n"/>
      <c r="M626" s="34" t="n"/>
      <c r="N626" s="119" t="n"/>
      <c r="O626" s="34" t="n"/>
      <c r="P626" s="34" t="n"/>
      <c r="Q626" s="117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  <c r="AA626" s="34" t="n"/>
      <c r="AB626" s="34" t="n"/>
      <c r="AC626" s="34" t="n"/>
      <c r="AD626" s="34" t="n"/>
      <c r="AE626" s="34" t="n"/>
      <c r="AF626" s="34" t="n"/>
      <c r="AG626" s="34" t="n"/>
      <c r="AH626" s="34" t="n"/>
      <c r="AK626" s="34" t="n"/>
      <c r="AL626" s="34" t="n"/>
      <c r="AM626" s="39" t="n"/>
      <c r="AN626" s="34" t="n"/>
      <c r="AO626" s="34" t="n"/>
      <c r="AP626" s="34" t="n"/>
      <c r="AQ626" s="34" t="n"/>
      <c r="AR626" s="34" t="n"/>
      <c r="AS626" s="34" t="n"/>
      <c r="AU626" s="34" t="n"/>
      <c r="AV626" s="34" t="n"/>
      <c r="AW626" s="34" t="n"/>
      <c r="AX626" s="34" t="n"/>
      <c r="AY626" s="34" t="n"/>
      <c r="AZ626" s="34" t="n"/>
      <c r="BA626" s="34" t="n"/>
      <c r="BB626" s="34" t="n"/>
      <c r="BC626" s="34" t="n"/>
      <c r="BD626" s="34" t="n"/>
      <c r="BE626" s="34" t="n"/>
      <c r="BF626" s="34" t="n"/>
      <c r="BG626" s="34" t="n"/>
      <c r="BH626" s="34" t="n"/>
      <c r="BI626" s="34" t="n"/>
      <c r="BJ626" s="34" t="n"/>
      <c r="BK626" s="34" t="n"/>
      <c r="BL626" s="34" t="n"/>
      <c r="BM626" s="34" t="n"/>
      <c r="BN626" s="34" t="n"/>
      <c r="BO626" s="34" t="n"/>
      <c r="BP626" s="34" t="n"/>
      <c r="BQ626" s="34" t="n"/>
      <c r="BR626" s="82" t="n"/>
      <c r="BS626" s="34" t="n"/>
      <c r="BT626" s="34" t="n"/>
      <c r="BU626" s="34" t="n"/>
      <c r="BV626" s="34" t="n"/>
      <c r="BW626" s="34" t="n"/>
      <c r="BX626" s="34" t="n"/>
      <c r="BY626" s="34" t="n"/>
      <c r="BZ626" s="34" t="n"/>
      <c r="CA626" s="34" t="n"/>
      <c r="CB626" s="33" t="n"/>
      <c r="CC626" s="34" t="n"/>
      <c r="CD626" s="34" t="n"/>
      <c r="CE626" s="82" t="n"/>
      <c r="CF626" s="34" t="n"/>
      <c r="CG626" s="34" t="n"/>
      <c r="CH626" s="34" t="n"/>
      <c r="CI626" s="34" t="n"/>
      <c r="CJ626" s="34" t="n"/>
    </row>
    <row r="627">
      <c r="A627" s="29" t="n"/>
      <c r="B627" s="29" t="n"/>
      <c r="C627" s="35" t="n"/>
      <c r="D627" s="36" t="n"/>
      <c r="E627" s="147" t="n"/>
      <c r="F627" s="30" t="n"/>
      <c r="G627" s="30" t="n"/>
      <c r="H627" s="30" t="n"/>
      <c r="I627" s="30" t="n"/>
      <c r="J627" s="119" t="n"/>
      <c r="K627" s="34" t="n"/>
      <c r="L627" s="119" t="n"/>
      <c r="M627" s="34" t="n"/>
      <c r="N627" s="119" t="n"/>
      <c r="O627" s="34" t="n"/>
      <c r="P627" s="34" t="n"/>
      <c r="Q627" s="117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  <c r="AA627" s="34" t="n"/>
      <c r="AB627" s="34" t="n"/>
      <c r="AC627" s="34" t="n"/>
      <c r="AD627" s="34" t="n"/>
      <c r="AE627" s="34" t="n"/>
      <c r="AF627" s="34" t="n"/>
      <c r="AG627" s="34" t="n"/>
      <c r="AH627" s="34" t="n"/>
      <c r="AK627" s="34" t="n"/>
      <c r="AL627" s="34" t="n"/>
      <c r="AM627" s="39" t="n"/>
      <c r="AN627" s="34" t="n"/>
      <c r="AO627" s="34" t="n"/>
      <c r="AP627" s="34" t="n"/>
      <c r="AQ627" s="34" t="n"/>
      <c r="AR627" s="34" t="n"/>
      <c r="AS627" s="34" t="n"/>
      <c r="AU627" s="34" t="n"/>
      <c r="AV627" s="34" t="n"/>
      <c r="AW627" s="34" t="n"/>
      <c r="AX627" s="34" t="n"/>
      <c r="AY627" s="34" t="n"/>
      <c r="AZ627" s="34" t="n"/>
      <c r="BA627" s="34" t="n"/>
      <c r="BB627" s="34" t="n"/>
      <c r="BC627" s="34" t="n"/>
      <c r="BD627" s="34" t="n"/>
      <c r="BE627" s="34" t="n"/>
      <c r="BF627" s="34" t="n"/>
      <c r="BG627" s="34" t="n"/>
      <c r="BH627" s="34" t="n"/>
      <c r="BI627" s="34" t="n"/>
      <c r="BJ627" s="34" t="n"/>
      <c r="BK627" s="34" t="n"/>
      <c r="BL627" s="34" t="n"/>
      <c r="BM627" s="34" t="n"/>
      <c r="BN627" s="34" t="n"/>
      <c r="BO627" s="34" t="n"/>
      <c r="BP627" s="34" t="n"/>
      <c r="BQ627" s="34" t="n"/>
      <c r="BR627" s="82" t="n"/>
      <c r="BS627" s="34" t="n"/>
      <c r="BT627" s="34" t="n"/>
      <c r="BU627" s="34" t="n"/>
      <c r="BV627" s="34" t="n"/>
      <c r="BW627" s="34" t="n"/>
      <c r="BX627" s="34" t="n"/>
      <c r="BY627" s="34" t="n"/>
      <c r="BZ627" s="34" t="n"/>
      <c r="CA627" s="34" t="n"/>
      <c r="CB627" s="33" t="n"/>
      <c r="CC627" s="34" t="n"/>
      <c r="CD627" s="34" t="n"/>
      <c r="CE627" s="82" t="n"/>
      <c r="CF627" s="34" t="n"/>
      <c r="CG627" s="34" t="n"/>
      <c r="CH627" s="34" t="n"/>
      <c r="CI627" s="34" t="n"/>
      <c r="CJ627" s="34" t="n"/>
    </row>
    <row r="628">
      <c r="A628" s="29" t="n"/>
      <c r="B628" s="29" t="n"/>
      <c r="C628" s="35" t="n"/>
      <c r="D628" s="36" t="n"/>
      <c r="E628" s="147" t="n"/>
      <c r="F628" s="30" t="n"/>
      <c r="G628" s="30" t="n"/>
      <c r="H628" s="30" t="n"/>
      <c r="I628" s="30" t="n"/>
      <c r="J628" s="119" t="n"/>
      <c r="K628" s="34" t="n"/>
      <c r="L628" s="119" t="n"/>
      <c r="M628" s="34" t="n"/>
      <c r="N628" s="119" t="n"/>
      <c r="O628" s="34" t="n"/>
      <c r="P628" s="34" t="n"/>
      <c r="Q628" s="117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  <c r="AA628" s="34" t="n"/>
      <c r="AB628" s="34" t="n"/>
      <c r="AC628" s="34" t="n"/>
      <c r="AD628" s="34" t="n"/>
      <c r="AE628" s="34" t="n"/>
      <c r="AF628" s="34" t="n"/>
      <c r="AG628" s="34" t="n"/>
      <c r="AH628" s="34" t="n"/>
      <c r="AK628" s="34" t="n"/>
      <c r="AL628" s="34" t="n"/>
      <c r="AM628" s="39" t="n"/>
      <c r="AN628" s="34" t="n"/>
      <c r="AO628" s="34" t="n"/>
      <c r="AP628" s="34" t="n"/>
      <c r="AQ628" s="34" t="n"/>
      <c r="AR628" s="34" t="n"/>
      <c r="AS628" s="34" t="n"/>
      <c r="AU628" s="34" t="n"/>
      <c r="AV628" s="34" t="n"/>
      <c r="AW628" s="34" t="n"/>
      <c r="AX628" s="34" t="n"/>
      <c r="AY628" s="34" t="n"/>
      <c r="AZ628" s="34" t="n"/>
      <c r="BA628" s="34" t="n"/>
      <c r="BB628" s="34" t="n"/>
      <c r="BC628" s="34" t="n"/>
      <c r="BD628" s="34" t="n"/>
      <c r="BE628" s="34" t="n"/>
      <c r="BF628" s="34" t="n"/>
      <c r="BG628" s="34" t="n"/>
      <c r="BH628" s="34" t="n"/>
      <c r="BI628" s="34" t="n"/>
      <c r="BJ628" s="34" t="n"/>
      <c r="BK628" s="34" t="n"/>
      <c r="BL628" s="34" t="n"/>
      <c r="BM628" s="34" t="n"/>
      <c r="BN628" s="34" t="n"/>
      <c r="BO628" s="34" t="n"/>
      <c r="BP628" s="34" t="n"/>
      <c r="BQ628" s="34" t="n"/>
      <c r="BR628" s="82" t="n"/>
      <c r="BS628" s="34" t="n"/>
      <c r="BT628" s="34" t="n"/>
      <c r="BU628" s="34" t="n"/>
      <c r="BV628" s="34" t="n"/>
      <c r="BW628" s="34" t="n"/>
      <c r="BX628" s="34" t="n"/>
      <c r="BY628" s="34" t="n"/>
      <c r="BZ628" s="34" t="n"/>
      <c r="CA628" s="34" t="n"/>
      <c r="CB628" s="33" t="n"/>
      <c r="CC628" s="34" t="n"/>
      <c r="CD628" s="34" t="n"/>
      <c r="CE628" s="82" t="n"/>
      <c r="CF628" s="34" t="n"/>
      <c r="CG628" s="34" t="n"/>
      <c r="CH628" s="34" t="n"/>
      <c r="CI628" s="34" t="n"/>
      <c r="CJ628" s="34" t="n"/>
    </row>
    <row r="629">
      <c r="A629" s="29" t="n"/>
      <c r="B629" s="29" t="n"/>
      <c r="C629" s="35" t="n"/>
      <c r="D629" s="36" t="n"/>
      <c r="E629" s="147" t="n"/>
      <c r="F629" s="30" t="n"/>
      <c r="G629" s="30" t="n"/>
      <c r="H629" s="30" t="n"/>
      <c r="I629" s="30" t="n"/>
      <c r="J629" s="119" t="n"/>
      <c r="K629" s="34" t="n"/>
      <c r="L629" s="119" t="n"/>
      <c r="M629" s="34" t="n"/>
      <c r="N629" s="119" t="n"/>
      <c r="O629" s="34" t="n"/>
      <c r="P629" s="34" t="n"/>
      <c r="Q629" s="117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  <c r="AA629" s="34" t="n"/>
      <c r="AB629" s="34" t="n"/>
      <c r="AC629" s="34" t="n"/>
      <c r="AD629" s="34" t="n"/>
      <c r="AE629" s="34" t="n"/>
      <c r="AF629" s="34" t="n"/>
      <c r="AG629" s="34" t="n"/>
      <c r="AH629" s="34" t="n"/>
      <c r="AK629" s="34" t="n"/>
      <c r="AL629" s="34" t="n"/>
      <c r="AM629" s="39" t="n"/>
      <c r="AN629" s="34" t="n"/>
      <c r="AO629" s="34" t="n"/>
      <c r="AP629" s="34" t="n"/>
      <c r="AQ629" s="34" t="n"/>
      <c r="AR629" s="34" t="n"/>
      <c r="AS629" s="34" t="n"/>
      <c r="AU629" s="34" t="n"/>
      <c r="AV629" s="34" t="n"/>
      <c r="AW629" s="34" t="n"/>
      <c r="AX629" s="34" t="n"/>
      <c r="AY629" s="34" t="n"/>
      <c r="AZ629" s="34" t="n"/>
      <c r="BA629" s="34" t="n"/>
      <c r="BB629" s="34" t="n"/>
      <c r="BC629" s="34" t="n"/>
      <c r="BD629" s="34" t="n"/>
      <c r="BE629" s="34" t="n"/>
      <c r="BF629" s="34" t="n"/>
      <c r="BG629" s="34" t="n"/>
      <c r="BH629" s="34" t="n"/>
      <c r="BI629" s="34" t="n"/>
      <c r="BJ629" s="34" t="n"/>
      <c r="BK629" s="34" t="n"/>
      <c r="BL629" s="34" t="n"/>
      <c r="BM629" s="34" t="n"/>
      <c r="BN629" s="34" t="n"/>
      <c r="BO629" s="34" t="n"/>
      <c r="BP629" s="34" t="n"/>
      <c r="BQ629" s="34" t="n"/>
      <c r="BR629" s="82" t="n"/>
      <c r="BS629" s="34" t="n"/>
      <c r="BT629" s="34" t="n"/>
      <c r="BU629" s="34" t="n"/>
      <c r="BV629" s="34" t="n"/>
      <c r="BW629" s="34" t="n"/>
      <c r="BX629" s="34" t="n"/>
      <c r="BY629" s="34" t="n"/>
      <c r="BZ629" s="34" t="n"/>
      <c r="CA629" s="34" t="n"/>
      <c r="CB629" s="33" t="n"/>
      <c r="CC629" s="34" t="n"/>
      <c r="CD629" s="34" t="n"/>
      <c r="CE629" s="82" t="n"/>
      <c r="CF629" s="34" t="n"/>
      <c r="CG629" s="34" t="n"/>
      <c r="CH629" s="34" t="n"/>
      <c r="CI629" s="34" t="n"/>
      <c r="CJ629" s="34" t="n"/>
    </row>
    <row r="630">
      <c r="A630" s="29" t="n"/>
      <c r="B630" s="29" t="n"/>
      <c r="C630" s="35" t="n"/>
      <c r="D630" s="36" t="n"/>
      <c r="E630" s="147" t="n"/>
      <c r="F630" s="30" t="n"/>
      <c r="G630" s="30" t="n"/>
      <c r="H630" s="30" t="n"/>
      <c r="I630" s="30" t="n"/>
      <c r="J630" s="119" t="n"/>
      <c r="K630" s="34" t="n"/>
      <c r="L630" s="119" t="n"/>
      <c r="M630" s="34" t="n"/>
      <c r="N630" s="119" t="n"/>
      <c r="O630" s="34" t="n"/>
      <c r="P630" s="34" t="n"/>
      <c r="Q630" s="117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  <c r="AA630" s="34" t="n"/>
      <c r="AB630" s="34" t="n"/>
      <c r="AC630" s="34" t="n"/>
      <c r="AD630" s="34" t="n"/>
      <c r="AE630" s="34" t="n"/>
      <c r="AF630" s="34" t="n"/>
      <c r="AG630" s="34" t="n"/>
      <c r="AH630" s="34" t="n"/>
      <c r="AK630" s="34" t="n"/>
      <c r="AL630" s="34" t="n"/>
      <c r="AM630" s="39" t="n"/>
      <c r="AN630" s="34" t="n"/>
      <c r="AO630" s="34" t="n"/>
      <c r="AP630" s="34" t="n"/>
      <c r="AQ630" s="34" t="n"/>
      <c r="AR630" s="34" t="n"/>
      <c r="AS630" s="34" t="n"/>
      <c r="AU630" s="34" t="n"/>
      <c r="AV630" s="34" t="n"/>
      <c r="AW630" s="34" t="n"/>
      <c r="AX630" s="34" t="n"/>
      <c r="AY630" s="34" t="n"/>
      <c r="AZ630" s="34" t="n"/>
      <c r="BA630" s="34" t="n"/>
      <c r="BB630" s="34" t="n"/>
      <c r="BC630" s="34" t="n"/>
      <c r="BD630" s="34" t="n"/>
      <c r="BE630" s="34" t="n"/>
      <c r="BF630" s="34" t="n"/>
      <c r="BG630" s="34" t="n"/>
      <c r="BH630" s="34" t="n"/>
      <c r="BI630" s="34" t="n"/>
      <c r="BJ630" s="34" t="n"/>
      <c r="BK630" s="34" t="n"/>
      <c r="BL630" s="34" t="n"/>
      <c r="BM630" s="34" t="n"/>
      <c r="BN630" s="34" t="n"/>
      <c r="BO630" s="34" t="n"/>
      <c r="BP630" s="34" t="n"/>
      <c r="BQ630" s="34" t="n"/>
      <c r="BR630" s="82" t="n"/>
      <c r="BS630" s="34" t="n"/>
      <c r="BT630" s="34" t="n"/>
      <c r="BU630" s="34" t="n"/>
      <c r="BV630" s="34" t="n"/>
      <c r="BW630" s="34" t="n"/>
      <c r="BX630" s="34" t="n"/>
      <c r="BY630" s="34" t="n"/>
      <c r="BZ630" s="34" t="n"/>
      <c r="CA630" s="34" t="n"/>
      <c r="CB630" s="33" t="n"/>
      <c r="CC630" s="34" t="n"/>
      <c r="CD630" s="34" t="n"/>
      <c r="CE630" s="82" t="n"/>
      <c r="CF630" s="34" t="n"/>
      <c r="CG630" s="34" t="n"/>
      <c r="CH630" s="34" t="n"/>
      <c r="CI630" s="34" t="n"/>
      <c r="CJ630" s="34" t="n"/>
    </row>
    <row r="631">
      <c r="A631" s="29" t="n"/>
      <c r="B631" s="29" t="n"/>
      <c r="C631" s="35" t="n"/>
      <c r="D631" s="36" t="n"/>
      <c r="E631" s="147" t="n"/>
      <c r="F631" s="30" t="n"/>
      <c r="G631" s="30" t="n"/>
      <c r="H631" s="30" t="n"/>
      <c r="I631" s="30" t="n"/>
      <c r="J631" s="119" t="n"/>
      <c r="K631" s="34" t="n"/>
      <c r="L631" s="119" t="n"/>
      <c r="M631" s="34" t="n"/>
      <c r="N631" s="119" t="n"/>
      <c r="O631" s="34" t="n"/>
      <c r="P631" s="34" t="n"/>
      <c r="Q631" s="117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  <c r="AA631" s="34" t="n"/>
      <c r="AB631" s="34" t="n"/>
      <c r="AC631" s="34" t="n"/>
      <c r="AD631" s="34" t="n"/>
      <c r="AE631" s="34" t="n"/>
      <c r="AF631" s="34" t="n"/>
      <c r="AG631" s="34" t="n"/>
      <c r="AH631" s="34" t="n"/>
      <c r="AK631" s="34" t="n"/>
      <c r="AL631" s="34" t="n"/>
      <c r="AM631" s="39" t="n"/>
      <c r="AN631" s="34" t="n"/>
      <c r="AO631" s="34" t="n"/>
      <c r="AP631" s="34" t="n"/>
      <c r="AQ631" s="34" t="n"/>
      <c r="AR631" s="34" t="n"/>
      <c r="AS631" s="34" t="n"/>
      <c r="AU631" s="34" t="n"/>
      <c r="AV631" s="34" t="n"/>
      <c r="AW631" s="34" t="n"/>
      <c r="AX631" s="34" t="n"/>
      <c r="AY631" s="34" t="n"/>
      <c r="AZ631" s="34" t="n"/>
      <c r="BA631" s="34" t="n"/>
      <c r="BB631" s="34" t="n"/>
      <c r="BC631" s="34" t="n"/>
      <c r="BD631" s="34" t="n"/>
      <c r="BE631" s="34" t="n"/>
      <c r="BF631" s="34" t="n"/>
      <c r="BG631" s="34" t="n"/>
      <c r="BH631" s="34" t="n"/>
      <c r="BI631" s="34" t="n"/>
      <c r="BJ631" s="34" t="n"/>
      <c r="BK631" s="34" t="n"/>
      <c r="BL631" s="34" t="n"/>
      <c r="BM631" s="34" t="n"/>
      <c r="BN631" s="34" t="n"/>
      <c r="BO631" s="34" t="n"/>
      <c r="BP631" s="34" t="n"/>
      <c r="BQ631" s="34" t="n"/>
      <c r="BR631" s="82" t="n"/>
      <c r="BS631" s="34" t="n"/>
      <c r="BT631" s="34" t="n"/>
      <c r="BU631" s="34" t="n"/>
      <c r="BV631" s="34" t="n"/>
      <c r="BW631" s="34" t="n"/>
      <c r="BX631" s="34" t="n"/>
      <c r="BY631" s="34" t="n"/>
      <c r="BZ631" s="34" t="n"/>
      <c r="CA631" s="34" t="n"/>
      <c r="CB631" s="33" t="n"/>
      <c r="CC631" s="34" t="n"/>
      <c r="CD631" s="34" t="n"/>
      <c r="CE631" s="82" t="n"/>
      <c r="CF631" s="34" t="n"/>
      <c r="CG631" s="34" t="n"/>
      <c r="CH631" s="34" t="n"/>
      <c r="CI631" s="34" t="n"/>
      <c r="CJ631" s="34" t="n"/>
    </row>
    <row r="632">
      <c r="A632" s="29" t="n"/>
      <c r="B632" s="29" t="n"/>
      <c r="C632" s="35" t="n"/>
      <c r="D632" s="36" t="n"/>
      <c r="E632" s="147" t="n"/>
      <c r="F632" s="30" t="n"/>
      <c r="G632" s="30" t="n"/>
      <c r="H632" s="30" t="n"/>
      <c r="I632" s="30" t="n"/>
      <c r="J632" s="119" t="n"/>
      <c r="K632" s="34" t="n"/>
      <c r="L632" s="119" t="n"/>
      <c r="M632" s="34" t="n"/>
      <c r="N632" s="119" t="n"/>
      <c r="O632" s="34" t="n"/>
      <c r="P632" s="34" t="n"/>
      <c r="Q632" s="117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  <c r="AA632" s="34" t="n"/>
      <c r="AB632" s="34" t="n"/>
      <c r="AC632" s="34" t="n"/>
      <c r="AD632" s="34" t="n"/>
      <c r="AE632" s="34" t="n"/>
      <c r="AF632" s="34" t="n"/>
      <c r="AG632" s="34" t="n"/>
      <c r="AH632" s="34" t="n"/>
      <c r="AK632" s="34" t="n"/>
      <c r="AL632" s="34" t="n"/>
      <c r="AM632" s="39" t="n"/>
      <c r="AN632" s="34" t="n"/>
      <c r="AO632" s="34" t="n"/>
      <c r="AP632" s="34" t="n"/>
      <c r="AQ632" s="34" t="n"/>
      <c r="AR632" s="34" t="n"/>
      <c r="AS632" s="34" t="n"/>
      <c r="AU632" s="34" t="n"/>
      <c r="AV632" s="34" t="n"/>
      <c r="AW632" s="34" t="n"/>
      <c r="AX632" s="34" t="n"/>
      <c r="AY632" s="34" t="n"/>
      <c r="AZ632" s="34" t="n"/>
      <c r="BA632" s="34" t="n"/>
      <c r="BB632" s="34" t="n"/>
      <c r="BC632" s="34" t="n"/>
      <c r="BD632" s="34" t="n"/>
      <c r="BE632" s="34" t="n"/>
      <c r="BF632" s="34" t="n"/>
      <c r="BG632" s="34" t="n"/>
      <c r="BH632" s="34" t="n"/>
      <c r="BI632" s="34" t="n"/>
      <c r="BJ632" s="34" t="n"/>
      <c r="BK632" s="34" t="n"/>
      <c r="BL632" s="34" t="n"/>
      <c r="BM632" s="34" t="n"/>
      <c r="BN632" s="34" t="n"/>
      <c r="BO632" s="34" t="n"/>
      <c r="BP632" s="34" t="n"/>
      <c r="BQ632" s="34" t="n"/>
      <c r="BR632" s="82" t="n"/>
      <c r="BS632" s="34" t="n"/>
      <c r="BT632" s="34" t="n"/>
      <c r="BU632" s="34" t="n"/>
      <c r="BV632" s="34" t="n"/>
      <c r="BW632" s="34" t="n"/>
      <c r="BX632" s="34" t="n"/>
      <c r="BY632" s="34" t="n"/>
      <c r="BZ632" s="34" t="n"/>
      <c r="CA632" s="34" t="n"/>
      <c r="CB632" s="33" t="n"/>
      <c r="CC632" s="34" t="n"/>
      <c r="CD632" s="34" t="n"/>
      <c r="CE632" s="82" t="n"/>
      <c r="CF632" s="34" t="n"/>
      <c r="CG632" s="34" t="n"/>
      <c r="CH632" s="34" t="n"/>
      <c r="CI632" s="34" t="n"/>
      <c r="CJ632" s="34" t="n"/>
    </row>
    <row r="633">
      <c r="A633" s="29" t="n"/>
      <c r="B633" s="29" t="n"/>
      <c r="C633" s="35" t="n"/>
      <c r="D633" s="36" t="n"/>
      <c r="E633" s="147" t="n"/>
      <c r="F633" s="30" t="n"/>
      <c r="G633" s="30" t="n"/>
      <c r="H633" s="30" t="n"/>
      <c r="I633" s="30" t="n"/>
      <c r="J633" s="119" t="n"/>
      <c r="K633" s="34" t="n"/>
      <c r="L633" s="119" t="n"/>
      <c r="M633" s="34" t="n"/>
      <c r="N633" s="119" t="n"/>
      <c r="O633" s="34" t="n"/>
      <c r="P633" s="34" t="n"/>
      <c r="Q633" s="117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  <c r="AA633" s="34" t="n"/>
      <c r="AB633" s="34" t="n"/>
      <c r="AC633" s="34" t="n"/>
      <c r="AD633" s="34" t="n"/>
      <c r="AE633" s="34" t="n"/>
      <c r="AF633" s="34" t="n"/>
      <c r="AG633" s="34" t="n"/>
      <c r="AH633" s="34" t="n"/>
      <c r="AK633" s="34" t="n"/>
      <c r="AL633" s="34" t="n"/>
      <c r="AM633" s="39" t="n"/>
      <c r="AN633" s="34" t="n"/>
      <c r="AO633" s="34" t="n"/>
      <c r="AP633" s="34" t="n"/>
      <c r="AQ633" s="34" t="n"/>
      <c r="AR633" s="34" t="n"/>
      <c r="AS633" s="34" t="n"/>
      <c r="AU633" s="34" t="n"/>
      <c r="AV633" s="34" t="n"/>
      <c r="AW633" s="34" t="n"/>
      <c r="AX633" s="34" t="n"/>
      <c r="AY633" s="34" t="n"/>
      <c r="AZ633" s="34" t="n"/>
      <c r="BA633" s="34" t="n"/>
      <c r="BB633" s="34" t="n"/>
      <c r="BC633" s="34" t="n"/>
      <c r="BD633" s="34" t="n"/>
      <c r="BE633" s="34" t="n"/>
      <c r="BF633" s="34" t="n"/>
      <c r="BG633" s="34" t="n"/>
      <c r="BH633" s="34" t="n"/>
      <c r="BI633" s="34" t="n"/>
      <c r="BJ633" s="34" t="n"/>
      <c r="BK633" s="34" t="n"/>
      <c r="BL633" s="34" t="n"/>
      <c r="BM633" s="34" t="n"/>
      <c r="BN633" s="34" t="n"/>
      <c r="BO633" s="34" t="n"/>
      <c r="BP633" s="34" t="n"/>
      <c r="BQ633" s="34" t="n"/>
      <c r="BR633" s="82" t="n"/>
      <c r="BS633" s="34" t="n"/>
      <c r="BT633" s="34" t="n"/>
      <c r="BU633" s="34" t="n"/>
      <c r="BV633" s="34" t="n"/>
      <c r="BW633" s="34" t="n"/>
      <c r="BX633" s="34" t="n"/>
      <c r="BY633" s="34" t="n"/>
      <c r="BZ633" s="34" t="n"/>
      <c r="CA633" s="34" t="n"/>
      <c r="CB633" s="33" t="n"/>
      <c r="CC633" s="34" t="n"/>
      <c r="CD633" s="34" t="n"/>
      <c r="CE633" s="82" t="n"/>
      <c r="CF633" s="34" t="n"/>
      <c r="CG633" s="34" t="n"/>
      <c r="CH633" s="34" t="n"/>
      <c r="CI633" s="34" t="n"/>
      <c r="CJ633" s="34" t="n"/>
    </row>
    <row r="634">
      <c r="A634" s="29" t="n"/>
      <c r="B634" s="29" t="n"/>
      <c r="C634" s="35" t="n"/>
      <c r="D634" s="36" t="n"/>
      <c r="E634" s="147" t="n"/>
      <c r="F634" s="30" t="n"/>
      <c r="G634" s="30" t="n"/>
      <c r="H634" s="30" t="n"/>
      <c r="I634" s="30" t="n"/>
      <c r="J634" s="119" t="n"/>
      <c r="K634" s="34" t="n"/>
      <c r="L634" s="119" t="n"/>
      <c r="M634" s="34" t="n"/>
      <c r="N634" s="119" t="n"/>
      <c r="O634" s="34" t="n"/>
      <c r="P634" s="34" t="n"/>
      <c r="Q634" s="117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  <c r="AA634" s="34" t="n"/>
      <c r="AB634" s="34" t="n"/>
      <c r="AC634" s="34" t="n"/>
      <c r="AD634" s="34" t="n"/>
      <c r="AE634" s="34" t="n"/>
      <c r="AF634" s="34" t="n"/>
      <c r="AG634" s="34" t="n"/>
      <c r="AH634" s="34" t="n"/>
      <c r="AK634" s="34" t="n"/>
      <c r="AL634" s="34" t="n"/>
      <c r="AM634" s="39" t="n"/>
      <c r="AN634" s="34" t="n"/>
      <c r="AO634" s="34" t="n"/>
      <c r="AP634" s="34" t="n"/>
      <c r="AQ634" s="34" t="n"/>
      <c r="AR634" s="34" t="n"/>
      <c r="AS634" s="34" t="n"/>
      <c r="AU634" s="34" t="n"/>
      <c r="AV634" s="34" t="n"/>
      <c r="AW634" s="34" t="n"/>
      <c r="AX634" s="34" t="n"/>
      <c r="AY634" s="34" t="n"/>
      <c r="AZ634" s="34" t="n"/>
      <c r="BA634" s="34" t="n"/>
      <c r="BB634" s="34" t="n"/>
      <c r="BC634" s="34" t="n"/>
      <c r="BD634" s="34" t="n"/>
      <c r="BE634" s="34" t="n"/>
      <c r="BF634" s="34" t="n"/>
      <c r="BG634" s="34" t="n"/>
      <c r="BH634" s="34" t="n"/>
      <c r="BI634" s="34" t="n"/>
      <c r="BJ634" s="34" t="n"/>
      <c r="BK634" s="34" t="n"/>
      <c r="BL634" s="34" t="n"/>
      <c r="BM634" s="34" t="n"/>
      <c r="BN634" s="34" t="n"/>
      <c r="BO634" s="34" t="n"/>
      <c r="BP634" s="34" t="n"/>
      <c r="BQ634" s="34" t="n"/>
      <c r="BR634" s="82" t="n"/>
      <c r="BS634" s="34" t="n"/>
      <c r="BT634" s="34" t="n"/>
      <c r="BU634" s="34" t="n"/>
      <c r="BV634" s="34" t="n"/>
      <c r="BW634" s="34" t="n"/>
      <c r="BX634" s="34" t="n"/>
      <c r="BY634" s="34" t="n"/>
      <c r="BZ634" s="34" t="n"/>
      <c r="CA634" s="34" t="n"/>
      <c r="CB634" s="33" t="n"/>
      <c r="CC634" s="34" t="n"/>
      <c r="CD634" s="34" t="n"/>
      <c r="CE634" s="82" t="n"/>
      <c r="CF634" s="34" t="n"/>
      <c r="CG634" s="34" t="n"/>
      <c r="CH634" s="34" t="n"/>
      <c r="CI634" s="34" t="n"/>
      <c r="CJ634" s="34" t="n"/>
    </row>
    <row r="635">
      <c r="A635" s="29" t="n"/>
      <c r="B635" s="29" t="n"/>
      <c r="C635" s="35" t="n"/>
      <c r="D635" s="36" t="n"/>
      <c r="E635" s="147" t="n"/>
      <c r="F635" s="30" t="n"/>
      <c r="G635" s="30" t="n"/>
      <c r="H635" s="30" t="n"/>
      <c r="I635" s="30" t="n"/>
      <c r="J635" s="119" t="n"/>
      <c r="K635" s="34" t="n"/>
      <c r="L635" s="119" t="n"/>
      <c r="M635" s="34" t="n"/>
      <c r="N635" s="119" t="n"/>
      <c r="O635" s="34" t="n"/>
      <c r="P635" s="34" t="n"/>
      <c r="Q635" s="117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  <c r="AA635" s="34" t="n"/>
      <c r="AB635" s="34" t="n"/>
      <c r="AC635" s="34" t="n"/>
      <c r="AD635" s="34" t="n"/>
      <c r="AE635" s="34" t="n"/>
      <c r="AF635" s="34" t="n"/>
      <c r="AG635" s="34" t="n"/>
      <c r="AH635" s="34" t="n"/>
      <c r="AK635" s="34" t="n"/>
      <c r="AL635" s="34" t="n"/>
      <c r="AM635" s="39" t="n"/>
      <c r="AN635" s="34" t="n"/>
      <c r="AO635" s="34" t="n"/>
      <c r="AP635" s="34" t="n"/>
      <c r="AQ635" s="34" t="n"/>
      <c r="AR635" s="34" t="n"/>
      <c r="AS635" s="34" t="n"/>
      <c r="AU635" s="34" t="n"/>
      <c r="AV635" s="34" t="n"/>
      <c r="AW635" s="34" t="n"/>
      <c r="AX635" s="34" t="n"/>
      <c r="AY635" s="34" t="n"/>
      <c r="AZ635" s="34" t="n"/>
      <c r="BA635" s="34" t="n"/>
      <c r="BB635" s="34" t="n"/>
      <c r="BC635" s="34" t="n"/>
      <c r="BD635" s="34" t="n"/>
      <c r="BE635" s="34" t="n"/>
      <c r="BF635" s="34" t="n"/>
      <c r="BG635" s="34" t="n"/>
      <c r="BH635" s="34" t="n"/>
      <c r="BI635" s="34" t="n"/>
      <c r="BJ635" s="34" t="n"/>
      <c r="BK635" s="34" t="n"/>
      <c r="BL635" s="34" t="n"/>
      <c r="BM635" s="34" t="n"/>
      <c r="BN635" s="34" t="n"/>
      <c r="BO635" s="34" t="n"/>
      <c r="BP635" s="34" t="n"/>
      <c r="BQ635" s="34" t="n"/>
      <c r="BR635" s="82" t="n"/>
      <c r="BS635" s="34" t="n"/>
      <c r="BT635" s="34" t="n"/>
      <c r="BU635" s="34" t="n"/>
      <c r="BV635" s="34" t="n"/>
      <c r="BW635" s="34" t="n"/>
      <c r="BX635" s="34" t="n"/>
      <c r="BY635" s="34" t="n"/>
      <c r="BZ635" s="34" t="n"/>
      <c r="CA635" s="34" t="n"/>
      <c r="CB635" s="33" t="n"/>
      <c r="CC635" s="34" t="n"/>
      <c r="CD635" s="34" t="n"/>
      <c r="CE635" s="82" t="n"/>
      <c r="CF635" s="34" t="n"/>
      <c r="CG635" s="34" t="n"/>
      <c r="CH635" s="34" t="n"/>
      <c r="CI635" s="34" t="n"/>
      <c r="CJ635" s="34" t="n"/>
    </row>
    <row r="636">
      <c r="A636" s="29" t="n"/>
      <c r="B636" s="29" t="n"/>
      <c r="C636" s="35" t="n"/>
      <c r="D636" s="36" t="n"/>
      <c r="E636" s="147" t="n"/>
      <c r="F636" s="30" t="n"/>
      <c r="G636" s="30" t="n"/>
      <c r="H636" s="30" t="n"/>
      <c r="I636" s="30" t="n"/>
      <c r="J636" s="119" t="n"/>
      <c r="K636" s="34" t="n"/>
      <c r="L636" s="119" t="n"/>
      <c r="M636" s="34" t="n"/>
      <c r="N636" s="119" t="n"/>
      <c r="O636" s="34" t="n"/>
      <c r="P636" s="34" t="n"/>
      <c r="Q636" s="117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  <c r="AA636" s="34" t="n"/>
      <c r="AB636" s="34" t="n"/>
      <c r="AC636" s="34" t="n"/>
      <c r="AD636" s="34" t="n"/>
      <c r="AE636" s="34" t="n"/>
      <c r="AF636" s="34" t="n"/>
      <c r="AG636" s="34" t="n"/>
      <c r="AH636" s="34" t="n"/>
      <c r="AK636" s="34" t="n"/>
      <c r="AL636" s="34" t="n"/>
      <c r="AM636" s="39" t="n"/>
      <c r="AN636" s="34" t="n"/>
      <c r="AO636" s="34" t="n"/>
      <c r="AP636" s="34" t="n"/>
      <c r="AQ636" s="34" t="n"/>
      <c r="AR636" s="34" t="n"/>
      <c r="AS636" s="34" t="n"/>
      <c r="AU636" s="34" t="n"/>
      <c r="AV636" s="34" t="n"/>
      <c r="AW636" s="34" t="n"/>
      <c r="AX636" s="34" t="n"/>
      <c r="AY636" s="34" t="n"/>
      <c r="AZ636" s="34" t="n"/>
      <c r="BA636" s="34" t="n"/>
      <c r="BB636" s="34" t="n"/>
      <c r="BC636" s="34" t="n"/>
      <c r="BD636" s="34" t="n"/>
      <c r="BE636" s="34" t="n"/>
      <c r="BF636" s="34" t="n"/>
      <c r="BG636" s="34" t="n"/>
      <c r="BH636" s="34" t="n"/>
      <c r="BI636" s="34" t="n"/>
      <c r="BJ636" s="34" t="n"/>
      <c r="BK636" s="34" t="n"/>
      <c r="BL636" s="34" t="n"/>
      <c r="BM636" s="34" t="n"/>
      <c r="BN636" s="34" t="n"/>
      <c r="BO636" s="34" t="n"/>
      <c r="BP636" s="34" t="n"/>
      <c r="BQ636" s="34" t="n"/>
      <c r="BR636" s="82" t="n"/>
      <c r="BS636" s="34" t="n"/>
      <c r="BT636" s="34" t="n"/>
      <c r="BU636" s="34" t="n"/>
      <c r="BV636" s="34" t="n"/>
      <c r="BW636" s="34" t="n"/>
      <c r="BX636" s="34" t="n"/>
      <c r="BY636" s="34" t="n"/>
      <c r="BZ636" s="34" t="n"/>
      <c r="CA636" s="34" t="n"/>
      <c r="CB636" s="33" t="n"/>
      <c r="CC636" s="34" t="n"/>
      <c r="CD636" s="34" t="n"/>
      <c r="CE636" s="82" t="n"/>
      <c r="CF636" s="34" t="n"/>
      <c r="CG636" s="34" t="n"/>
      <c r="CH636" s="34" t="n"/>
      <c r="CI636" s="34" t="n"/>
      <c r="CJ636" s="34" t="n"/>
    </row>
    <row r="637">
      <c r="A637" s="29" t="n"/>
      <c r="B637" s="29" t="n"/>
      <c r="C637" s="35" t="n"/>
      <c r="D637" s="36" t="n"/>
      <c r="E637" s="147" t="n"/>
      <c r="F637" s="30" t="n"/>
      <c r="G637" s="30" t="n"/>
      <c r="H637" s="30" t="n"/>
      <c r="I637" s="30" t="n"/>
      <c r="J637" s="119" t="n"/>
      <c r="K637" s="34" t="n"/>
      <c r="L637" s="119" t="n"/>
      <c r="M637" s="34" t="n"/>
      <c r="N637" s="119" t="n"/>
      <c r="O637" s="34" t="n"/>
      <c r="P637" s="34" t="n"/>
      <c r="Q637" s="117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  <c r="AA637" s="34" t="n"/>
      <c r="AB637" s="34" t="n"/>
      <c r="AC637" s="34" t="n"/>
      <c r="AD637" s="34" t="n"/>
      <c r="AE637" s="34" t="n"/>
      <c r="AF637" s="34" t="n"/>
      <c r="AG637" s="34" t="n"/>
      <c r="AH637" s="34" t="n"/>
      <c r="AK637" s="34" t="n"/>
      <c r="AL637" s="34" t="n"/>
      <c r="AM637" s="39" t="n"/>
      <c r="AN637" s="34" t="n"/>
      <c r="AO637" s="34" t="n"/>
      <c r="AP637" s="34" t="n"/>
      <c r="AQ637" s="34" t="n"/>
      <c r="AR637" s="34" t="n"/>
      <c r="AS637" s="34" t="n"/>
      <c r="AU637" s="34" t="n"/>
      <c r="AV637" s="34" t="n"/>
      <c r="AW637" s="34" t="n"/>
      <c r="AX637" s="34" t="n"/>
      <c r="AY637" s="34" t="n"/>
      <c r="AZ637" s="34" t="n"/>
      <c r="BA637" s="34" t="n"/>
      <c r="BB637" s="34" t="n"/>
      <c r="BC637" s="34" t="n"/>
      <c r="BD637" s="34" t="n"/>
      <c r="BE637" s="34" t="n"/>
      <c r="BF637" s="34" t="n"/>
      <c r="BG637" s="34" t="n"/>
      <c r="BH637" s="34" t="n"/>
      <c r="BI637" s="34" t="n"/>
      <c r="BJ637" s="34" t="n"/>
      <c r="BK637" s="34" t="n"/>
      <c r="BL637" s="34" t="n"/>
      <c r="BM637" s="34" t="n"/>
      <c r="BN637" s="34" t="n"/>
      <c r="BO637" s="34" t="n"/>
      <c r="BP637" s="34" t="n"/>
      <c r="BQ637" s="34" t="n"/>
      <c r="BR637" s="82" t="n"/>
      <c r="BS637" s="34" t="n"/>
      <c r="BT637" s="34" t="n"/>
      <c r="BU637" s="34" t="n"/>
      <c r="BV637" s="34" t="n"/>
      <c r="BW637" s="34" t="n"/>
      <c r="BX637" s="34" t="n"/>
      <c r="BY637" s="34" t="n"/>
      <c r="BZ637" s="34" t="n"/>
      <c r="CA637" s="34" t="n"/>
      <c r="CB637" s="33" t="n"/>
      <c r="CC637" s="34" t="n"/>
      <c r="CD637" s="34" t="n"/>
      <c r="CE637" s="82" t="n"/>
      <c r="CF637" s="34" t="n"/>
      <c r="CG637" s="34" t="n"/>
      <c r="CH637" s="34" t="n"/>
      <c r="CI637" s="34" t="n"/>
      <c r="CJ637" s="34" t="n"/>
    </row>
    <row r="638">
      <c r="A638" s="29" t="n"/>
      <c r="B638" s="29" t="n"/>
      <c r="C638" s="35" t="n"/>
      <c r="D638" s="36" t="n"/>
      <c r="E638" s="147" t="n"/>
      <c r="F638" s="30" t="n"/>
      <c r="G638" s="30" t="n"/>
      <c r="H638" s="30" t="n"/>
      <c r="I638" s="30" t="n"/>
      <c r="J638" s="119" t="n"/>
      <c r="K638" s="34" t="n"/>
      <c r="L638" s="119" t="n"/>
      <c r="M638" s="34" t="n"/>
      <c r="N638" s="119" t="n"/>
      <c r="O638" s="34" t="n"/>
      <c r="P638" s="34" t="n"/>
      <c r="Q638" s="117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  <c r="AA638" s="34" t="n"/>
      <c r="AB638" s="34" t="n"/>
      <c r="AC638" s="34" t="n"/>
      <c r="AD638" s="34" t="n"/>
      <c r="AE638" s="34" t="n"/>
      <c r="AF638" s="34" t="n"/>
      <c r="AG638" s="34" t="n"/>
      <c r="AH638" s="34" t="n"/>
      <c r="AK638" s="34" t="n"/>
      <c r="AL638" s="34" t="n"/>
      <c r="AM638" s="39" t="n"/>
      <c r="AN638" s="34" t="n"/>
      <c r="AO638" s="34" t="n"/>
      <c r="AP638" s="34" t="n"/>
      <c r="AQ638" s="34" t="n"/>
      <c r="AR638" s="34" t="n"/>
      <c r="AS638" s="34" t="n"/>
      <c r="AU638" s="34" t="n"/>
      <c r="AV638" s="34" t="n"/>
      <c r="AW638" s="34" t="n"/>
      <c r="AX638" s="34" t="n"/>
      <c r="AY638" s="34" t="n"/>
      <c r="AZ638" s="34" t="n"/>
      <c r="BA638" s="34" t="n"/>
      <c r="BB638" s="34" t="n"/>
      <c r="BC638" s="34" t="n"/>
      <c r="BD638" s="34" t="n"/>
      <c r="BE638" s="34" t="n"/>
      <c r="BF638" s="34" t="n"/>
      <c r="BG638" s="34" t="n"/>
      <c r="BH638" s="34" t="n"/>
      <c r="BI638" s="34" t="n"/>
      <c r="BJ638" s="34" t="n"/>
      <c r="BK638" s="34" t="n"/>
      <c r="BL638" s="34" t="n"/>
      <c r="BM638" s="34" t="n"/>
      <c r="BN638" s="34" t="n"/>
      <c r="BO638" s="34" t="n"/>
      <c r="BP638" s="34" t="n"/>
      <c r="BQ638" s="34" t="n"/>
      <c r="BR638" s="82" t="n"/>
      <c r="BS638" s="34" t="n"/>
      <c r="BT638" s="34" t="n"/>
      <c r="BU638" s="34" t="n"/>
      <c r="BV638" s="34" t="n"/>
      <c r="BW638" s="34" t="n"/>
      <c r="BX638" s="34" t="n"/>
      <c r="BY638" s="34" t="n"/>
      <c r="BZ638" s="34" t="n"/>
      <c r="CA638" s="34" t="n"/>
      <c r="CB638" s="33" t="n"/>
      <c r="CC638" s="34" t="n"/>
      <c r="CD638" s="34" t="n"/>
      <c r="CE638" s="82" t="n"/>
      <c r="CF638" s="34" t="n"/>
      <c r="CG638" s="34" t="n"/>
      <c r="CH638" s="34" t="n"/>
      <c r="CI638" s="34" t="n"/>
      <c r="CJ638" s="34" t="n"/>
    </row>
    <row r="639">
      <c r="A639" s="29" t="n"/>
      <c r="B639" s="29" t="n"/>
      <c r="C639" s="35" t="n"/>
      <c r="D639" s="36" t="n"/>
      <c r="E639" s="147" t="n"/>
      <c r="F639" s="30" t="n"/>
      <c r="G639" s="30" t="n"/>
      <c r="H639" s="30" t="n"/>
      <c r="I639" s="30" t="n"/>
      <c r="J639" s="119" t="n"/>
      <c r="K639" s="34" t="n"/>
      <c r="L639" s="119" t="n"/>
      <c r="M639" s="34" t="n"/>
      <c r="N639" s="119" t="n"/>
      <c r="O639" s="34" t="n"/>
      <c r="P639" s="34" t="n"/>
      <c r="Q639" s="117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  <c r="AA639" s="34" t="n"/>
      <c r="AB639" s="34" t="n"/>
      <c r="AC639" s="34" t="n"/>
      <c r="AD639" s="34" t="n"/>
      <c r="AE639" s="34" t="n"/>
      <c r="AF639" s="34" t="n"/>
      <c r="AG639" s="34" t="n"/>
      <c r="AH639" s="34" t="n"/>
      <c r="AK639" s="34" t="n"/>
      <c r="AL639" s="34" t="n"/>
      <c r="AM639" s="39" t="n"/>
      <c r="AN639" s="34" t="n"/>
      <c r="AO639" s="34" t="n"/>
      <c r="AP639" s="34" t="n"/>
      <c r="AQ639" s="34" t="n"/>
      <c r="AR639" s="34" t="n"/>
      <c r="AS639" s="34" t="n"/>
      <c r="AU639" s="34" t="n"/>
      <c r="AV639" s="34" t="n"/>
      <c r="AW639" s="34" t="n"/>
      <c r="AX639" s="34" t="n"/>
      <c r="AY639" s="34" t="n"/>
      <c r="AZ639" s="34" t="n"/>
      <c r="BA639" s="34" t="n"/>
      <c r="BB639" s="34" t="n"/>
      <c r="BC639" s="34" t="n"/>
      <c r="BD639" s="34" t="n"/>
      <c r="BE639" s="34" t="n"/>
      <c r="BF639" s="34" t="n"/>
      <c r="BG639" s="34" t="n"/>
      <c r="BH639" s="34" t="n"/>
      <c r="BI639" s="34" t="n"/>
      <c r="BJ639" s="34" t="n"/>
      <c r="BK639" s="34" t="n"/>
      <c r="BL639" s="34" t="n"/>
      <c r="BM639" s="34" t="n"/>
      <c r="BN639" s="34" t="n"/>
      <c r="BO639" s="34" t="n"/>
      <c r="BP639" s="34" t="n"/>
      <c r="BQ639" s="34" t="n"/>
      <c r="BR639" s="82" t="n"/>
      <c r="BS639" s="34" t="n"/>
      <c r="BT639" s="34" t="n"/>
      <c r="BU639" s="34" t="n"/>
      <c r="BV639" s="34" t="n"/>
      <c r="BW639" s="34" t="n"/>
      <c r="BX639" s="34" t="n"/>
      <c r="BY639" s="34" t="n"/>
      <c r="BZ639" s="34" t="n"/>
      <c r="CA639" s="34" t="n"/>
      <c r="CB639" s="33" t="n"/>
      <c r="CC639" s="34" t="n"/>
      <c r="CD639" s="34" t="n"/>
      <c r="CE639" s="82" t="n"/>
      <c r="CF639" s="34" t="n"/>
      <c r="CG639" s="34" t="n"/>
      <c r="CH639" s="34" t="n"/>
      <c r="CI639" s="34" t="n"/>
      <c r="CJ639" s="34" t="n"/>
    </row>
    <row r="640">
      <c r="A640" s="29" t="n"/>
      <c r="B640" s="29" t="n"/>
      <c r="C640" s="35" t="n"/>
      <c r="D640" s="36" t="n"/>
      <c r="E640" s="147" t="n"/>
      <c r="F640" s="30" t="n"/>
      <c r="G640" s="30" t="n"/>
      <c r="H640" s="30" t="n"/>
      <c r="I640" s="30" t="n"/>
      <c r="J640" s="119" t="n"/>
      <c r="K640" s="34" t="n"/>
      <c r="L640" s="119" t="n"/>
      <c r="M640" s="34" t="n"/>
      <c r="N640" s="119" t="n"/>
      <c r="O640" s="34" t="n"/>
      <c r="P640" s="34" t="n"/>
      <c r="Q640" s="117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  <c r="AA640" s="34" t="n"/>
      <c r="AB640" s="34" t="n"/>
      <c r="AC640" s="34" t="n"/>
      <c r="AD640" s="34" t="n"/>
      <c r="AE640" s="34" t="n"/>
      <c r="AF640" s="34" t="n"/>
      <c r="AG640" s="34" t="n"/>
      <c r="AH640" s="34" t="n"/>
      <c r="AK640" s="34" t="n"/>
      <c r="AL640" s="34" t="n"/>
      <c r="AM640" s="39" t="n"/>
      <c r="AN640" s="34" t="n"/>
      <c r="AO640" s="34" t="n"/>
      <c r="AP640" s="34" t="n"/>
      <c r="AQ640" s="34" t="n"/>
      <c r="AR640" s="34" t="n"/>
      <c r="AS640" s="34" t="n"/>
      <c r="AU640" s="34" t="n"/>
      <c r="AV640" s="34" t="n"/>
      <c r="AW640" s="34" t="n"/>
      <c r="AX640" s="34" t="n"/>
      <c r="AY640" s="34" t="n"/>
      <c r="AZ640" s="34" t="n"/>
      <c r="BA640" s="34" t="n"/>
      <c r="BB640" s="34" t="n"/>
      <c r="BC640" s="34" t="n"/>
      <c r="BD640" s="34" t="n"/>
      <c r="BE640" s="34" t="n"/>
      <c r="BF640" s="34" t="n"/>
      <c r="BG640" s="34" t="n"/>
      <c r="BH640" s="34" t="n"/>
      <c r="BI640" s="34" t="n"/>
      <c r="BJ640" s="34" t="n"/>
      <c r="BK640" s="34" t="n"/>
      <c r="BL640" s="34" t="n"/>
      <c r="BM640" s="34" t="n"/>
      <c r="BN640" s="34" t="n"/>
      <c r="BO640" s="34" t="n"/>
      <c r="BP640" s="34" t="n"/>
      <c r="BQ640" s="34" t="n"/>
      <c r="BR640" s="82" t="n"/>
      <c r="BS640" s="34" t="n"/>
      <c r="BT640" s="34" t="n"/>
      <c r="BU640" s="34" t="n"/>
      <c r="BV640" s="34" t="n"/>
      <c r="BW640" s="34" t="n"/>
      <c r="BX640" s="34" t="n"/>
      <c r="BY640" s="34" t="n"/>
      <c r="BZ640" s="34" t="n"/>
      <c r="CA640" s="34" t="n"/>
      <c r="CB640" s="33" t="n"/>
      <c r="CC640" s="34" t="n"/>
      <c r="CD640" s="34" t="n"/>
      <c r="CE640" s="82" t="n"/>
      <c r="CF640" s="34" t="n"/>
      <c r="CG640" s="34" t="n"/>
      <c r="CH640" s="34" t="n"/>
      <c r="CI640" s="34" t="n"/>
      <c r="CJ640" s="34" t="n"/>
    </row>
    <row r="641">
      <c r="A641" s="29" t="n"/>
      <c r="B641" s="29" t="n"/>
      <c r="C641" s="35" t="n"/>
      <c r="D641" s="36" t="n"/>
      <c r="E641" s="147" t="n"/>
      <c r="F641" s="30" t="n"/>
      <c r="G641" s="30" t="n"/>
      <c r="H641" s="30" t="n"/>
      <c r="I641" s="30" t="n"/>
      <c r="J641" s="119" t="n"/>
      <c r="K641" s="34" t="n"/>
      <c r="L641" s="119" t="n"/>
      <c r="M641" s="34" t="n"/>
      <c r="N641" s="119" t="n"/>
      <c r="O641" s="34" t="n"/>
      <c r="P641" s="34" t="n"/>
      <c r="Q641" s="117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  <c r="AA641" s="34" t="n"/>
      <c r="AB641" s="34" t="n"/>
      <c r="AC641" s="34" t="n"/>
      <c r="AD641" s="34" t="n"/>
      <c r="AE641" s="34" t="n"/>
      <c r="AF641" s="34" t="n"/>
      <c r="AG641" s="34" t="n"/>
      <c r="AH641" s="34" t="n"/>
      <c r="AK641" s="34" t="n"/>
      <c r="AL641" s="34" t="n"/>
      <c r="AM641" s="39" t="n"/>
      <c r="AN641" s="34" t="n"/>
      <c r="AO641" s="34" t="n"/>
      <c r="AP641" s="34" t="n"/>
      <c r="AQ641" s="34" t="n"/>
      <c r="AR641" s="34" t="n"/>
      <c r="AS641" s="34" t="n"/>
      <c r="AU641" s="34" t="n"/>
      <c r="AV641" s="34" t="n"/>
      <c r="AW641" s="34" t="n"/>
      <c r="AX641" s="34" t="n"/>
      <c r="AY641" s="34" t="n"/>
      <c r="AZ641" s="34" t="n"/>
      <c r="BA641" s="34" t="n"/>
      <c r="BB641" s="34" t="n"/>
      <c r="BC641" s="34" t="n"/>
      <c r="BD641" s="34" t="n"/>
      <c r="BE641" s="34" t="n"/>
      <c r="BF641" s="34" t="n"/>
      <c r="BG641" s="34" t="n"/>
      <c r="BH641" s="34" t="n"/>
      <c r="BI641" s="34" t="n"/>
      <c r="BJ641" s="34" t="n"/>
      <c r="BK641" s="34" t="n"/>
      <c r="BL641" s="34" t="n"/>
      <c r="BM641" s="34" t="n"/>
      <c r="BN641" s="34" t="n"/>
      <c r="BO641" s="34" t="n"/>
      <c r="BP641" s="34" t="n"/>
      <c r="BQ641" s="34" t="n"/>
      <c r="BR641" s="82" t="n"/>
      <c r="BS641" s="34" t="n"/>
      <c r="BT641" s="34" t="n"/>
      <c r="BU641" s="34" t="n"/>
      <c r="BV641" s="34" t="n"/>
      <c r="BW641" s="34" t="n"/>
      <c r="BX641" s="34" t="n"/>
      <c r="BY641" s="34" t="n"/>
      <c r="BZ641" s="34" t="n"/>
      <c r="CA641" s="34" t="n"/>
      <c r="CB641" s="33" t="n"/>
      <c r="CC641" s="34" t="n"/>
      <c r="CD641" s="34" t="n"/>
      <c r="CE641" s="82" t="n"/>
      <c r="CF641" s="34" t="n"/>
      <c r="CG641" s="34" t="n"/>
      <c r="CH641" s="34" t="n"/>
      <c r="CI641" s="34" t="n"/>
      <c r="CJ641" s="34" t="n"/>
    </row>
    <row r="642">
      <c r="A642" s="29" t="n"/>
      <c r="B642" s="29" t="n"/>
      <c r="C642" s="35" t="n"/>
      <c r="D642" s="36" t="n"/>
      <c r="E642" s="147" t="n"/>
      <c r="F642" s="30" t="n"/>
      <c r="G642" s="30" t="n"/>
      <c r="H642" s="30" t="n"/>
      <c r="I642" s="30" t="n"/>
      <c r="J642" s="119" t="n"/>
      <c r="K642" s="34" t="n"/>
      <c r="L642" s="119" t="n"/>
      <c r="M642" s="34" t="n"/>
      <c r="N642" s="119" t="n"/>
      <c r="O642" s="34" t="n"/>
      <c r="P642" s="34" t="n"/>
      <c r="Q642" s="117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  <c r="AA642" s="34" t="n"/>
      <c r="AB642" s="34" t="n"/>
      <c r="AC642" s="34" t="n"/>
      <c r="AD642" s="34" t="n"/>
      <c r="AE642" s="34" t="n"/>
      <c r="AF642" s="34" t="n"/>
      <c r="AG642" s="34" t="n"/>
      <c r="AH642" s="34" t="n"/>
      <c r="AK642" s="34" t="n"/>
      <c r="AL642" s="34" t="n"/>
      <c r="AM642" s="39" t="n"/>
      <c r="AN642" s="34" t="n"/>
      <c r="AO642" s="34" t="n"/>
      <c r="AP642" s="34" t="n"/>
      <c r="AQ642" s="34" t="n"/>
      <c r="AR642" s="34" t="n"/>
      <c r="AS642" s="34" t="n"/>
      <c r="AU642" s="34" t="n"/>
      <c r="AV642" s="34" t="n"/>
      <c r="AW642" s="34" t="n"/>
      <c r="AX642" s="34" t="n"/>
      <c r="AY642" s="34" t="n"/>
      <c r="AZ642" s="34" t="n"/>
      <c r="BA642" s="34" t="n"/>
      <c r="BB642" s="34" t="n"/>
      <c r="BC642" s="34" t="n"/>
      <c r="BD642" s="34" t="n"/>
      <c r="BE642" s="34" t="n"/>
      <c r="BF642" s="34" t="n"/>
      <c r="BG642" s="34" t="n"/>
      <c r="BH642" s="34" t="n"/>
      <c r="BI642" s="34" t="n"/>
      <c r="BJ642" s="34" t="n"/>
      <c r="BK642" s="34" t="n"/>
      <c r="BL642" s="34" t="n"/>
      <c r="BM642" s="34" t="n"/>
      <c r="BN642" s="34" t="n"/>
      <c r="BO642" s="34" t="n"/>
      <c r="BP642" s="34" t="n"/>
      <c r="BQ642" s="34" t="n"/>
      <c r="BR642" s="82" t="n"/>
      <c r="BS642" s="34" t="n"/>
      <c r="BT642" s="34" t="n"/>
      <c r="BU642" s="34" t="n"/>
      <c r="BV642" s="34" t="n"/>
      <c r="BW642" s="34" t="n"/>
      <c r="BX642" s="34" t="n"/>
      <c r="BY642" s="34" t="n"/>
      <c r="BZ642" s="34" t="n"/>
      <c r="CA642" s="34" t="n"/>
      <c r="CB642" s="33" t="n"/>
      <c r="CC642" s="34" t="n"/>
      <c r="CD642" s="34" t="n"/>
      <c r="CE642" s="82" t="n"/>
      <c r="CF642" s="34" t="n"/>
      <c r="CG642" s="34" t="n"/>
      <c r="CH642" s="34" t="n"/>
      <c r="CI642" s="34" t="n"/>
      <c r="CJ642" s="34" t="n"/>
    </row>
    <row r="643">
      <c r="A643" s="29" t="n"/>
      <c r="B643" s="29" t="n"/>
      <c r="C643" s="35" t="n"/>
      <c r="D643" s="36" t="n"/>
      <c r="E643" s="147" t="n"/>
      <c r="F643" s="30" t="n"/>
      <c r="G643" s="30" t="n"/>
      <c r="H643" s="30" t="n"/>
      <c r="I643" s="30" t="n"/>
      <c r="J643" s="119" t="n"/>
      <c r="K643" s="34" t="n"/>
      <c r="L643" s="119" t="n"/>
      <c r="M643" s="34" t="n"/>
      <c r="N643" s="119" t="n"/>
      <c r="O643" s="34" t="n"/>
      <c r="P643" s="34" t="n"/>
      <c r="Q643" s="117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  <c r="AA643" s="34" t="n"/>
      <c r="AB643" s="34" t="n"/>
      <c r="AC643" s="34" t="n"/>
      <c r="AD643" s="34" t="n"/>
      <c r="AE643" s="34" t="n"/>
      <c r="AF643" s="34" t="n"/>
      <c r="AG643" s="34" t="n"/>
      <c r="AH643" s="34" t="n"/>
      <c r="AK643" s="34" t="n"/>
      <c r="AL643" s="34" t="n"/>
      <c r="AM643" s="39" t="n"/>
      <c r="AN643" s="34" t="n"/>
      <c r="AO643" s="34" t="n"/>
      <c r="AP643" s="34" t="n"/>
      <c r="AQ643" s="34" t="n"/>
      <c r="AR643" s="34" t="n"/>
      <c r="AS643" s="34" t="n"/>
      <c r="AU643" s="34" t="n"/>
      <c r="AV643" s="34" t="n"/>
      <c r="AW643" s="34" t="n"/>
      <c r="AX643" s="34" t="n"/>
      <c r="AY643" s="34" t="n"/>
      <c r="AZ643" s="34" t="n"/>
      <c r="BA643" s="34" t="n"/>
      <c r="BB643" s="34" t="n"/>
      <c r="BC643" s="34" t="n"/>
      <c r="BD643" s="34" t="n"/>
      <c r="BE643" s="34" t="n"/>
      <c r="BF643" s="34" t="n"/>
      <c r="BG643" s="34" t="n"/>
      <c r="BH643" s="34" t="n"/>
      <c r="BI643" s="34" t="n"/>
      <c r="BJ643" s="34" t="n"/>
      <c r="BK643" s="34" t="n"/>
      <c r="BL643" s="34" t="n"/>
      <c r="BM643" s="34" t="n"/>
      <c r="BN643" s="34" t="n"/>
      <c r="BO643" s="34" t="n"/>
      <c r="BP643" s="34" t="n"/>
      <c r="BQ643" s="34" t="n"/>
      <c r="BR643" s="82" t="n"/>
      <c r="BS643" s="34" t="n"/>
      <c r="BT643" s="34" t="n"/>
      <c r="BU643" s="34" t="n"/>
      <c r="BV643" s="34" t="n"/>
      <c r="BW643" s="34" t="n"/>
      <c r="BX643" s="34" t="n"/>
      <c r="BY643" s="34" t="n"/>
      <c r="BZ643" s="34" t="n"/>
      <c r="CA643" s="34" t="n"/>
      <c r="CB643" s="33" t="n"/>
      <c r="CC643" s="34" t="n"/>
      <c r="CD643" s="34" t="n"/>
      <c r="CE643" s="82" t="n"/>
      <c r="CF643" s="34" t="n"/>
      <c r="CG643" s="34" t="n"/>
      <c r="CH643" s="34" t="n"/>
      <c r="CI643" s="34" t="n"/>
      <c r="CJ643" s="34" t="n"/>
    </row>
    <row r="644">
      <c r="A644" s="29" t="n"/>
      <c r="B644" s="29" t="n"/>
      <c r="C644" s="35" t="n"/>
      <c r="D644" s="36" t="n"/>
      <c r="E644" s="147" t="n"/>
      <c r="F644" s="30" t="n"/>
      <c r="G644" s="30" t="n"/>
      <c r="H644" s="30" t="n"/>
      <c r="I644" s="30" t="n"/>
      <c r="J644" s="119" t="n"/>
      <c r="K644" s="34" t="n"/>
      <c r="L644" s="119" t="n"/>
      <c r="M644" s="34" t="n"/>
      <c r="N644" s="119" t="n"/>
      <c r="O644" s="34" t="n"/>
      <c r="P644" s="34" t="n"/>
      <c r="Q644" s="117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  <c r="AA644" s="34" t="n"/>
      <c r="AB644" s="34" t="n"/>
      <c r="AC644" s="34" t="n"/>
      <c r="AD644" s="34" t="n"/>
      <c r="AE644" s="34" t="n"/>
      <c r="AF644" s="34" t="n"/>
      <c r="AG644" s="34" t="n"/>
      <c r="AH644" s="34" t="n"/>
      <c r="AK644" s="34" t="n"/>
      <c r="AL644" s="34" t="n"/>
      <c r="AM644" s="39" t="n"/>
      <c r="AN644" s="34" t="n"/>
      <c r="AO644" s="34" t="n"/>
      <c r="AP644" s="34" t="n"/>
      <c r="AQ644" s="34" t="n"/>
      <c r="AR644" s="34" t="n"/>
      <c r="AS644" s="34" t="n"/>
      <c r="AU644" s="34" t="n"/>
      <c r="AV644" s="34" t="n"/>
      <c r="AW644" s="34" t="n"/>
      <c r="AX644" s="34" t="n"/>
      <c r="AY644" s="34" t="n"/>
      <c r="AZ644" s="34" t="n"/>
      <c r="BA644" s="34" t="n"/>
      <c r="BB644" s="34" t="n"/>
      <c r="BC644" s="34" t="n"/>
      <c r="BD644" s="34" t="n"/>
      <c r="BE644" s="34" t="n"/>
      <c r="BF644" s="34" t="n"/>
      <c r="BG644" s="34" t="n"/>
      <c r="BH644" s="34" t="n"/>
      <c r="BI644" s="34" t="n"/>
      <c r="BJ644" s="34" t="n"/>
      <c r="BK644" s="34" t="n"/>
      <c r="BL644" s="34" t="n"/>
      <c r="BM644" s="34" t="n"/>
      <c r="BN644" s="34" t="n"/>
      <c r="BO644" s="34" t="n"/>
      <c r="BP644" s="34" t="n"/>
      <c r="BQ644" s="34" t="n"/>
      <c r="BR644" s="82" t="n"/>
      <c r="BS644" s="34" t="n"/>
      <c r="BT644" s="34" t="n"/>
      <c r="BU644" s="34" t="n"/>
      <c r="BV644" s="34" t="n"/>
      <c r="BW644" s="34" t="n"/>
      <c r="BX644" s="34" t="n"/>
      <c r="BY644" s="34" t="n"/>
      <c r="BZ644" s="34" t="n"/>
      <c r="CA644" s="34" t="n"/>
      <c r="CB644" s="33" t="n"/>
      <c r="CC644" s="34" t="n"/>
      <c r="CD644" s="34" t="n"/>
      <c r="CE644" s="82" t="n"/>
      <c r="CF644" s="34" t="n"/>
      <c r="CG644" s="34" t="n"/>
      <c r="CH644" s="34" t="n"/>
      <c r="CI644" s="34" t="n"/>
      <c r="CJ644" s="34" t="n"/>
    </row>
    <row r="645">
      <c r="A645" s="29" t="n"/>
      <c r="B645" s="29" t="n"/>
      <c r="C645" s="35" t="n"/>
      <c r="D645" s="36" t="n"/>
      <c r="E645" s="147" t="n"/>
      <c r="F645" s="30" t="n"/>
      <c r="G645" s="30" t="n"/>
      <c r="H645" s="30" t="n"/>
      <c r="I645" s="30" t="n"/>
      <c r="J645" s="119" t="n"/>
      <c r="K645" s="34" t="n"/>
      <c r="L645" s="119" t="n"/>
      <c r="M645" s="34" t="n"/>
      <c r="N645" s="119" t="n"/>
      <c r="O645" s="34" t="n"/>
      <c r="P645" s="34" t="n"/>
      <c r="Q645" s="117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  <c r="AA645" s="34" t="n"/>
      <c r="AB645" s="34" t="n"/>
      <c r="AC645" s="34" t="n"/>
      <c r="AD645" s="34" t="n"/>
      <c r="AE645" s="34" t="n"/>
      <c r="AF645" s="34" t="n"/>
      <c r="AG645" s="34" t="n"/>
      <c r="AH645" s="34" t="n"/>
      <c r="AK645" s="34" t="n"/>
      <c r="AL645" s="34" t="n"/>
      <c r="AM645" s="39" t="n"/>
      <c r="AN645" s="34" t="n"/>
      <c r="AO645" s="34" t="n"/>
      <c r="AP645" s="34" t="n"/>
      <c r="AQ645" s="34" t="n"/>
      <c r="AR645" s="34" t="n"/>
      <c r="AS645" s="34" t="n"/>
      <c r="AU645" s="34" t="n"/>
      <c r="AV645" s="34" t="n"/>
      <c r="AW645" s="34" t="n"/>
      <c r="AX645" s="34" t="n"/>
      <c r="AY645" s="34" t="n"/>
      <c r="AZ645" s="34" t="n"/>
      <c r="BA645" s="34" t="n"/>
      <c r="BB645" s="34" t="n"/>
      <c r="BC645" s="34" t="n"/>
      <c r="BD645" s="34" t="n"/>
      <c r="BE645" s="34" t="n"/>
      <c r="BF645" s="34" t="n"/>
      <c r="BG645" s="34" t="n"/>
      <c r="BH645" s="34" t="n"/>
      <c r="BI645" s="34" t="n"/>
      <c r="BJ645" s="34" t="n"/>
      <c r="BK645" s="34" t="n"/>
      <c r="BL645" s="34" t="n"/>
      <c r="BM645" s="34" t="n"/>
      <c r="BN645" s="34" t="n"/>
      <c r="BO645" s="34" t="n"/>
      <c r="BP645" s="34" t="n"/>
      <c r="BQ645" s="34" t="n"/>
      <c r="BR645" s="82" t="n"/>
      <c r="BS645" s="34" t="n"/>
      <c r="BT645" s="34" t="n"/>
      <c r="BU645" s="34" t="n"/>
      <c r="BV645" s="34" t="n"/>
      <c r="BW645" s="34" t="n"/>
      <c r="BX645" s="34" t="n"/>
      <c r="BY645" s="34" t="n"/>
      <c r="BZ645" s="34" t="n"/>
      <c r="CA645" s="34" t="n"/>
      <c r="CB645" s="33" t="n"/>
      <c r="CC645" s="34" t="n"/>
      <c r="CD645" s="34" t="n"/>
      <c r="CE645" s="82" t="n"/>
      <c r="CF645" s="34" t="n"/>
      <c r="CG645" s="34" t="n"/>
      <c r="CH645" s="34" t="n"/>
      <c r="CI645" s="34" t="n"/>
      <c r="CJ645" s="34" t="n"/>
    </row>
    <row r="646">
      <c r="A646" s="29" t="n"/>
      <c r="B646" s="29" t="n"/>
      <c r="C646" s="35" t="n"/>
      <c r="D646" s="36" t="n"/>
      <c r="E646" s="147" t="n"/>
      <c r="F646" s="30" t="n"/>
      <c r="G646" s="30" t="n"/>
      <c r="H646" s="30" t="n"/>
      <c r="I646" s="30" t="n"/>
      <c r="J646" s="119" t="n"/>
      <c r="K646" s="34" t="n"/>
      <c r="L646" s="119" t="n"/>
      <c r="M646" s="34" t="n"/>
      <c r="N646" s="119" t="n"/>
      <c r="O646" s="34" t="n"/>
      <c r="P646" s="34" t="n"/>
      <c r="Q646" s="117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  <c r="AA646" s="34" t="n"/>
      <c r="AB646" s="34" t="n"/>
      <c r="AC646" s="34" t="n"/>
      <c r="AD646" s="34" t="n"/>
      <c r="AE646" s="34" t="n"/>
      <c r="AF646" s="34" t="n"/>
      <c r="AG646" s="34" t="n"/>
      <c r="AH646" s="34" t="n"/>
      <c r="AK646" s="34" t="n"/>
      <c r="AL646" s="34" t="n"/>
      <c r="AM646" s="39" t="n"/>
      <c r="AN646" s="34" t="n"/>
      <c r="AO646" s="34" t="n"/>
      <c r="AP646" s="34" t="n"/>
      <c r="AQ646" s="34" t="n"/>
      <c r="AR646" s="34" t="n"/>
      <c r="AS646" s="34" t="n"/>
      <c r="AU646" s="34" t="n"/>
      <c r="AV646" s="34" t="n"/>
      <c r="AW646" s="34" t="n"/>
      <c r="AX646" s="34" t="n"/>
      <c r="AY646" s="34" t="n"/>
      <c r="AZ646" s="34" t="n"/>
      <c r="BA646" s="34" t="n"/>
      <c r="BB646" s="34" t="n"/>
      <c r="BC646" s="34" t="n"/>
      <c r="BD646" s="34" t="n"/>
      <c r="BE646" s="34" t="n"/>
      <c r="BF646" s="34" t="n"/>
      <c r="BG646" s="34" t="n"/>
      <c r="BH646" s="34" t="n"/>
      <c r="BI646" s="34" t="n"/>
      <c r="BJ646" s="34" t="n"/>
      <c r="BK646" s="34" t="n"/>
      <c r="BL646" s="34" t="n"/>
      <c r="BM646" s="34" t="n"/>
      <c r="BN646" s="34" t="n"/>
      <c r="BO646" s="34" t="n"/>
      <c r="BP646" s="34" t="n"/>
      <c r="BQ646" s="34" t="n"/>
      <c r="BR646" s="82" t="n"/>
      <c r="BS646" s="34" t="n"/>
      <c r="BT646" s="34" t="n"/>
      <c r="BU646" s="34" t="n"/>
      <c r="BV646" s="34" t="n"/>
      <c r="BW646" s="34" t="n"/>
      <c r="BX646" s="34" t="n"/>
      <c r="BY646" s="34" t="n"/>
      <c r="BZ646" s="34" t="n"/>
      <c r="CA646" s="34" t="n"/>
      <c r="CB646" s="33" t="n"/>
      <c r="CC646" s="34" t="n"/>
      <c r="CD646" s="34" t="n"/>
      <c r="CE646" s="82" t="n"/>
      <c r="CF646" s="34" t="n"/>
      <c r="CG646" s="34" t="n"/>
      <c r="CH646" s="34" t="n"/>
      <c r="CI646" s="34" t="n"/>
      <c r="CJ646" s="34" t="n"/>
    </row>
    <row r="647">
      <c r="A647" s="29" t="n"/>
      <c r="B647" s="29" t="n"/>
      <c r="C647" s="35" t="n"/>
      <c r="D647" s="36" t="n"/>
      <c r="E647" s="147" t="n"/>
      <c r="F647" s="30" t="n"/>
      <c r="G647" s="30" t="n"/>
      <c r="H647" s="30" t="n"/>
      <c r="I647" s="30" t="n"/>
      <c r="J647" s="119" t="n"/>
      <c r="K647" s="34" t="n"/>
      <c r="L647" s="119" t="n"/>
      <c r="M647" s="34" t="n"/>
      <c r="N647" s="119" t="n"/>
      <c r="O647" s="34" t="n"/>
      <c r="P647" s="34" t="n"/>
      <c r="Q647" s="117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  <c r="AA647" s="34" t="n"/>
      <c r="AB647" s="34" t="n"/>
      <c r="AC647" s="34" t="n"/>
      <c r="AD647" s="34" t="n"/>
      <c r="AE647" s="34" t="n"/>
      <c r="AF647" s="34" t="n"/>
      <c r="AG647" s="34" t="n"/>
      <c r="AH647" s="34" t="n"/>
      <c r="AK647" s="34" t="n"/>
      <c r="AL647" s="34" t="n"/>
      <c r="AM647" s="39" t="n"/>
      <c r="AN647" s="34" t="n"/>
      <c r="AO647" s="34" t="n"/>
      <c r="AP647" s="34" t="n"/>
      <c r="AQ647" s="34" t="n"/>
      <c r="AR647" s="34" t="n"/>
      <c r="AS647" s="34" t="n"/>
      <c r="AU647" s="34" t="n"/>
      <c r="AV647" s="34" t="n"/>
      <c r="AW647" s="34" t="n"/>
      <c r="AX647" s="34" t="n"/>
      <c r="AY647" s="34" t="n"/>
      <c r="AZ647" s="34" t="n"/>
      <c r="BA647" s="34" t="n"/>
      <c r="BB647" s="34" t="n"/>
      <c r="BC647" s="34" t="n"/>
      <c r="BD647" s="34" t="n"/>
      <c r="BE647" s="34" t="n"/>
      <c r="BF647" s="34" t="n"/>
      <c r="BG647" s="34" t="n"/>
      <c r="BH647" s="34" t="n"/>
      <c r="BI647" s="34" t="n"/>
      <c r="BJ647" s="34" t="n"/>
      <c r="BK647" s="34" t="n"/>
      <c r="BL647" s="34" t="n"/>
      <c r="BM647" s="34" t="n"/>
      <c r="BN647" s="34" t="n"/>
      <c r="BO647" s="34" t="n"/>
      <c r="BP647" s="34" t="n"/>
      <c r="BQ647" s="34" t="n"/>
      <c r="BR647" s="82" t="n"/>
      <c r="BS647" s="34" t="n"/>
      <c r="BT647" s="34" t="n"/>
      <c r="BU647" s="34" t="n"/>
      <c r="BV647" s="34" t="n"/>
      <c r="BW647" s="34" t="n"/>
      <c r="BX647" s="34" t="n"/>
      <c r="BY647" s="34" t="n"/>
      <c r="BZ647" s="34" t="n"/>
      <c r="CA647" s="34" t="n"/>
      <c r="CB647" s="33" t="n"/>
      <c r="CC647" s="34" t="n"/>
      <c r="CD647" s="34" t="n"/>
      <c r="CE647" s="82" t="n"/>
      <c r="CF647" s="34" t="n"/>
      <c r="CG647" s="34" t="n"/>
      <c r="CH647" s="34" t="n"/>
      <c r="CI647" s="34" t="n"/>
      <c r="CJ647" s="34" t="n"/>
    </row>
    <row r="648">
      <c r="A648" s="29" t="n"/>
      <c r="B648" s="29" t="n"/>
      <c r="C648" s="35" t="n"/>
      <c r="D648" s="36" t="n"/>
      <c r="E648" s="147" t="n"/>
      <c r="F648" s="30" t="n"/>
      <c r="G648" s="30" t="n"/>
      <c r="H648" s="30" t="n"/>
      <c r="I648" s="30" t="n"/>
      <c r="J648" s="119" t="n"/>
      <c r="K648" s="34" t="n"/>
      <c r="L648" s="119" t="n"/>
      <c r="M648" s="34" t="n"/>
      <c r="N648" s="119" t="n"/>
      <c r="O648" s="34" t="n"/>
      <c r="P648" s="34" t="n"/>
      <c r="Q648" s="117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  <c r="AA648" s="34" t="n"/>
      <c r="AB648" s="34" t="n"/>
      <c r="AC648" s="34" t="n"/>
      <c r="AD648" s="34" t="n"/>
      <c r="AE648" s="34" t="n"/>
      <c r="AF648" s="34" t="n"/>
      <c r="AG648" s="34" t="n"/>
      <c r="AH648" s="34" t="n"/>
      <c r="AK648" s="34" t="n"/>
      <c r="AL648" s="34" t="n"/>
      <c r="AM648" s="39" t="n"/>
      <c r="AN648" s="34" t="n"/>
      <c r="AO648" s="34" t="n"/>
      <c r="AP648" s="34" t="n"/>
      <c r="AQ648" s="34" t="n"/>
      <c r="AR648" s="34" t="n"/>
      <c r="AS648" s="34" t="n"/>
      <c r="AU648" s="34" t="n"/>
      <c r="AV648" s="34" t="n"/>
      <c r="AW648" s="34" t="n"/>
      <c r="AX648" s="34" t="n"/>
      <c r="AY648" s="34" t="n"/>
      <c r="AZ648" s="34" t="n"/>
      <c r="BA648" s="34" t="n"/>
      <c r="BB648" s="34" t="n"/>
      <c r="BC648" s="34" t="n"/>
      <c r="BD648" s="34" t="n"/>
      <c r="BE648" s="34" t="n"/>
      <c r="BF648" s="34" t="n"/>
      <c r="BG648" s="34" t="n"/>
      <c r="BH648" s="34" t="n"/>
      <c r="BI648" s="34" t="n"/>
      <c r="BJ648" s="34" t="n"/>
      <c r="BK648" s="34" t="n"/>
      <c r="BL648" s="34" t="n"/>
      <c r="BM648" s="34" t="n"/>
      <c r="BN648" s="34" t="n"/>
      <c r="BO648" s="34" t="n"/>
      <c r="BP648" s="34" t="n"/>
      <c r="BQ648" s="34" t="n"/>
      <c r="BR648" s="82" t="n"/>
      <c r="BS648" s="34" t="n"/>
      <c r="BT648" s="34" t="n"/>
      <c r="BU648" s="34" t="n"/>
      <c r="BV648" s="34" t="n"/>
      <c r="BW648" s="34" t="n"/>
      <c r="BX648" s="34" t="n"/>
      <c r="BY648" s="34" t="n"/>
      <c r="BZ648" s="34" t="n"/>
      <c r="CA648" s="34" t="n"/>
      <c r="CB648" s="33" t="n"/>
      <c r="CC648" s="34" t="n"/>
      <c r="CD648" s="34" t="n"/>
      <c r="CE648" s="82" t="n"/>
      <c r="CF648" s="34" t="n"/>
      <c r="CG648" s="34" t="n"/>
      <c r="CH648" s="34" t="n"/>
      <c r="CI648" s="34" t="n"/>
      <c r="CJ648" s="34" t="n"/>
    </row>
    <row r="649">
      <c r="A649" s="29" t="n"/>
      <c r="B649" s="29" t="n"/>
      <c r="C649" s="35" t="n"/>
      <c r="D649" s="36" t="n"/>
      <c r="E649" s="147" t="n"/>
      <c r="F649" s="30" t="n"/>
      <c r="G649" s="30" t="n"/>
      <c r="H649" s="30" t="n"/>
      <c r="I649" s="30" t="n"/>
      <c r="J649" s="119" t="n"/>
      <c r="K649" s="34" t="n"/>
      <c r="L649" s="119" t="n"/>
      <c r="M649" s="34" t="n"/>
      <c r="N649" s="119" t="n"/>
      <c r="O649" s="34" t="n"/>
      <c r="P649" s="34" t="n"/>
      <c r="Q649" s="117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  <c r="AA649" s="34" t="n"/>
      <c r="AB649" s="34" t="n"/>
      <c r="AC649" s="34" t="n"/>
      <c r="AD649" s="34" t="n"/>
      <c r="AE649" s="34" t="n"/>
      <c r="AF649" s="34" t="n"/>
      <c r="AG649" s="34" t="n"/>
      <c r="AH649" s="34" t="n"/>
      <c r="AK649" s="34" t="n"/>
      <c r="AL649" s="34" t="n"/>
      <c r="AM649" s="39" t="n"/>
      <c r="AN649" s="34" t="n"/>
      <c r="AO649" s="34" t="n"/>
      <c r="AP649" s="34" t="n"/>
      <c r="AQ649" s="34" t="n"/>
      <c r="AR649" s="34" t="n"/>
      <c r="AS649" s="34" t="n"/>
      <c r="AU649" s="34" t="n"/>
      <c r="AV649" s="34" t="n"/>
      <c r="AW649" s="34" t="n"/>
      <c r="AX649" s="34" t="n"/>
      <c r="AY649" s="34" t="n"/>
      <c r="AZ649" s="34" t="n"/>
      <c r="BA649" s="34" t="n"/>
      <c r="BB649" s="34" t="n"/>
      <c r="BC649" s="34" t="n"/>
      <c r="BD649" s="34" t="n"/>
      <c r="BE649" s="34" t="n"/>
      <c r="BF649" s="34" t="n"/>
      <c r="BG649" s="34" t="n"/>
      <c r="BH649" s="34" t="n"/>
      <c r="BI649" s="34" t="n"/>
      <c r="BJ649" s="34" t="n"/>
      <c r="BK649" s="34" t="n"/>
      <c r="BL649" s="34" t="n"/>
      <c r="BM649" s="34" t="n"/>
      <c r="BN649" s="34" t="n"/>
      <c r="BO649" s="34" t="n"/>
      <c r="BP649" s="34" t="n"/>
      <c r="BQ649" s="34" t="n"/>
      <c r="BR649" s="82" t="n"/>
      <c r="BS649" s="34" t="n"/>
      <c r="BT649" s="34" t="n"/>
      <c r="BU649" s="34" t="n"/>
      <c r="BV649" s="34" t="n"/>
      <c r="BW649" s="34" t="n"/>
      <c r="BX649" s="34" t="n"/>
      <c r="BY649" s="34" t="n"/>
      <c r="BZ649" s="34" t="n"/>
      <c r="CA649" s="34" t="n"/>
      <c r="CB649" s="33" t="n"/>
      <c r="CC649" s="34" t="n"/>
      <c r="CD649" s="34" t="n"/>
      <c r="CE649" s="82" t="n"/>
      <c r="CF649" s="34" t="n"/>
      <c r="CG649" s="34" t="n"/>
      <c r="CH649" s="34" t="n"/>
      <c r="CI649" s="34" t="n"/>
      <c r="CJ649" s="34" t="n"/>
    </row>
    <row r="650">
      <c r="A650" s="29" t="n"/>
      <c r="B650" s="29" t="n"/>
      <c r="C650" s="35" t="n"/>
      <c r="D650" s="36" t="n"/>
      <c r="E650" s="147" t="n"/>
      <c r="F650" s="30" t="n"/>
      <c r="G650" s="30" t="n"/>
      <c r="H650" s="30" t="n"/>
      <c r="I650" s="30" t="n"/>
      <c r="J650" s="119" t="n"/>
      <c r="K650" s="34" t="n"/>
      <c r="L650" s="119" t="n"/>
      <c r="M650" s="34" t="n"/>
      <c r="N650" s="119" t="n"/>
      <c r="O650" s="34" t="n"/>
      <c r="P650" s="34" t="n"/>
      <c r="Q650" s="117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  <c r="AA650" s="34" t="n"/>
      <c r="AB650" s="34" t="n"/>
      <c r="AC650" s="34" t="n"/>
      <c r="AD650" s="34" t="n"/>
      <c r="AE650" s="34" t="n"/>
      <c r="AF650" s="34" t="n"/>
      <c r="AG650" s="34" t="n"/>
      <c r="AH650" s="34" t="n"/>
      <c r="AK650" s="34" t="n"/>
      <c r="AL650" s="34" t="n"/>
      <c r="AM650" s="39" t="n"/>
      <c r="AN650" s="34" t="n"/>
      <c r="AO650" s="34" t="n"/>
      <c r="AP650" s="34" t="n"/>
      <c r="AQ650" s="34" t="n"/>
      <c r="AR650" s="34" t="n"/>
      <c r="AS650" s="34" t="n"/>
      <c r="AU650" s="34" t="n"/>
      <c r="AV650" s="34" t="n"/>
      <c r="AW650" s="34" t="n"/>
      <c r="AX650" s="34" t="n"/>
      <c r="AY650" s="34" t="n"/>
      <c r="AZ650" s="34" t="n"/>
      <c r="BA650" s="34" t="n"/>
      <c r="BB650" s="34" t="n"/>
      <c r="BC650" s="34" t="n"/>
      <c r="BD650" s="34" t="n"/>
      <c r="BE650" s="34" t="n"/>
      <c r="BF650" s="34" t="n"/>
      <c r="BG650" s="34" t="n"/>
      <c r="BH650" s="34" t="n"/>
      <c r="BI650" s="34" t="n"/>
      <c r="BJ650" s="34" t="n"/>
      <c r="BK650" s="34" t="n"/>
      <c r="BL650" s="34" t="n"/>
      <c r="BM650" s="34" t="n"/>
      <c r="BN650" s="34" t="n"/>
      <c r="BO650" s="34" t="n"/>
      <c r="BP650" s="34" t="n"/>
      <c r="BQ650" s="34" t="n"/>
      <c r="BR650" s="82" t="n"/>
      <c r="BS650" s="34" t="n"/>
      <c r="BT650" s="34" t="n"/>
      <c r="BU650" s="34" t="n"/>
      <c r="BV650" s="34" t="n"/>
      <c r="BW650" s="34" t="n"/>
      <c r="BX650" s="34" t="n"/>
      <c r="BY650" s="34" t="n"/>
      <c r="BZ650" s="34" t="n"/>
      <c r="CA650" s="34" t="n"/>
      <c r="CB650" s="33" t="n"/>
      <c r="CC650" s="34" t="n"/>
      <c r="CD650" s="34" t="n"/>
      <c r="CE650" s="82" t="n"/>
      <c r="CF650" s="34" t="n"/>
      <c r="CG650" s="34" t="n"/>
      <c r="CH650" s="34" t="n"/>
      <c r="CI650" s="34" t="n"/>
      <c r="CJ650" s="34" t="n"/>
    </row>
    <row r="651">
      <c r="A651" s="29" t="n"/>
      <c r="B651" s="29" t="n"/>
      <c r="C651" s="35" t="n"/>
      <c r="D651" s="36" t="n"/>
      <c r="E651" s="147" t="n"/>
      <c r="F651" s="30" t="n"/>
      <c r="G651" s="30" t="n"/>
      <c r="H651" s="30" t="n"/>
      <c r="I651" s="30" t="n"/>
      <c r="J651" s="119" t="n"/>
      <c r="K651" s="34" t="n"/>
      <c r="L651" s="119" t="n"/>
      <c r="M651" s="34" t="n"/>
      <c r="N651" s="119" t="n"/>
      <c r="O651" s="34" t="n"/>
      <c r="P651" s="34" t="n"/>
      <c r="Q651" s="117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  <c r="AA651" s="34" t="n"/>
      <c r="AB651" s="34" t="n"/>
      <c r="AC651" s="34" t="n"/>
      <c r="AD651" s="34" t="n"/>
      <c r="AE651" s="34" t="n"/>
      <c r="AF651" s="34" t="n"/>
      <c r="AG651" s="34" t="n"/>
      <c r="AH651" s="34" t="n"/>
      <c r="AK651" s="34" t="n"/>
      <c r="AL651" s="34" t="n"/>
      <c r="AM651" s="39" t="n"/>
      <c r="AN651" s="34" t="n"/>
      <c r="AO651" s="34" t="n"/>
      <c r="AP651" s="34" t="n"/>
      <c r="AQ651" s="34" t="n"/>
      <c r="AR651" s="34" t="n"/>
      <c r="AS651" s="34" t="n"/>
      <c r="AU651" s="34" t="n"/>
      <c r="AV651" s="34" t="n"/>
      <c r="AW651" s="34" t="n"/>
      <c r="AX651" s="34" t="n"/>
      <c r="AY651" s="34" t="n"/>
      <c r="AZ651" s="34" t="n"/>
      <c r="BA651" s="34" t="n"/>
      <c r="BB651" s="34" t="n"/>
      <c r="BC651" s="34" t="n"/>
      <c r="BD651" s="34" t="n"/>
      <c r="BE651" s="34" t="n"/>
      <c r="BF651" s="34" t="n"/>
      <c r="BG651" s="34" t="n"/>
      <c r="BH651" s="34" t="n"/>
      <c r="BI651" s="34" t="n"/>
      <c r="BJ651" s="34" t="n"/>
      <c r="BK651" s="34" t="n"/>
      <c r="BL651" s="34" t="n"/>
      <c r="BM651" s="34" t="n"/>
      <c r="BN651" s="34" t="n"/>
      <c r="BO651" s="34" t="n"/>
      <c r="BP651" s="34" t="n"/>
      <c r="BQ651" s="34" t="n"/>
      <c r="BR651" s="82" t="n"/>
      <c r="BS651" s="34" t="n"/>
      <c r="BT651" s="34" t="n"/>
      <c r="BU651" s="34" t="n"/>
      <c r="BV651" s="34" t="n"/>
      <c r="BW651" s="34" t="n"/>
      <c r="BX651" s="34" t="n"/>
      <c r="BY651" s="34" t="n"/>
      <c r="BZ651" s="34" t="n"/>
      <c r="CA651" s="34" t="n"/>
      <c r="CB651" s="33" t="n"/>
      <c r="CC651" s="34" t="n"/>
      <c r="CD651" s="34" t="n"/>
      <c r="CE651" s="82" t="n"/>
      <c r="CF651" s="34" t="n"/>
      <c r="CG651" s="34" t="n"/>
      <c r="CH651" s="34" t="n"/>
      <c r="CI651" s="34" t="n"/>
      <c r="CJ651" s="34" t="n"/>
    </row>
    <row r="652">
      <c r="A652" s="29" t="n"/>
      <c r="B652" s="29" t="n"/>
      <c r="C652" s="35" t="n"/>
      <c r="D652" s="36" t="n"/>
      <c r="E652" s="147" t="n"/>
      <c r="F652" s="30" t="n"/>
      <c r="G652" s="30" t="n"/>
      <c r="H652" s="30" t="n"/>
      <c r="I652" s="30" t="n"/>
      <c r="J652" s="119" t="n"/>
      <c r="K652" s="34" t="n"/>
      <c r="L652" s="119" t="n"/>
      <c r="M652" s="34" t="n"/>
      <c r="N652" s="119" t="n"/>
      <c r="O652" s="34" t="n"/>
      <c r="P652" s="34" t="n"/>
      <c r="Q652" s="117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  <c r="AA652" s="34" t="n"/>
      <c r="AB652" s="34" t="n"/>
      <c r="AC652" s="34" t="n"/>
      <c r="AD652" s="34" t="n"/>
      <c r="AE652" s="34" t="n"/>
      <c r="AF652" s="34" t="n"/>
      <c r="AG652" s="34" t="n"/>
      <c r="AH652" s="34" t="n"/>
      <c r="AK652" s="34" t="n"/>
      <c r="AL652" s="34" t="n"/>
      <c r="AM652" s="39" t="n"/>
      <c r="AN652" s="34" t="n"/>
      <c r="AO652" s="34" t="n"/>
      <c r="AP652" s="34" t="n"/>
      <c r="AQ652" s="34" t="n"/>
      <c r="AR652" s="34" t="n"/>
      <c r="AS652" s="34" t="n"/>
      <c r="AU652" s="34" t="n"/>
      <c r="AV652" s="34" t="n"/>
      <c r="AW652" s="34" t="n"/>
      <c r="AX652" s="34" t="n"/>
      <c r="AY652" s="34" t="n"/>
      <c r="AZ652" s="34" t="n"/>
      <c r="BA652" s="34" t="n"/>
      <c r="BB652" s="34" t="n"/>
      <c r="BC652" s="34" t="n"/>
      <c r="BD652" s="34" t="n"/>
      <c r="BE652" s="34" t="n"/>
      <c r="BF652" s="34" t="n"/>
      <c r="BG652" s="34" t="n"/>
      <c r="BH652" s="34" t="n"/>
      <c r="BI652" s="34" t="n"/>
      <c r="BJ652" s="34" t="n"/>
      <c r="BK652" s="34" t="n"/>
      <c r="BL652" s="34" t="n"/>
      <c r="BM652" s="34" t="n"/>
      <c r="BN652" s="34" t="n"/>
      <c r="BO652" s="34" t="n"/>
      <c r="BP652" s="34" t="n"/>
      <c r="BQ652" s="34" t="n"/>
      <c r="BR652" s="82" t="n"/>
      <c r="BS652" s="34" t="n"/>
      <c r="BT652" s="34" t="n"/>
      <c r="BU652" s="34" t="n"/>
      <c r="BV652" s="34" t="n"/>
      <c r="BW652" s="34" t="n"/>
      <c r="BX652" s="34" t="n"/>
      <c r="BY652" s="34" t="n"/>
      <c r="BZ652" s="34" t="n"/>
      <c r="CA652" s="34" t="n"/>
      <c r="CB652" s="33" t="n"/>
      <c r="CC652" s="34" t="n"/>
      <c r="CD652" s="34" t="n"/>
      <c r="CE652" s="82" t="n"/>
      <c r="CF652" s="34" t="n"/>
      <c r="CG652" s="34" t="n"/>
      <c r="CH652" s="34" t="n"/>
      <c r="CI652" s="34" t="n"/>
      <c r="CJ652" s="34" t="n"/>
    </row>
    <row r="653">
      <c r="A653" s="29" t="n"/>
      <c r="B653" s="29" t="n"/>
      <c r="C653" s="35" t="n"/>
      <c r="D653" s="36" t="n"/>
      <c r="E653" s="147" t="n"/>
      <c r="F653" s="30" t="n"/>
      <c r="G653" s="30" t="n"/>
      <c r="H653" s="30" t="n"/>
      <c r="I653" s="30" t="n"/>
      <c r="J653" s="119" t="n"/>
      <c r="K653" s="34" t="n"/>
      <c r="L653" s="119" t="n"/>
      <c r="M653" s="34" t="n"/>
      <c r="N653" s="119" t="n"/>
      <c r="O653" s="34" t="n"/>
      <c r="P653" s="34" t="n"/>
      <c r="Q653" s="117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  <c r="AA653" s="34" t="n"/>
      <c r="AB653" s="34" t="n"/>
      <c r="AC653" s="34" t="n"/>
      <c r="AD653" s="34" t="n"/>
      <c r="AE653" s="34" t="n"/>
      <c r="AF653" s="34" t="n"/>
      <c r="AG653" s="34" t="n"/>
      <c r="AH653" s="34" t="n"/>
      <c r="AK653" s="34" t="n"/>
      <c r="AL653" s="34" t="n"/>
      <c r="AM653" s="39" t="n"/>
      <c r="AN653" s="34" t="n"/>
      <c r="AO653" s="34" t="n"/>
      <c r="AP653" s="34" t="n"/>
      <c r="AQ653" s="34" t="n"/>
      <c r="AR653" s="34" t="n"/>
      <c r="AS653" s="34" t="n"/>
      <c r="AU653" s="34" t="n"/>
      <c r="AV653" s="34" t="n"/>
      <c r="AW653" s="34" t="n"/>
      <c r="AX653" s="34" t="n"/>
      <c r="AY653" s="34" t="n"/>
      <c r="AZ653" s="34" t="n"/>
      <c r="BA653" s="34" t="n"/>
      <c r="BB653" s="34" t="n"/>
      <c r="BC653" s="34" t="n"/>
      <c r="BD653" s="34" t="n"/>
      <c r="BE653" s="34" t="n"/>
      <c r="BF653" s="34" t="n"/>
      <c r="BG653" s="34" t="n"/>
      <c r="BH653" s="34" t="n"/>
      <c r="BI653" s="34" t="n"/>
      <c r="BJ653" s="34" t="n"/>
      <c r="BK653" s="34" t="n"/>
      <c r="BL653" s="34" t="n"/>
      <c r="BM653" s="34" t="n"/>
      <c r="BN653" s="34" t="n"/>
      <c r="BO653" s="34" t="n"/>
      <c r="BP653" s="34" t="n"/>
      <c r="BQ653" s="34" t="n"/>
      <c r="BR653" s="82" t="n"/>
      <c r="BS653" s="34" t="n"/>
      <c r="BT653" s="34" t="n"/>
      <c r="BU653" s="34" t="n"/>
      <c r="BV653" s="34" t="n"/>
      <c r="BW653" s="34" t="n"/>
      <c r="BX653" s="34" t="n"/>
      <c r="BY653" s="34" t="n"/>
      <c r="BZ653" s="34" t="n"/>
      <c r="CA653" s="34" t="n"/>
      <c r="CB653" s="33" t="n"/>
      <c r="CC653" s="34" t="n"/>
      <c r="CD653" s="34" t="n"/>
      <c r="CE653" s="82" t="n"/>
      <c r="CF653" s="34" t="n"/>
      <c r="CG653" s="34" t="n"/>
      <c r="CH653" s="34" t="n"/>
      <c r="CI653" s="34" t="n"/>
      <c r="CJ653" s="34" t="n"/>
    </row>
    <row r="654">
      <c r="A654" s="29" t="n"/>
      <c r="B654" s="29" t="n"/>
      <c r="C654" s="35" t="n"/>
      <c r="D654" s="36" t="n"/>
      <c r="E654" s="147" t="n"/>
      <c r="F654" s="30" t="n"/>
      <c r="G654" s="30" t="n"/>
      <c r="H654" s="30" t="n"/>
      <c r="I654" s="30" t="n"/>
      <c r="J654" s="119" t="n"/>
      <c r="K654" s="34" t="n"/>
      <c r="L654" s="119" t="n"/>
      <c r="M654" s="34" t="n"/>
      <c r="N654" s="119" t="n"/>
      <c r="O654" s="34" t="n"/>
      <c r="P654" s="34" t="n"/>
      <c r="Q654" s="117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  <c r="AA654" s="34" t="n"/>
      <c r="AB654" s="34" t="n"/>
      <c r="AC654" s="34" t="n"/>
      <c r="AD654" s="34" t="n"/>
      <c r="AE654" s="34" t="n"/>
      <c r="AF654" s="34" t="n"/>
      <c r="AG654" s="34" t="n"/>
      <c r="AH654" s="34" t="n"/>
      <c r="AK654" s="34" t="n"/>
      <c r="AL654" s="34" t="n"/>
      <c r="AM654" s="39" t="n"/>
      <c r="AN654" s="34" t="n"/>
      <c r="AO654" s="34" t="n"/>
      <c r="AP654" s="34" t="n"/>
      <c r="AQ654" s="34" t="n"/>
      <c r="AR654" s="34" t="n"/>
      <c r="AS654" s="34" t="n"/>
      <c r="AU654" s="34" t="n"/>
      <c r="AV654" s="34" t="n"/>
      <c r="AW654" s="34" t="n"/>
      <c r="AX654" s="34" t="n"/>
      <c r="AY654" s="34" t="n"/>
      <c r="AZ654" s="34" t="n"/>
      <c r="BA654" s="34" t="n"/>
      <c r="BB654" s="34" t="n"/>
      <c r="BC654" s="34" t="n"/>
      <c r="BD654" s="34" t="n"/>
      <c r="BE654" s="34" t="n"/>
      <c r="BF654" s="34" t="n"/>
      <c r="BG654" s="34" t="n"/>
      <c r="BH654" s="34" t="n"/>
      <c r="BI654" s="34" t="n"/>
      <c r="BJ654" s="34" t="n"/>
      <c r="BK654" s="34" t="n"/>
      <c r="BL654" s="34" t="n"/>
      <c r="BM654" s="34" t="n"/>
      <c r="BN654" s="34" t="n"/>
      <c r="BO654" s="34" t="n"/>
      <c r="BP654" s="34" t="n"/>
      <c r="BQ654" s="34" t="n"/>
      <c r="BR654" s="82" t="n"/>
      <c r="BS654" s="34" t="n"/>
      <c r="BT654" s="34" t="n"/>
      <c r="BU654" s="34" t="n"/>
      <c r="BV654" s="34" t="n"/>
      <c r="BW654" s="34" t="n"/>
      <c r="BX654" s="34" t="n"/>
      <c r="BY654" s="34" t="n"/>
      <c r="BZ654" s="34" t="n"/>
      <c r="CA654" s="34" t="n"/>
      <c r="CB654" s="33" t="n"/>
      <c r="CC654" s="34" t="n"/>
      <c r="CD654" s="34" t="n"/>
      <c r="CE654" s="82" t="n"/>
      <c r="CF654" s="34" t="n"/>
      <c r="CG654" s="34" t="n"/>
      <c r="CH654" s="34" t="n"/>
      <c r="CI654" s="34" t="n"/>
      <c r="CJ654" s="34" t="n"/>
    </row>
    <row r="655">
      <c r="A655" s="29" t="n"/>
      <c r="B655" s="29" t="n"/>
      <c r="C655" s="35" t="n"/>
      <c r="D655" s="36" t="n"/>
      <c r="E655" s="147" t="n"/>
      <c r="F655" s="30" t="n"/>
      <c r="G655" s="30" t="n"/>
      <c r="H655" s="30" t="n"/>
      <c r="I655" s="30" t="n"/>
      <c r="J655" s="119" t="n"/>
      <c r="K655" s="34" t="n"/>
      <c r="L655" s="119" t="n"/>
      <c r="M655" s="34" t="n"/>
      <c r="N655" s="119" t="n"/>
      <c r="O655" s="34" t="n"/>
      <c r="P655" s="34" t="n"/>
      <c r="Q655" s="117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  <c r="AA655" s="34" t="n"/>
      <c r="AB655" s="34" t="n"/>
      <c r="AC655" s="34" t="n"/>
      <c r="AD655" s="34" t="n"/>
      <c r="AE655" s="34" t="n"/>
      <c r="AF655" s="34" t="n"/>
      <c r="AG655" s="34" t="n"/>
      <c r="AH655" s="34" t="n"/>
      <c r="AK655" s="34" t="n"/>
      <c r="AL655" s="34" t="n"/>
      <c r="AM655" s="39" t="n"/>
      <c r="AN655" s="34" t="n"/>
      <c r="AO655" s="34" t="n"/>
      <c r="AP655" s="34" t="n"/>
      <c r="AQ655" s="34" t="n"/>
      <c r="AR655" s="34" t="n"/>
      <c r="AS655" s="34" t="n"/>
      <c r="AU655" s="34" t="n"/>
      <c r="AV655" s="34" t="n"/>
      <c r="AW655" s="34" t="n"/>
      <c r="AX655" s="34" t="n"/>
      <c r="AY655" s="34" t="n"/>
      <c r="AZ655" s="34" t="n"/>
      <c r="BA655" s="34" t="n"/>
      <c r="BB655" s="34" t="n"/>
      <c r="BC655" s="34" t="n"/>
      <c r="BD655" s="34" t="n"/>
      <c r="BE655" s="34" t="n"/>
      <c r="BF655" s="34" t="n"/>
      <c r="BG655" s="34" t="n"/>
      <c r="BH655" s="34" t="n"/>
      <c r="BI655" s="34" t="n"/>
      <c r="BJ655" s="34" t="n"/>
      <c r="BK655" s="34" t="n"/>
      <c r="BL655" s="34" t="n"/>
      <c r="BM655" s="34" t="n"/>
      <c r="BN655" s="34" t="n"/>
      <c r="BO655" s="34" t="n"/>
      <c r="BP655" s="34" t="n"/>
      <c r="BQ655" s="34" t="n"/>
      <c r="BR655" s="82" t="n"/>
      <c r="BS655" s="34" t="n"/>
      <c r="BT655" s="34" t="n"/>
      <c r="BU655" s="34" t="n"/>
      <c r="BV655" s="34" t="n"/>
      <c r="BW655" s="34" t="n"/>
      <c r="BX655" s="34" t="n"/>
      <c r="BY655" s="34" t="n"/>
      <c r="BZ655" s="34" t="n"/>
      <c r="CA655" s="34" t="n"/>
      <c r="CB655" s="33" t="n"/>
      <c r="CC655" s="34" t="n"/>
      <c r="CD655" s="34" t="n"/>
      <c r="CE655" s="82" t="n"/>
      <c r="CF655" s="34" t="n"/>
      <c r="CG655" s="34" t="n"/>
      <c r="CH655" s="34" t="n"/>
      <c r="CI655" s="34" t="n"/>
      <c r="CJ655" s="34" t="n"/>
    </row>
    <row r="656">
      <c r="A656" s="29" t="n"/>
      <c r="B656" s="29" t="n"/>
      <c r="C656" s="35" t="n"/>
      <c r="D656" s="36" t="n"/>
      <c r="E656" s="147" t="n"/>
      <c r="F656" s="30" t="n"/>
      <c r="G656" s="30" t="n"/>
      <c r="H656" s="30" t="n"/>
      <c r="I656" s="30" t="n"/>
      <c r="J656" s="119" t="n"/>
      <c r="K656" s="34" t="n"/>
      <c r="L656" s="119" t="n"/>
      <c r="M656" s="34" t="n"/>
      <c r="N656" s="119" t="n"/>
      <c r="O656" s="34" t="n"/>
      <c r="P656" s="34" t="n"/>
      <c r="Q656" s="117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  <c r="AA656" s="34" t="n"/>
      <c r="AB656" s="34" t="n"/>
      <c r="AC656" s="34" t="n"/>
      <c r="AD656" s="34" t="n"/>
      <c r="AE656" s="34" t="n"/>
      <c r="AF656" s="34" t="n"/>
      <c r="AG656" s="34" t="n"/>
      <c r="AH656" s="34" t="n"/>
      <c r="AK656" s="34" t="n"/>
      <c r="AL656" s="34" t="n"/>
      <c r="AM656" s="39" t="n"/>
      <c r="AN656" s="34" t="n"/>
      <c r="AO656" s="34" t="n"/>
      <c r="AP656" s="34" t="n"/>
      <c r="AQ656" s="34" t="n"/>
      <c r="AR656" s="34" t="n"/>
      <c r="AS656" s="34" t="n"/>
      <c r="AU656" s="34" t="n"/>
      <c r="AV656" s="34" t="n"/>
      <c r="AW656" s="34" t="n"/>
      <c r="AX656" s="34" t="n"/>
      <c r="AY656" s="34" t="n"/>
      <c r="AZ656" s="34" t="n"/>
      <c r="BA656" s="34" t="n"/>
      <c r="BB656" s="34" t="n"/>
      <c r="BC656" s="34" t="n"/>
      <c r="BD656" s="34" t="n"/>
      <c r="BE656" s="34" t="n"/>
      <c r="BF656" s="34" t="n"/>
      <c r="BG656" s="34" t="n"/>
      <c r="BH656" s="34" t="n"/>
      <c r="BI656" s="34" t="n"/>
      <c r="BJ656" s="34" t="n"/>
      <c r="BK656" s="34" t="n"/>
      <c r="BL656" s="34" t="n"/>
      <c r="BM656" s="34" t="n"/>
      <c r="BN656" s="34" t="n"/>
      <c r="BO656" s="34" t="n"/>
      <c r="BP656" s="34" t="n"/>
      <c r="BQ656" s="34" t="n"/>
      <c r="BR656" s="82" t="n"/>
      <c r="BS656" s="34" t="n"/>
      <c r="BT656" s="34" t="n"/>
      <c r="BU656" s="34" t="n"/>
      <c r="BV656" s="34" t="n"/>
      <c r="BW656" s="34" t="n"/>
      <c r="BX656" s="34" t="n"/>
      <c r="BY656" s="34" t="n"/>
      <c r="BZ656" s="34" t="n"/>
      <c r="CA656" s="34" t="n"/>
      <c r="CB656" s="33" t="n"/>
      <c r="CC656" s="34" t="n"/>
      <c r="CD656" s="34" t="n"/>
      <c r="CE656" s="82" t="n"/>
      <c r="CF656" s="34" t="n"/>
      <c r="CG656" s="34" t="n"/>
      <c r="CH656" s="34" t="n"/>
      <c r="CI656" s="34" t="n"/>
      <c r="CJ656" s="34" t="n"/>
    </row>
    <row r="657">
      <c r="A657" s="29" t="n"/>
      <c r="B657" s="29" t="n"/>
      <c r="C657" s="35" t="n"/>
      <c r="D657" s="36" t="n"/>
      <c r="E657" s="147" t="n"/>
      <c r="F657" s="30" t="n"/>
      <c r="G657" s="30" t="n"/>
      <c r="H657" s="30" t="n"/>
      <c r="I657" s="30" t="n"/>
      <c r="J657" s="119" t="n"/>
      <c r="K657" s="34" t="n"/>
      <c r="L657" s="119" t="n"/>
      <c r="M657" s="34" t="n"/>
      <c r="N657" s="119" t="n"/>
      <c r="O657" s="34" t="n"/>
      <c r="P657" s="34" t="n"/>
      <c r="Q657" s="117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  <c r="AA657" s="34" t="n"/>
      <c r="AB657" s="34" t="n"/>
      <c r="AC657" s="34" t="n"/>
      <c r="AD657" s="34" t="n"/>
      <c r="AE657" s="34" t="n"/>
      <c r="AF657" s="34" t="n"/>
      <c r="AG657" s="34" t="n"/>
      <c r="AH657" s="34" t="n"/>
      <c r="AK657" s="34" t="n"/>
      <c r="AL657" s="34" t="n"/>
      <c r="AM657" s="39" t="n"/>
      <c r="AN657" s="34" t="n"/>
      <c r="AO657" s="34" t="n"/>
      <c r="AP657" s="34" t="n"/>
      <c r="AQ657" s="34" t="n"/>
      <c r="AR657" s="34" t="n"/>
      <c r="AS657" s="34" t="n"/>
      <c r="AU657" s="34" t="n"/>
      <c r="AV657" s="34" t="n"/>
      <c r="AW657" s="34" t="n"/>
      <c r="AX657" s="34" t="n"/>
      <c r="AY657" s="34" t="n"/>
      <c r="AZ657" s="34" t="n"/>
      <c r="BA657" s="34" t="n"/>
      <c r="BB657" s="34" t="n"/>
      <c r="BC657" s="34" t="n"/>
      <c r="BD657" s="34" t="n"/>
      <c r="BE657" s="34" t="n"/>
      <c r="BF657" s="34" t="n"/>
      <c r="BG657" s="34" t="n"/>
      <c r="BH657" s="34" t="n"/>
      <c r="BI657" s="34" t="n"/>
      <c r="BJ657" s="34" t="n"/>
      <c r="BK657" s="34" t="n"/>
      <c r="BL657" s="34" t="n"/>
      <c r="BM657" s="34" t="n"/>
      <c r="BN657" s="34" t="n"/>
      <c r="BO657" s="34" t="n"/>
      <c r="BP657" s="34" t="n"/>
      <c r="BQ657" s="34" t="n"/>
      <c r="BR657" s="82" t="n"/>
      <c r="BS657" s="34" t="n"/>
      <c r="BT657" s="34" t="n"/>
      <c r="BU657" s="34" t="n"/>
      <c r="BV657" s="34" t="n"/>
      <c r="BW657" s="34" t="n"/>
      <c r="BX657" s="34" t="n"/>
      <c r="BY657" s="34" t="n"/>
      <c r="BZ657" s="34" t="n"/>
      <c r="CA657" s="34" t="n"/>
      <c r="CB657" s="33" t="n"/>
      <c r="CC657" s="34" t="n"/>
      <c r="CD657" s="34" t="n"/>
      <c r="CE657" s="82" t="n"/>
      <c r="CF657" s="34" t="n"/>
      <c r="CG657" s="34" t="n"/>
      <c r="CH657" s="34" t="n"/>
      <c r="CI657" s="34" t="n"/>
      <c r="CJ657" s="34" t="n"/>
    </row>
    <row r="658">
      <c r="A658" s="29" t="n"/>
      <c r="B658" s="29" t="n"/>
      <c r="C658" s="35" t="n"/>
      <c r="D658" s="36" t="n"/>
      <c r="E658" s="147" t="n"/>
      <c r="F658" s="30" t="n"/>
      <c r="G658" s="30" t="n"/>
      <c r="H658" s="30" t="n"/>
      <c r="I658" s="30" t="n"/>
      <c r="J658" s="119" t="n"/>
      <c r="K658" s="34" t="n"/>
      <c r="L658" s="119" t="n"/>
      <c r="M658" s="34" t="n"/>
      <c r="N658" s="119" t="n"/>
      <c r="O658" s="34" t="n"/>
      <c r="P658" s="34" t="n"/>
      <c r="Q658" s="117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  <c r="AA658" s="34" t="n"/>
      <c r="AB658" s="34" t="n"/>
      <c r="AC658" s="34" t="n"/>
      <c r="AD658" s="34" t="n"/>
      <c r="AE658" s="34" t="n"/>
      <c r="AF658" s="34" t="n"/>
      <c r="AG658" s="34" t="n"/>
      <c r="AH658" s="34" t="n"/>
      <c r="AK658" s="34" t="n"/>
      <c r="AL658" s="34" t="n"/>
      <c r="AM658" s="39" t="n"/>
      <c r="AN658" s="34" t="n"/>
      <c r="AO658" s="34" t="n"/>
      <c r="AP658" s="34" t="n"/>
      <c r="AQ658" s="34" t="n"/>
      <c r="AR658" s="34" t="n"/>
      <c r="AS658" s="34" t="n"/>
      <c r="AU658" s="34" t="n"/>
      <c r="AV658" s="34" t="n"/>
      <c r="AW658" s="34" t="n"/>
      <c r="AX658" s="34" t="n"/>
      <c r="AY658" s="34" t="n"/>
      <c r="AZ658" s="34" t="n"/>
      <c r="BA658" s="34" t="n"/>
      <c r="BB658" s="34" t="n"/>
      <c r="BC658" s="34" t="n"/>
      <c r="BD658" s="34" t="n"/>
      <c r="BE658" s="34" t="n"/>
      <c r="BF658" s="34" t="n"/>
      <c r="BG658" s="34" t="n"/>
      <c r="BH658" s="34" t="n"/>
      <c r="BI658" s="34" t="n"/>
      <c r="BJ658" s="34" t="n"/>
      <c r="BK658" s="34" t="n"/>
      <c r="BL658" s="34" t="n"/>
      <c r="BM658" s="34" t="n"/>
      <c r="BN658" s="34" t="n"/>
      <c r="BO658" s="34" t="n"/>
      <c r="BP658" s="34" t="n"/>
      <c r="BQ658" s="34" t="n"/>
      <c r="BR658" s="82" t="n"/>
      <c r="BS658" s="34" t="n"/>
      <c r="BT658" s="34" t="n"/>
      <c r="BU658" s="34" t="n"/>
      <c r="BV658" s="34" t="n"/>
      <c r="BW658" s="34" t="n"/>
      <c r="BX658" s="34" t="n"/>
      <c r="BY658" s="34" t="n"/>
      <c r="BZ658" s="34" t="n"/>
      <c r="CA658" s="34" t="n"/>
      <c r="CB658" s="33" t="n"/>
      <c r="CC658" s="34" t="n"/>
      <c r="CD658" s="34" t="n"/>
      <c r="CE658" s="82" t="n"/>
      <c r="CF658" s="34" t="n"/>
      <c r="CG658" s="34" t="n"/>
      <c r="CH658" s="34" t="n"/>
      <c r="CI658" s="34" t="n"/>
      <c r="CJ658" s="34" t="n"/>
    </row>
    <row r="659">
      <c r="A659" s="29" t="n"/>
      <c r="B659" s="29" t="n"/>
      <c r="C659" s="35" t="n"/>
      <c r="D659" s="36" t="n"/>
      <c r="E659" s="147" t="n"/>
      <c r="F659" s="30" t="n"/>
      <c r="G659" s="30" t="n"/>
      <c r="H659" s="30" t="n"/>
      <c r="I659" s="30" t="n"/>
      <c r="J659" s="119" t="n"/>
      <c r="K659" s="34" t="n"/>
      <c r="L659" s="119" t="n"/>
      <c r="M659" s="34" t="n"/>
      <c r="N659" s="119" t="n"/>
      <c r="O659" s="34" t="n"/>
      <c r="P659" s="34" t="n"/>
      <c r="Q659" s="117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  <c r="AA659" s="34" t="n"/>
      <c r="AB659" s="34" t="n"/>
      <c r="AC659" s="34" t="n"/>
      <c r="AD659" s="34" t="n"/>
      <c r="AE659" s="34" t="n"/>
      <c r="AF659" s="34" t="n"/>
      <c r="AG659" s="34" t="n"/>
      <c r="AH659" s="34" t="n"/>
      <c r="AK659" s="34" t="n"/>
      <c r="AL659" s="34" t="n"/>
      <c r="AM659" s="39" t="n"/>
      <c r="AN659" s="34" t="n"/>
      <c r="AO659" s="34" t="n"/>
      <c r="AP659" s="34" t="n"/>
      <c r="AQ659" s="34" t="n"/>
      <c r="AR659" s="34" t="n"/>
      <c r="AS659" s="34" t="n"/>
      <c r="AU659" s="34" t="n"/>
      <c r="AV659" s="34" t="n"/>
      <c r="AW659" s="34" t="n"/>
      <c r="AX659" s="34" t="n"/>
      <c r="AY659" s="34" t="n"/>
      <c r="AZ659" s="34" t="n"/>
      <c r="BA659" s="34" t="n"/>
      <c r="BB659" s="34" t="n"/>
      <c r="BC659" s="34" t="n"/>
      <c r="BD659" s="34" t="n"/>
      <c r="BE659" s="34" t="n"/>
      <c r="BF659" s="34" t="n"/>
      <c r="BG659" s="34" t="n"/>
      <c r="BH659" s="34" t="n"/>
      <c r="BI659" s="34" t="n"/>
      <c r="BJ659" s="34" t="n"/>
      <c r="BK659" s="34" t="n"/>
      <c r="BL659" s="34" t="n"/>
      <c r="BM659" s="34" t="n"/>
      <c r="BN659" s="34" t="n"/>
      <c r="BO659" s="34" t="n"/>
      <c r="BP659" s="34" t="n"/>
      <c r="BQ659" s="34" t="n"/>
      <c r="BR659" s="82" t="n"/>
      <c r="BS659" s="34" t="n"/>
      <c r="BT659" s="34" t="n"/>
      <c r="BU659" s="34" t="n"/>
      <c r="BV659" s="34" t="n"/>
      <c r="BW659" s="34" t="n"/>
      <c r="BX659" s="34" t="n"/>
      <c r="BY659" s="34" t="n"/>
      <c r="BZ659" s="34" t="n"/>
      <c r="CA659" s="34" t="n"/>
      <c r="CB659" s="33" t="n"/>
      <c r="CC659" s="34" t="n"/>
      <c r="CD659" s="34" t="n"/>
      <c r="CE659" s="82" t="n"/>
      <c r="CF659" s="34" t="n"/>
      <c r="CG659" s="34" t="n"/>
      <c r="CH659" s="34" t="n"/>
      <c r="CI659" s="34" t="n"/>
      <c r="CJ659" s="34" t="n"/>
    </row>
    <row r="660">
      <c r="A660" s="29" t="n"/>
      <c r="B660" s="29" t="n"/>
      <c r="C660" s="35" t="n"/>
      <c r="D660" s="36" t="n"/>
      <c r="E660" s="147" t="n"/>
      <c r="F660" s="30" t="n"/>
      <c r="G660" s="30" t="n"/>
      <c r="H660" s="30" t="n"/>
      <c r="I660" s="30" t="n"/>
      <c r="J660" s="119" t="n"/>
      <c r="K660" s="34" t="n"/>
      <c r="L660" s="119" t="n"/>
      <c r="M660" s="34" t="n"/>
      <c r="N660" s="119" t="n"/>
      <c r="O660" s="34" t="n"/>
      <c r="P660" s="34" t="n"/>
      <c r="Q660" s="117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  <c r="AA660" s="34" t="n"/>
      <c r="AB660" s="34" t="n"/>
      <c r="AC660" s="34" t="n"/>
      <c r="AD660" s="34" t="n"/>
      <c r="AE660" s="34" t="n"/>
      <c r="AF660" s="34" t="n"/>
      <c r="AG660" s="34" t="n"/>
      <c r="AH660" s="34" t="n"/>
      <c r="AK660" s="34" t="n"/>
      <c r="AL660" s="34" t="n"/>
      <c r="AM660" s="39" t="n"/>
      <c r="AN660" s="34" t="n"/>
      <c r="AO660" s="34" t="n"/>
      <c r="AP660" s="34" t="n"/>
      <c r="AQ660" s="34" t="n"/>
      <c r="AR660" s="34" t="n"/>
      <c r="AS660" s="34" t="n"/>
      <c r="AU660" s="34" t="n"/>
      <c r="AV660" s="34" t="n"/>
      <c r="AW660" s="34" t="n"/>
      <c r="AX660" s="34" t="n"/>
      <c r="AY660" s="34" t="n"/>
      <c r="AZ660" s="34" t="n"/>
      <c r="BA660" s="34" t="n"/>
      <c r="BB660" s="34" t="n"/>
      <c r="BC660" s="34" t="n"/>
      <c r="BD660" s="34" t="n"/>
      <c r="BE660" s="34" t="n"/>
      <c r="BF660" s="34" t="n"/>
      <c r="BG660" s="34" t="n"/>
      <c r="BH660" s="34" t="n"/>
      <c r="BI660" s="34" t="n"/>
      <c r="BJ660" s="34" t="n"/>
      <c r="BK660" s="34" t="n"/>
      <c r="BL660" s="34" t="n"/>
      <c r="BM660" s="34" t="n"/>
      <c r="BN660" s="34" t="n"/>
      <c r="BO660" s="34" t="n"/>
      <c r="BP660" s="34" t="n"/>
      <c r="BQ660" s="34" t="n"/>
      <c r="BR660" s="82" t="n"/>
      <c r="BS660" s="34" t="n"/>
      <c r="BT660" s="34" t="n"/>
      <c r="BU660" s="34" t="n"/>
      <c r="BV660" s="34" t="n"/>
      <c r="BW660" s="34" t="n"/>
      <c r="BX660" s="34" t="n"/>
      <c r="BY660" s="34" t="n"/>
      <c r="BZ660" s="34" t="n"/>
      <c r="CA660" s="34" t="n"/>
      <c r="CB660" s="33" t="n"/>
      <c r="CC660" s="34" t="n"/>
      <c r="CD660" s="34" t="n"/>
      <c r="CE660" s="82" t="n"/>
      <c r="CF660" s="34" t="n"/>
      <c r="CG660" s="34" t="n"/>
      <c r="CH660" s="34" t="n"/>
      <c r="CI660" s="34" t="n"/>
      <c r="CJ660" s="34" t="n"/>
    </row>
    <row r="661">
      <c r="A661" s="29" t="n"/>
      <c r="B661" s="29" t="n"/>
      <c r="C661" s="35" t="n"/>
      <c r="D661" s="36" t="n"/>
      <c r="E661" s="147" t="n"/>
      <c r="F661" s="30" t="n"/>
      <c r="G661" s="30" t="n"/>
      <c r="H661" s="30" t="n"/>
      <c r="I661" s="30" t="n"/>
      <c r="J661" s="119" t="n"/>
      <c r="K661" s="34" t="n"/>
      <c r="L661" s="119" t="n"/>
      <c r="M661" s="34" t="n"/>
      <c r="N661" s="119" t="n"/>
      <c r="O661" s="34" t="n"/>
      <c r="P661" s="34" t="n"/>
      <c r="Q661" s="117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  <c r="AA661" s="34" t="n"/>
      <c r="AB661" s="34" t="n"/>
      <c r="AC661" s="34" t="n"/>
      <c r="AD661" s="34" t="n"/>
      <c r="AE661" s="34" t="n"/>
      <c r="AF661" s="34" t="n"/>
      <c r="AG661" s="34" t="n"/>
      <c r="AH661" s="34" t="n"/>
      <c r="AK661" s="34" t="n"/>
      <c r="AL661" s="34" t="n"/>
      <c r="AM661" s="39" t="n"/>
      <c r="AN661" s="34" t="n"/>
      <c r="AO661" s="34" t="n"/>
      <c r="AP661" s="34" t="n"/>
      <c r="AQ661" s="34" t="n"/>
      <c r="AR661" s="34" t="n"/>
      <c r="AS661" s="34" t="n"/>
      <c r="AU661" s="34" t="n"/>
      <c r="AV661" s="34" t="n"/>
      <c r="AW661" s="34" t="n"/>
      <c r="AX661" s="34" t="n"/>
      <c r="AY661" s="34" t="n"/>
      <c r="AZ661" s="34" t="n"/>
      <c r="BA661" s="34" t="n"/>
      <c r="BB661" s="34" t="n"/>
      <c r="BC661" s="34" t="n"/>
      <c r="BD661" s="34" t="n"/>
      <c r="BE661" s="34" t="n"/>
      <c r="BF661" s="34" t="n"/>
      <c r="BG661" s="34" t="n"/>
      <c r="BH661" s="34" t="n"/>
      <c r="BI661" s="34" t="n"/>
      <c r="BJ661" s="34" t="n"/>
      <c r="BK661" s="34" t="n"/>
      <c r="BL661" s="34" t="n"/>
      <c r="BM661" s="34" t="n"/>
      <c r="BN661" s="34" t="n"/>
      <c r="BO661" s="34" t="n"/>
      <c r="BP661" s="34" t="n"/>
      <c r="BQ661" s="34" t="n"/>
      <c r="BR661" s="82" t="n"/>
      <c r="BS661" s="34" t="n"/>
      <c r="BT661" s="34" t="n"/>
      <c r="BU661" s="34" t="n"/>
      <c r="BV661" s="34" t="n"/>
      <c r="BW661" s="34" t="n"/>
      <c r="BX661" s="34" t="n"/>
      <c r="BY661" s="34" t="n"/>
      <c r="BZ661" s="34" t="n"/>
      <c r="CA661" s="34" t="n"/>
      <c r="CB661" s="33" t="n"/>
      <c r="CC661" s="34" t="n"/>
      <c r="CD661" s="34" t="n"/>
      <c r="CE661" s="82" t="n"/>
      <c r="CF661" s="34" t="n"/>
      <c r="CG661" s="34" t="n"/>
      <c r="CH661" s="34" t="n"/>
      <c r="CI661" s="34" t="n"/>
      <c r="CJ661" s="34" t="n"/>
    </row>
    <row r="662">
      <c r="A662" s="29" t="n"/>
      <c r="B662" s="29" t="n"/>
      <c r="C662" s="35" t="n"/>
      <c r="D662" s="36" t="n"/>
      <c r="E662" s="147" t="n"/>
      <c r="F662" s="30" t="n"/>
      <c r="G662" s="30" t="n"/>
      <c r="H662" s="30" t="n"/>
      <c r="I662" s="30" t="n"/>
      <c r="J662" s="119" t="n"/>
      <c r="K662" s="34" t="n"/>
      <c r="L662" s="119" t="n"/>
      <c r="M662" s="34" t="n"/>
      <c r="N662" s="119" t="n"/>
      <c r="O662" s="34" t="n"/>
      <c r="P662" s="34" t="n"/>
      <c r="Q662" s="117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  <c r="AA662" s="34" t="n"/>
      <c r="AB662" s="34" t="n"/>
      <c r="AC662" s="34" t="n"/>
      <c r="AD662" s="34" t="n"/>
      <c r="AE662" s="34" t="n"/>
      <c r="AF662" s="34" t="n"/>
      <c r="AG662" s="34" t="n"/>
      <c r="AH662" s="34" t="n"/>
      <c r="AK662" s="34" t="n"/>
      <c r="AL662" s="34" t="n"/>
      <c r="AM662" s="39" t="n"/>
      <c r="AN662" s="34" t="n"/>
      <c r="AO662" s="34" t="n"/>
      <c r="AP662" s="34" t="n"/>
      <c r="AQ662" s="34" t="n"/>
      <c r="AR662" s="34" t="n"/>
      <c r="AS662" s="34" t="n"/>
      <c r="AU662" s="34" t="n"/>
      <c r="AV662" s="34" t="n"/>
      <c r="AW662" s="34" t="n"/>
      <c r="AX662" s="34" t="n"/>
      <c r="AY662" s="34" t="n"/>
      <c r="AZ662" s="34" t="n"/>
      <c r="BA662" s="34" t="n"/>
      <c r="BB662" s="34" t="n"/>
      <c r="BC662" s="34" t="n"/>
      <c r="BD662" s="34" t="n"/>
      <c r="BE662" s="34" t="n"/>
      <c r="BF662" s="34" t="n"/>
      <c r="BG662" s="34" t="n"/>
      <c r="BH662" s="34" t="n"/>
      <c r="BI662" s="34" t="n"/>
      <c r="BJ662" s="34" t="n"/>
      <c r="BK662" s="34" t="n"/>
      <c r="BL662" s="34" t="n"/>
      <c r="BM662" s="34" t="n"/>
      <c r="BN662" s="34" t="n"/>
      <c r="BO662" s="34" t="n"/>
      <c r="BP662" s="34" t="n"/>
      <c r="BQ662" s="34" t="n"/>
      <c r="BR662" s="82" t="n"/>
      <c r="BS662" s="34" t="n"/>
      <c r="BT662" s="34" t="n"/>
      <c r="BU662" s="34" t="n"/>
      <c r="BV662" s="34" t="n"/>
      <c r="BW662" s="34" t="n"/>
      <c r="BX662" s="34" t="n"/>
      <c r="BY662" s="34" t="n"/>
      <c r="BZ662" s="34" t="n"/>
      <c r="CA662" s="34" t="n"/>
      <c r="CB662" s="33" t="n"/>
      <c r="CC662" s="34" t="n"/>
      <c r="CD662" s="34" t="n"/>
      <c r="CE662" s="82" t="n"/>
      <c r="CF662" s="34" t="n"/>
      <c r="CG662" s="34" t="n"/>
      <c r="CH662" s="34" t="n"/>
      <c r="CI662" s="34" t="n"/>
      <c r="CJ662" s="34" t="n"/>
    </row>
    <row r="663">
      <c r="A663" s="29" t="n"/>
      <c r="B663" s="29" t="n"/>
      <c r="C663" s="35" t="n"/>
      <c r="D663" s="36" t="n"/>
      <c r="E663" s="147" t="n"/>
      <c r="F663" s="30" t="n"/>
      <c r="G663" s="30" t="n"/>
      <c r="H663" s="30" t="n"/>
      <c r="I663" s="30" t="n"/>
      <c r="J663" s="119" t="n"/>
      <c r="K663" s="34" t="n"/>
      <c r="L663" s="119" t="n"/>
      <c r="M663" s="34" t="n"/>
      <c r="N663" s="119" t="n"/>
      <c r="O663" s="34" t="n"/>
      <c r="P663" s="34" t="n"/>
      <c r="Q663" s="117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  <c r="AA663" s="34" t="n"/>
      <c r="AB663" s="34" t="n"/>
      <c r="AC663" s="34" t="n"/>
      <c r="AD663" s="34" t="n"/>
      <c r="AE663" s="34" t="n"/>
      <c r="AF663" s="34" t="n"/>
      <c r="AG663" s="34" t="n"/>
      <c r="AH663" s="34" t="n"/>
      <c r="AK663" s="34" t="n"/>
      <c r="AL663" s="34" t="n"/>
      <c r="AM663" s="39" t="n"/>
      <c r="AN663" s="34" t="n"/>
      <c r="AO663" s="34" t="n"/>
      <c r="AP663" s="34" t="n"/>
      <c r="AQ663" s="34" t="n"/>
      <c r="AR663" s="34" t="n"/>
      <c r="AS663" s="34" t="n"/>
      <c r="AU663" s="34" t="n"/>
      <c r="AV663" s="34" t="n"/>
      <c r="AW663" s="34" t="n"/>
      <c r="AX663" s="34" t="n"/>
      <c r="AY663" s="34" t="n"/>
      <c r="AZ663" s="34" t="n"/>
      <c r="BA663" s="34" t="n"/>
      <c r="BB663" s="34" t="n"/>
      <c r="BC663" s="34" t="n"/>
      <c r="BD663" s="34" t="n"/>
      <c r="BE663" s="34" t="n"/>
      <c r="BF663" s="34" t="n"/>
      <c r="BG663" s="34" t="n"/>
      <c r="BH663" s="34" t="n"/>
      <c r="BI663" s="34" t="n"/>
      <c r="BJ663" s="34" t="n"/>
      <c r="BK663" s="34" t="n"/>
      <c r="BL663" s="34" t="n"/>
      <c r="BM663" s="34" t="n"/>
      <c r="BN663" s="34" t="n"/>
      <c r="BO663" s="34" t="n"/>
      <c r="BP663" s="34" t="n"/>
      <c r="BQ663" s="34" t="n"/>
      <c r="BR663" s="82" t="n"/>
      <c r="BS663" s="34" t="n"/>
      <c r="BT663" s="34" t="n"/>
      <c r="BU663" s="34" t="n"/>
      <c r="BV663" s="34" t="n"/>
      <c r="BW663" s="34" t="n"/>
      <c r="BX663" s="34" t="n"/>
      <c r="BY663" s="34" t="n"/>
      <c r="BZ663" s="34" t="n"/>
      <c r="CA663" s="34" t="n"/>
      <c r="CB663" s="33" t="n"/>
      <c r="CC663" s="34" t="n"/>
      <c r="CD663" s="34" t="n"/>
      <c r="CE663" s="82" t="n"/>
      <c r="CF663" s="34" t="n"/>
      <c r="CG663" s="34" t="n"/>
      <c r="CH663" s="34" t="n"/>
      <c r="CI663" s="34" t="n"/>
      <c r="CJ663" s="34" t="n"/>
    </row>
    <row r="664">
      <c r="A664" s="29" t="n"/>
      <c r="B664" s="29" t="n"/>
      <c r="C664" s="35" t="n"/>
      <c r="D664" s="36" t="n"/>
      <c r="E664" s="147" t="n"/>
      <c r="F664" s="30" t="n"/>
      <c r="G664" s="30" t="n"/>
      <c r="H664" s="30" t="n"/>
      <c r="I664" s="30" t="n"/>
      <c r="J664" s="119" t="n"/>
      <c r="K664" s="34" t="n"/>
      <c r="L664" s="119" t="n"/>
      <c r="M664" s="34" t="n"/>
      <c r="N664" s="119" t="n"/>
      <c r="O664" s="34" t="n"/>
      <c r="P664" s="34" t="n"/>
      <c r="Q664" s="117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  <c r="AA664" s="34" t="n"/>
      <c r="AB664" s="34" t="n"/>
      <c r="AC664" s="34" t="n"/>
      <c r="AD664" s="34" t="n"/>
      <c r="AE664" s="34" t="n"/>
      <c r="AF664" s="34" t="n"/>
      <c r="AG664" s="34" t="n"/>
      <c r="AH664" s="34" t="n"/>
      <c r="AK664" s="34" t="n"/>
      <c r="AL664" s="34" t="n"/>
      <c r="AM664" s="39" t="n"/>
      <c r="AN664" s="34" t="n"/>
      <c r="AO664" s="34" t="n"/>
      <c r="AP664" s="34" t="n"/>
      <c r="AQ664" s="34" t="n"/>
      <c r="AR664" s="34" t="n"/>
      <c r="AS664" s="34" t="n"/>
      <c r="AU664" s="34" t="n"/>
      <c r="AV664" s="34" t="n"/>
      <c r="AW664" s="34" t="n"/>
      <c r="AX664" s="34" t="n"/>
      <c r="AY664" s="34" t="n"/>
      <c r="AZ664" s="34" t="n"/>
      <c r="BA664" s="34" t="n"/>
      <c r="BB664" s="34" t="n"/>
      <c r="BC664" s="34" t="n"/>
      <c r="BD664" s="34" t="n"/>
      <c r="BE664" s="34" t="n"/>
      <c r="BF664" s="34" t="n"/>
      <c r="BG664" s="34" t="n"/>
      <c r="BH664" s="34" t="n"/>
      <c r="BI664" s="34" t="n"/>
      <c r="BJ664" s="34" t="n"/>
      <c r="BK664" s="34" t="n"/>
      <c r="BL664" s="34" t="n"/>
      <c r="BM664" s="34" t="n"/>
      <c r="BN664" s="34" t="n"/>
      <c r="BO664" s="34" t="n"/>
      <c r="BP664" s="34" t="n"/>
      <c r="BQ664" s="34" t="n"/>
      <c r="BR664" s="82" t="n"/>
      <c r="BS664" s="34" t="n"/>
      <c r="BT664" s="34" t="n"/>
      <c r="BU664" s="34" t="n"/>
      <c r="BV664" s="34" t="n"/>
      <c r="BW664" s="34" t="n"/>
      <c r="BX664" s="34" t="n"/>
      <c r="BY664" s="34" t="n"/>
      <c r="BZ664" s="34" t="n"/>
      <c r="CA664" s="34" t="n"/>
      <c r="CB664" s="33" t="n"/>
      <c r="CC664" s="34" t="n"/>
      <c r="CD664" s="34" t="n"/>
      <c r="CE664" s="82" t="n"/>
      <c r="CF664" s="34" t="n"/>
      <c r="CG664" s="34" t="n"/>
      <c r="CH664" s="34" t="n"/>
      <c r="CI664" s="34" t="n"/>
      <c r="CJ664" s="34" t="n"/>
    </row>
    <row r="665">
      <c r="A665" s="29" t="n"/>
      <c r="B665" s="29" t="n"/>
      <c r="C665" s="35" t="n"/>
      <c r="D665" s="36" t="n"/>
      <c r="E665" s="147" t="n"/>
      <c r="F665" s="30" t="n"/>
      <c r="G665" s="30" t="n"/>
      <c r="H665" s="30" t="n"/>
      <c r="I665" s="30" t="n"/>
      <c r="J665" s="119" t="n"/>
      <c r="K665" s="34" t="n"/>
      <c r="L665" s="119" t="n"/>
      <c r="M665" s="34" t="n"/>
      <c r="N665" s="119" t="n"/>
      <c r="O665" s="34" t="n"/>
      <c r="P665" s="34" t="n"/>
      <c r="Q665" s="117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  <c r="AA665" s="34" t="n"/>
      <c r="AB665" s="34" t="n"/>
      <c r="AC665" s="34" t="n"/>
      <c r="AD665" s="34" t="n"/>
      <c r="AE665" s="34" t="n"/>
      <c r="AF665" s="34" t="n"/>
      <c r="AG665" s="34" t="n"/>
      <c r="AH665" s="34" t="n"/>
      <c r="AK665" s="34" t="n"/>
      <c r="AL665" s="34" t="n"/>
      <c r="AM665" s="39" t="n"/>
      <c r="AN665" s="34" t="n"/>
      <c r="AO665" s="34" t="n"/>
      <c r="AP665" s="34" t="n"/>
      <c r="AQ665" s="34" t="n"/>
      <c r="AR665" s="34" t="n"/>
      <c r="AS665" s="34" t="n"/>
      <c r="AU665" s="34" t="n"/>
      <c r="AV665" s="34" t="n"/>
      <c r="AW665" s="34" t="n"/>
      <c r="AX665" s="34" t="n"/>
      <c r="AY665" s="34" t="n"/>
      <c r="AZ665" s="34" t="n"/>
      <c r="BA665" s="34" t="n"/>
      <c r="BB665" s="34" t="n"/>
      <c r="BC665" s="34" t="n"/>
      <c r="BD665" s="34" t="n"/>
      <c r="BE665" s="34" t="n"/>
      <c r="BF665" s="34" t="n"/>
      <c r="BG665" s="34" t="n"/>
      <c r="BH665" s="34" t="n"/>
      <c r="BI665" s="34" t="n"/>
      <c r="BJ665" s="34" t="n"/>
      <c r="BK665" s="34" t="n"/>
      <c r="BL665" s="34" t="n"/>
      <c r="BM665" s="34" t="n"/>
      <c r="BN665" s="34" t="n"/>
      <c r="BO665" s="34" t="n"/>
      <c r="BP665" s="34" t="n"/>
      <c r="BQ665" s="34" t="n"/>
      <c r="BR665" s="82" t="n"/>
      <c r="BS665" s="34" t="n"/>
      <c r="BT665" s="34" t="n"/>
      <c r="BU665" s="34" t="n"/>
      <c r="BV665" s="34" t="n"/>
      <c r="BW665" s="34" t="n"/>
      <c r="BX665" s="34" t="n"/>
      <c r="BY665" s="34" t="n"/>
      <c r="BZ665" s="34" t="n"/>
      <c r="CA665" s="34" t="n"/>
      <c r="CB665" s="33" t="n"/>
      <c r="CC665" s="34" t="n"/>
      <c r="CD665" s="34" t="n"/>
      <c r="CE665" s="82" t="n"/>
      <c r="CF665" s="34" t="n"/>
      <c r="CG665" s="34" t="n"/>
      <c r="CH665" s="34" t="n"/>
      <c r="CI665" s="34" t="n"/>
      <c r="CJ665" s="34" t="n"/>
    </row>
    <row r="666">
      <c r="A666" s="29" t="n"/>
      <c r="B666" s="29" t="n"/>
      <c r="C666" s="35" t="n"/>
      <c r="D666" s="36" t="n"/>
      <c r="E666" s="147" t="n"/>
      <c r="F666" s="30" t="n"/>
      <c r="G666" s="30" t="n"/>
      <c r="H666" s="30" t="n"/>
      <c r="I666" s="30" t="n"/>
      <c r="J666" s="119" t="n"/>
      <c r="K666" s="34" t="n"/>
      <c r="L666" s="119" t="n"/>
      <c r="M666" s="34" t="n"/>
      <c r="N666" s="119" t="n"/>
      <c r="O666" s="34" t="n"/>
      <c r="P666" s="34" t="n"/>
      <c r="Q666" s="117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  <c r="AA666" s="34" t="n"/>
      <c r="AB666" s="34" t="n"/>
      <c r="AC666" s="34" t="n"/>
      <c r="AD666" s="34" t="n"/>
      <c r="AE666" s="34" t="n"/>
      <c r="AF666" s="34" t="n"/>
      <c r="AG666" s="34" t="n"/>
      <c r="AH666" s="34" t="n"/>
      <c r="AK666" s="34" t="n"/>
      <c r="AL666" s="34" t="n"/>
      <c r="AM666" s="39" t="n"/>
      <c r="AN666" s="34" t="n"/>
      <c r="AO666" s="34" t="n"/>
      <c r="AP666" s="34" t="n"/>
      <c r="AQ666" s="34" t="n"/>
      <c r="AR666" s="34" t="n"/>
      <c r="AS666" s="34" t="n"/>
      <c r="AU666" s="34" t="n"/>
      <c r="AV666" s="34" t="n"/>
      <c r="AW666" s="34" t="n"/>
      <c r="AX666" s="34" t="n"/>
      <c r="AY666" s="34" t="n"/>
      <c r="AZ666" s="34" t="n"/>
      <c r="BA666" s="34" t="n"/>
      <c r="BB666" s="34" t="n"/>
      <c r="BC666" s="34" t="n"/>
      <c r="BD666" s="34" t="n"/>
      <c r="BE666" s="34" t="n"/>
      <c r="BF666" s="34" t="n"/>
      <c r="BG666" s="34" t="n"/>
      <c r="BH666" s="34" t="n"/>
      <c r="BI666" s="34" t="n"/>
      <c r="BJ666" s="34" t="n"/>
      <c r="BK666" s="34" t="n"/>
      <c r="BL666" s="34" t="n"/>
      <c r="BM666" s="34" t="n"/>
      <c r="BN666" s="34" t="n"/>
      <c r="BO666" s="34" t="n"/>
      <c r="BP666" s="34" t="n"/>
      <c r="BQ666" s="34" t="n"/>
      <c r="BR666" s="82" t="n"/>
      <c r="BS666" s="34" t="n"/>
      <c r="BT666" s="34" t="n"/>
      <c r="BU666" s="34" t="n"/>
      <c r="BV666" s="34" t="n"/>
      <c r="BW666" s="34" t="n"/>
      <c r="BX666" s="34" t="n"/>
      <c r="BY666" s="34" t="n"/>
      <c r="BZ666" s="34" t="n"/>
      <c r="CA666" s="34" t="n"/>
      <c r="CB666" s="33" t="n"/>
      <c r="CC666" s="34" t="n"/>
      <c r="CD666" s="34" t="n"/>
      <c r="CE666" s="82" t="n"/>
      <c r="CF666" s="34" t="n"/>
      <c r="CG666" s="34" t="n"/>
      <c r="CH666" s="34" t="n"/>
      <c r="CI666" s="34" t="n"/>
      <c r="CJ666" s="34" t="n"/>
    </row>
    <row r="667">
      <c r="A667" s="29" t="n"/>
      <c r="B667" s="29" t="n"/>
      <c r="C667" s="35" t="n"/>
      <c r="D667" s="36" t="n"/>
      <c r="E667" s="147" t="n"/>
      <c r="F667" s="30" t="n"/>
      <c r="G667" s="30" t="n"/>
      <c r="H667" s="30" t="n"/>
      <c r="I667" s="30" t="n"/>
      <c r="J667" s="119" t="n"/>
      <c r="K667" s="34" t="n"/>
      <c r="L667" s="119" t="n"/>
      <c r="M667" s="34" t="n"/>
      <c r="N667" s="119" t="n"/>
      <c r="O667" s="34" t="n"/>
      <c r="P667" s="34" t="n"/>
      <c r="Q667" s="117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  <c r="AA667" s="34" t="n"/>
      <c r="AB667" s="34" t="n"/>
      <c r="AC667" s="34" t="n"/>
      <c r="AD667" s="34" t="n"/>
      <c r="AE667" s="34" t="n"/>
      <c r="AF667" s="34" t="n"/>
      <c r="AG667" s="34" t="n"/>
      <c r="AH667" s="34" t="n"/>
      <c r="AK667" s="34" t="n"/>
      <c r="AL667" s="34" t="n"/>
      <c r="AM667" s="39" t="n"/>
      <c r="AN667" s="34" t="n"/>
      <c r="AO667" s="34" t="n"/>
      <c r="AP667" s="34" t="n"/>
      <c r="AQ667" s="34" t="n"/>
      <c r="AR667" s="34" t="n"/>
      <c r="AS667" s="34" t="n"/>
      <c r="AU667" s="34" t="n"/>
      <c r="AV667" s="34" t="n"/>
      <c r="AW667" s="34" t="n"/>
      <c r="AX667" s="34" t="n"/>
      <c r="AY667" s="34" t="n"/>
      <c r="AZ667" s="34" t="n"/>
      <c r="BA667" s="34" t="n"/>
      <c r="BB667" s="34" t="n"/>
      <c r="BC667" s="34" t="n"/>
      <c r="BD667" s="34" t="n"/>
      <c r="BE667" s="34" t="n"/>
      <c r="BF667" s="34" t="n"/>
      <c r="BG667" s="34" t="n"/>
      <c r="BH667" s="34" t="n"/>
      <c r="BI667" s="34" t="n"/>
      <c r="BJ667" s="34" t="n"/>
      <c r="BK667" s="34" t="n"/>
      <c r="BL667" s="34" t="n"/>
      <c r="BM667" s="34" t="n"/>
      <c r="BN667" s="34" t="n"/>
      <c r="BO667" s="34" t="n"/>
      <c r="BP667" s="34" t="n"/>
      <c r="BQ667" s="34" t="n"/>
      <c r="BR667" s="82" t="n"/>
      <c r="BS667" s="34" t="n"/>
      <c r="BT667" s="34" t="n"/>
      <c r="BU667" s="34" t="n"/>
      <c r="BV667" s="34" t="n"/>
      <c r="BW667" s="34" t="n"/>
      <c r="BX667" s="34" t="n"/>
      <c r="BY667" s="34" t="n"/>
      <c r="BZ667" s="34" t="n"/>
      <c r="CA667" s="34" t="n"/>
      <c r="CB667" s="33" t="n"/>
      <c r="CC667" s="34" t="n"/>
      <c r="CD667" s="34" t="n"/>
      <c r="CE667" s="82" t="n"/>
      <c r="CF667" s="34" t="n"/>
      <c r="CG667" s="34" t="n"/>
      <c r="CH667" s="34" t="n"/>
      <c r="CI667" s="34" t="n"/>
      <c r="CJ667" s="34" t="n"/>
    </row>
    <row r="668">
      <c r="A668" s="29" t="n"/>
      <c r="B668" s="29" t="n"/>
      <c r="C668" s="35" t="n"/>
      <c r="D668" s="36" t="n"/>
      <c r="E668" s="147" t="n"/>
      <c r="F668" s="30" t="n"/>
      <c r="G668" s="30" t="n"/>
      <c r="H668" s="30" t="n"/>
      <c r="I668" s="30" t="n"/>
      <c r="J668" s="119" t="n"/>
      <c r="K668" s="34" t="n"/>
      <c r="L668" s="119" t="n"/>
      <c r="M668" s="34" t="n"/>
      <c r="N668" s="119" t="n"/>
      <c r="O668" s="34" t="n"/>
      <c r="P668" s="34" t="n"/>
      <c r="Q668" s="117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  <c r="AA668" s="34" t="n"/>
      <c r="AB668" s="34" t="n"/>
      <c r="AC668" s="34" t="n"/>
      <c r="AD668" s="34" t="n"/>
      <c r="AE668" s="34" t="n"/>
      <c r="AF668" s="34" t="n"/>
      <c r="AG668" s="34" t="n"/>
      <c r="AH668" s="34" t="n"/>
      <c r="AK668" s="34" t="n"/>
      <c r="AL668" s="34" t="n"/>
      <c r="AM668" s="39" t="n"/>
      <c r="AN668" s="34" t="n"/>
      <c r="AO668" s="34" t="n"/>
      <c r="AP668" s="34" t="n"/>
      <c r="AQ668" s="34" t="n"/>
      <c r="AR668" s="34" t="n"/>
      <c r="AS668" s="34" t="n"/>
      <c r="AU668" s="34" t="n"/>
      <c r="AV668" s="34" t="n"/>
      <c r="AW668" s="34" t="n"/>
      <c r="AX668" s="34" t="n"/>
      <c r="AY668" s="34" t="n"/>
      <c r="AZ668" s="34" t="n"/>
      <c r="BA668" s="34" t="n"/>
      <c r="BB668" s="34" t="n"/>
      <c r="BC668" s="34" t="n"/>
      <c r="BD668" s="34" t="n"/>
      <c r="BE668" s="34" t="n"/>
      <c r="BF668" s="34" t="n"/>
      <c r="BG668" s="34" t="n"/>
      <c r="BH668" s="34" t="n"/>
      <c r="BI668" s="34" t="n"/>
      <c r="BJ668" s="34" t="n"/>
      <c r="BK668" s="34" t="n"/>
      <c r="BL668" s="34" t="n"/>
      <c r="BM668" s="34" t="n"/>
      <c r="BN668" s="34" t="n"/>
      <c r="BO668" s="34" t="n"/>
      <c r="BP668" s="34" t="n"/>
      <c r="BQ668" s="34" t="n"/>
      <c r="BR668" s="82" t="n"/>
      <c r="BS668" s="34" t="n"/>
      <c r="BT668" s="34" t="n"/>
      <c r="BU668" s="34" t="n"/>
      <c r="BV668" s="34" t="n"/>
      <c r="BW668" s="34" t="n"/>
      <c r="BX668" s="34" t="n"/>
      <c r="BY668" s="34" t="n"/>
      <c r="BZ668" s="34" t="n"/>
      <c r="CA668" s="34" t="n"/>
      <c r="CB668" s="33" t="n"/>
      <c r="CC668" s="34" t="n"/>
      <c r="CD668" s="34" t="n"/>
      <c r="CE668" s="82" t="n"/>
      <c r="CF668" s="34" t="n"/>
      <c r="CG668" s="34" t="n"/>
      <c r="CH668" s="34" t="n"/>
      <c r="CI668" s="34" t="n"/>
      <c r="CJ668" s="34" t="n"/>
    </row>
    <row r="669">
      <c r="A669" s="29" t="n"/>
      <c r="B669" s="29" t="n"/>
      <c r="C669" s="35" t="n"/>
      <c r="D669" s="36" t="n"/>
      <c r="E669" s="147" t="n"/>
      <c r="F669" s="30" t="n"/>
      <c r="G669" s="30" t="n"/>
      <c r="H669" s="30" t="n"/>
      <c r="I669" s="30" t="n"/>
      <c r="J669" s="119" t="n"/>
      <c r="K669" s="34" t="n"/>
      <c r="L669" s="119" t="n"/>
      <c r="M669" s="34" t="n"/>
      <c r="N669" s="119" t="n"/>
      <c r="O669" s="34" t="n"/>
      <c r="P669" s="34" t="n"/>
      <c r="Q669" s="117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  <c r="AA669" s="34" t="n"/>
      <c r="AB669" s="34" t="n"/>
      <c r="AC669" s="34" t="n"/>
      <c r="AD669" s="34" t="n"/>
      <c r="AE669" s="34" t="n"/>
      <c r="AF669" s="34" t="n"/>
      <c r="AG669" s="34" t="n"/>
      <c r="AH669" s="34" t="n"/>
      <c r="AK669" s="34" t="n"/>
      <c r="AL669" s="34" t="n"/>
      <c r="AM669" s="39" t="n"/>
      <c r="AN669" s="34" t="n"/>
      <c r="AO669" s="34" t="n"/>
      <c r="AP669" s="34" t="n"/>
      <c r="AQ669" s="34" t="n"/>
      <c r="AR669" s="34" t="n"/>
      <c r="AS669" s="34" t="n"/>
      <c r="AU669" s="34" t="n"/>
      <c r="AV669" s="34" t="n"/>
      <c r="AW669" s="34" t="n"/>
      <c r="AX669" s="34" t="n"/>
      <c r="AY669" s="34" t="n"/>
      <c r="AZ669" s="34" t="n"/>
      <c r="BA669" s="34" t="n"/>
      <c r="BB669" s="34" t="n"/>
      <c r="BC669" s="34" t="n"/>
      <c r="BD669" s="34" t="n"/>
      <c r="BE669" s="34" t="n"/>
      <c r="BF669" s="34" t="n"/>
      <c r="BG669" s="34" t="n"/>
      <c r="BH669" s="34" t="n"/>
      <c r="BI669" s="34" t="n"/>
      <c r="BJ669" s="34" t="n"/>
      <c r="BK669" s="34" t="n"/>
      <c r="BL669" s="34" t="n"/>
      <c r="BM669" s="34" t="n"/>
      <c r="BN669" s="34" t="n"/>
      <c r="BO669" s="34" t="n"/>
      <c r="BP669" s="34" t="n"/>
      <c r="BQ669" s="34" t="n"/>
      <c r="BR669" s="82" t="n"/>
      <c r="BS669" s="34" t="n"/>
      <c r="BT669" s="34" t="n"/>
      <c r="BU669" s="34" t="n"/>
      <c r="BV669" s="34" t="n"/>
      <c r="BW669" s="34" t="n"/>
      <c r="BX669" s="34" t="n"/>
      <c r="BY669" s="34" t="n"/>
      <c r="BZ669" s="34" t="n"/>
      <c r="CA669" s="34" t="n"/>
      <c r="CB669" s="33" t="n"/>
      <c r="CC669" s="34" t="n"/>
      <c r="CD669" s="34" t="n"/>
      <c r="CE669" s="82" t="n"/>
      <c r="CF669" s="34" t="n"/>
      <c r="CG669" s="34" t="n"/>
      <c r="CH669" s="34" t="n"/>
      <c r="CI669" s="34" t="n"/>
      <c r="CJ669" s="34" t="n"/>
    </row>
    <row r="670">
      <c r="A670" s="29" t="n"/>
      <c r="B670" s="29" t="n"/>
      <c r="C670" s="35" t="n"/>
      <c r="D670" s="36" t="n"/>
      <c r="E670" s="147" t="n"/>
      <c r="F670" s="30" t="n"/>
      <c r="G670" s="30" t="n"/>
      <c r="H670" s="30" t="n"/>
      <c r="I670" s="30" t="n"/>
      <c r="J670" s="119" t="n"/>
      <c r="K670" s="34" t="n"/>
      <c r="L670" s="119" t="n"/>
      <c r="M670" s="34" t="n"/>
      <c r="N670" s="119" t="n"/>
      <c r="O670" s="34" t="n"/>
      <c r="P670" s="34" t="n"/>
      <c r="Q670" s="117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  <c r="AA670" s="34" t="n"/>
      <c r="AB670" s="34" t="n"/>
      <c r="AC670" s="34" t="n"/>
      <c r="AD670" s="34" t="n"/>
      <c r="AE670" s="34" t="n"/>
      <c r="AF670" s="34" t="n"/>
      <c r="AG670" s="34" t="n"/>
      <c r="AH670" s="34" t="n"/>
      <c r="AK670" s="34" t="n"/>
      <c r="AL670" s="34" t="n"/>
      <c r="AM670" s="39" t="n"/>
      <c r="AN670" s="34" t="n"/>
      <c r="AO670" s="34" t="n"/>
      <c r="AP670" s="34" t="n"/>
      <c r="AQ670" s="34" t="n"/>
      <c r="AR670" s="34" t="n"/>
      <c r="AS670" s="34" t="n"/>
      <c r="AU670" s="34" t="n"/>
      <c r="AV670" s="34" t="n"/>
      <c r="AW670" s="34" t="n"/>
      <c r="AX670" s="34" t="n"/>
      <c r="AY670" s="34" t="n"/>
      <c r="AZ670" s="34" t="n"/>
      <c r="BA670" s="34" t="n"/>
      <c r="BB670" s="34" t="n"/>
      <c r="BC670" s="34" t="n"/>
      <c r="BD670" s="34" t="n"/>
      <c r="BE670" s="34" t="n"/>
      <c r="BF670" s="34" t="n"/>
      <c r="BG670" s="34" t="n"/>
      <c r="BH670" s="34" t="n"/>
      <c r="BI670" s="34" t="n"/>
      <c r="BJ670" s="34" t="n"/>
      <c r="BK670" s="34" t="n"/>
      <c r="BL670" s="34" t="n"/>
      <c r="BM670" s="34" t="n"/>
      <c r="BN670" s="34" t="n"/>
      <c r="BO670" s="34" t="n"/>
      <c r="BP670" s="34" t="n"/>
      <c r="BQ670" s="34" t="n"/>
      <c r="BR670" s="82" t="n"/>
      <c r="BS670" s="34" t="n"/>
      <c r="BT670" s="34" t="n"/>
      <c r="BU670" s="34" t="n"/>
      <c r="BV670" s="34" t="n"/>
      <c r="BW670" s="34" t="n"/>
      <c r="BX670" s="34" t="n"/>
      <c r="BY670" s="34" t="n"/>
      <c r="BZ670" s="34" t="n"/>
      <c r="CA670" s="34" t="n"/>
      <c r="CB670" s="33" t="n"/>
      <c r="CC670" s="34" t="n"/>
      <c r="CD670" s="34" t="n"/>
      <c r="CE670" s="82" t="n"/>
      <c r="CF670" s="34" t="n"/>
      <c r="CG670" s="34" t="n"/>
      <c r="CH670" s="34" t="n"/>
      <c r="CI670" s="34" t="n"/>
      <c r="CJ670" s="34" t="n"/>
    </row>
    <row r="671">
      <c r="A671" s="29" t="n"/>
      <c r="B671" s="29" t="n"/>
      <c r="C671" s="35" t="n"/>
      <c r="D671" s="36" t="n"/>
      <c r="E671" s="147" t="n"/>
      <c r="F671" s="30" t="n"/>
      <c r="G671" s="30" t="n"/>
      <c r="H671" s="30" t="n"/>
      <c r="I671" s="30" t="n"/>
      <c r="J671" s="119" t="n"/>
      <c r="K671" s="34" t="n"/>
      <c r="L671" s="119" t="n"/>
      <c r="M671" s="34" t="n"/>
      <c r="N671" s="119" t="n"/>
      <c r="O671" s="34" t="n"/>
      <c r="P671" s="34" t="n"/>
      <c r="Q671" s="117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  <c r="AA671" s="34" t="n"/>
      <c r="AB671" s="34" t="n"/>
      <c r="AC671" s="34" t="n"/>
      <c r="AD671" s="34" t="n"/>
      <c r="AE671" s="34" t="n"/>
      <c r="AF671" s="34" t="n"/>
      <c r="AG671" s="34" t="n"/>
      <c r="AH671" s="34" t="n"/>
      <c r="AK671" s="34" t="n"/>
      <c r="AL671" s="34" t="n"/>
      <c r="AM671" s="39" t="n"/>
      <c r="AN671" s="34" t="n"/>
      <c r="AO671" s="34" t="n"/>
      <c r="AP671" s="34" t="n"/>
      <c r="AQ671" s="34" t="n"/>
      <c r="AR671" s="34" t="n"/>
      <c r="AS671" s="34" t="n"/>
      <c r="AU671" s="34" t="n"/>
      <c r="AV671" s="34" t="n"/>
      <c r="AW671" s="34" t="n"/>
      <c r="AX671" s="34" t="n"/>
      <c r="AY671" s="34" t="n"/>
      <c r="AZ671" s="34" t="n"/>
      <c r="BA671" s="34" t="n"/>
      <c r="BB671" s="34" t="n"/>
      <c r="BC671" s="34" t="n"/>
      <c r="BD671" s="34" t="n"/>
      <c r="BE671" s="34" t="n"/>
      <c r="BF671" s="34" t="n"/>
      <c r="BG671" s="34" t="n"/>
      <c r="BH671" s="34" t="n"/>
      <c r="BI671" s="34" t="n"/>
      <c r="BJ671" s="34" t="n"/>
      <c r="BK671" s="34" t="n"/>
      <c r="BL671" s="34" t="n"/>
      <c r="BM671" s="34" t="n"/>
      <c r="BN671" s="34" t="n"/>
      <c r="BO671" s="34" t="n"/>
      <c r="BP671" s="34" t="n"/>
      <c r="BQ671" s="34" t="n"/>
      <c r="BR671" s="82" t="n"/>
      <c r="BS671" s="34" t="n"/>
      <c r="BT671" s="34" t="n"/>
      <c r="BU671" s="34" t="n"/>
      <c r="BV671" s="34" t="n"/>
      <c r="BW671" s="34" t="n"/>
      <c r="BX671" s="34" t="n"/>
      <c r="BY671" s="34" t="n"/>
      <c r="BZ671" s="34" t="n"/>
      <c r="CA671" s="34" t="n"/>
      <c r="CB671" s="33" t="n"/>
      <c r="CC671" s="34" t="n"/>
      <c r="CD671" s="34" t="n"/>
      <c r="CE671" s="82" t="n"/>
      <c r="CF671" s="34" t="n"/>
      <c r="CG671" s="34" t="n"/>
      <c r="CH671" s="34" t="n"/>
      <c r="CI671" s="34" t="n"/>
      <c r="CJ671" s="34" t="n"/>
    </row>
    <row r="672">
      <c r="A672" s="29" t="n"/>
      <c r="B672" s="29" t="n"/>
      <c r="C672" s="35" t="n"/>
      <c r="D672" s="36" t="n"/>
      <c r="E672" s="147" t="n"/>
      <c r="F672" s="30" t="n"/>
      <c r="G672" s="30" t="n"/>
      <c r="H672" s="30" t="n"/>
      <c r="I672" s="30" t="n"/>
      <c r="J672" s="119" t="n"/>
      <c r="K672" s="34" t="n"/>
      <c r="L672" s="119" t="n"/>
      <c r="M672" s="34" t="n"/>
      <c r="N672" s="119" t="n"/>
      <c r="O672" s="34" t="n"/>
      <c r="P672" s="34" t="n"/>
      <c r="Q672" s="117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  <c r="AA672" s="34" t="n"/>
      <c r="AB672" s="34" t="n"/>
      <c r="AC672" s="34" t="n"/>
      <c r="AD672" s="34" t="n"/>
      <c r="AE672" s="34" t="n"/>
      <c r="AF672" s="34" t="n"/>
      <c r="AG672" s="34" t="n"/>
      <c r="AH672" s="34" t="n"/>
      <c r="AK672" s="34" t="n"/>
      <c r="AL672" s="34" t="n"/>
      <c r="AM672" s="39" t="n"/>
      <c r="AN672" s="34" t="n"/>
      <c r="AO672" s="34" t="n"/>
      <c r="AP672" s="34" t="n"/>
      <c r="AQ672" s="34" t="n"/>
      <c r="AR672" s="34" t="n"/>
      <c r="AS672" s="34" t="n"/>
      <c r="AU672" s="34" t="n"/>
      <c r="AV672" s="34" t="n"/>
      <c r="AW672" s="34" t="n"/>
      <c r="AX672" s="34" t="n"/>
      <c r="AY672" s="34" t="n"/>
      <c r="AZ672" s="34" t="n"/>
      <c r="BA672" s="34" t="n"/>
      <c r="BB672" s="34" t="n"/>
      <c r="BC672" s="34" t="n"/>
      <c r="BD672" s="34" t="n"/>
      <c r="BE672" s="34" t="n"/>
      <c r="BF672" s="34" t="n"/>
      <c r="BG672" s="34" t="n"/>
      <c r="BH672" s="34" t="n"/>
      <c r="BI672" s="34" t="n"/>
      <c r="BJ672" s="34" t="n"/>
      <c r="BK672" s="34" t="n"/>
      <c r="BL672" s="34" t="n"/>
      <c r="BM672" s="34" t="n"/>
      <c r="BN672" s="34" t="n"/>
      <c r="BO672" s="34" t="n"/>
      <c r="BP672" s="34" t="n"/>
      <c r="BQ672" s="34" t="n"/>
      <c r="BR672" s="82" t="n"/>
      <c r="BS672" s="34" t="n"/>
      <c r="BT672" s="34" t="n"/>
      <c r="BU672" s="34" t="n"/>
      <c r="BV672" s="34" t="n"/>
      <c r="BW672" s="34" t="n"/>
      <c r="BX672" s="34" t="n"/>
      <c r="BY672" s="34" t="n"/>
      <c r="BZ672" s="34" t="n"/>
      <c r="CA672" s="34" t="n"/>
      <c r="CB672" s="33" t="n"/>
      <c r="CC672" s="34" t="n"/>
      <c r="CD672" s="34" t="n"/>
      <c r="CE672" s="82" t="n"/>
      <c r="CF672" s="34" t="n"/>
      <c r="CG672" s="34" t="n"/>
      <c r="CH672" s="34" t="n"/>
      <c r="CI672" s="34" t="n"/>
      <c r="CJ672" s="34" t="n"/>
    </row>
    <row r="673">
      <c r="A673" s="29" t="n"/>
      <c r="B673" s="29" t="n"/>
      <c r="C673" s="35" t="n"/>
      <c r="D673" s="36" t="n"/>
      <c r="E673" s="147" t="n"/>
      <c r="F673" s="30" t="n"/>
      <c r="G673" s="30" t="n"/>
      <c r="H673" s="30" t="n"/>
      <c r="I673" s="30" t="n"/>
      <c r="J673" s="119" t="n"/>
      <c r="K673" s="34" t="n"/>
      <c r="L673" s="119" t="n"/>
      <c r="M673" s="34" t="n"/>
      <c r="N673" s="119" t="n"/>
      <c r="O673" s="34" t="n"/>
      <c r="P673" s="34" t="n"/>
      <c r="Q673" s="117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  <c r="AA673" s="34" t="n"/>
      <c r="AB673" s="34" t="n"/>
      <c r="AC673" s="34" t="n"/>
      <c r="AD673" s="34" t="n"/>
      <c r="AE673" s="34" t="n"/>
      <c r="AF673" s="34" t="n"/>
      <c r="AG673" s="34" t="n"/>
      <c r="AH673" s="34" t="n"/>
      <c r="AK673" s="34" t="n"/>
      <c r="AL673" s="34" t="n"/>
      <c r="AM673" s="39" t="n"/>
      <c r="AN673" s="34" t="n"/>
      <c r="AO673" s="34" t="n"/>
      <c r="AP673" s="34" t="n"/>
      <c r="AQ673" s="34" t="n"/>
      <c r="AR673" s="34" t="n"/>
      <c r="AS673" s="34" t="n"/>
      <c r="AU673" s="34" t="n"/>
      <c r="AV673" s="34" t="n"/>
      <c r="AW673" s="34" t="n"/>
      <c r="AX673" s="34" t="n"/>
      <c r="AY673" s="34" t="n"/>
      <c r="AZ673" s="34" t="n"/>
      <c r="BA673" s="34" t="n"/>
      <c r="BB673" s="34" t="n"/>
      <c r="BC673" s="34" t="n"/>
      <c r="BD673" s="34" t="n"/>
      <c r="BE673" s="34" t="n"/>
      <c r="BF673" s="34" t="n"/>
      <c r="BG673" s="34" t="n"/>
      <c r="BH673" s="34" t="n"/>
      <c r="BI673" s="34" t="n"/>
      <c r="BJ673" s="34" t="n"/>
      <c r="BK673" s="34" t="n"/>
      <c r="BL673" s="34" t="n"/>
      <c r="BM673" s="34" t="n"/>
      <c r="BN673" s="34" t="n"/>
      <c r="BO673" s="34" t="n"/>
      <c r="BP673" s="34" t="n"/>
      <c r="BQ673" s="34" t="n"/>
      <c r="BR673" s="82" t="n"/>
      <c r="BS673" s="34" t="n"/>
      <c r="BT673" s="34" t="n"/>
      <c r="BU673" s="34" t="n"/>
      <c r="BV673" s="34" t="n"/>
      <c r="BW673" s="34" t="n"/>
      <c r="BX673" s="34" t="n"/>
      <c r="BY673" s="34" t="n"/>
      <c r="BZ673" s="34" t="n"/>
      <c r="CA673" s="34" t="n"/>
      <c r="CB673" s="33" t="n"/>
      <c r="CC673" s="34" t="n"/>
      <c r="CD673" s="34" t="n"/>
      <c r="CE673" s="82" t="n"/>
      <c r="CF673" s="34" t="n"/>
      <c r="CG673" s="34" t="n"/>
      <c r="CH673" s="34" t="n"/>
      <c r="CI673" s="34" t="n"/>
      <c r="CJ673" s="34" t="n"/>
    </row>
    <row r="674">
      <c r="A674" s="29" t="n"/>
      <c r="B674" s="29" t="n"/>
      <c r="C674" s="35" t="n"/>
      <c r="D674" s="36" t="n"/>
      <c r="E674" s="147" t="n"/>
      <c r="F674" s="30" t="n"/>
      <c r="G674" s="30" t="n"/>
      <c r="H674" s="30" t="n"/>
      <c r="I674" s="30" t="n"/>
      <c r="J674" s="119" t="n"/>
      <c r="K674" s="34" t="n"/>
      <c r="L674" s="119" t="n"/>
      <c r="M674" s="34" t="n"/>
      <c r="N674" s="119" t="n"/>
      <c r="O674" s="34" t="n"/>
      <c r="P674" s="34" t="n"/>
      <c r="Q674" s="117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  <c r="AA674" s="34" t="n"/>
      <c r="AB674" s="34" t="n"/>
      <c r="AC674" s="34" t="n"/>
      <c r="AD674" s="34" t="n"/>
      <c r="AE674" s="34" t="n"/>
      <c r="AF674" s="34" t="n"/>
      <c r="AG674" s="34" t="n"/>
      <c r="AH674" s="34" t="n"/>
      <c r="AK674" s="34" t="n"/>
      <c r="AL674" s="34" t="n"/>
      <c r="AM674" s="39" t="n"/>
      <c r="AN674" s="34" t="n"/>
      <c r="AO674" s="34" t="n"/>
      <c r="AP674" s="34" t="n"/>
      <c r="AQ674" s="34" t="n"/>
      <c r="AR674" s="34" t="n"/>
      <c r="AS674" s="34" t="n"/>
      <c r="AU674" s="34" t="n"/>
      <c r="AV674" s="34" t="n"/>
      <c r="AW674" s="34" t="n"/>
      <c r="AX674" s="34" t="n"/>
      <c r="AY674" s="34" t="n"/>
      <c r="AZ674" s="34" t="n"/>
      <c r="BA674" s="34" t="n"/>
      <c r="BB674" s="34" t="n"/>
      <c r="BC674" s="34" t="n"/>
      <c r="BD674" s="34" t="n"/>
      <c r="BE674" s="34" t="n"/>
      <c r="BF674" s="34" t="n"/>
      <c r="BG674" s="34" t="n"/>
      <c r="BH674" s="34" t="n"/>
      <c r="BI674" s="34" t="n"/>
      <c r="BJ674" s="34" t="n"/>
      <c r="BK674" s="34" t="n"/>
      <c r="BL674" s="34" t="n"/>
      <c r="BM674" s="34" t="n"/>
      <c r="BN674" s="34" t="n"/>
      <c r="BO674" s="34" t="n"/>
      <c r="BP674" s="34" t="n"/>
      <c r="BQ674" s="34" t="n"/>
      <c r="BR674" s="82" t="n"/>
      <c r="BS674" s="34" t="n"/>
      <c r="BT674" s="34" t="n"/>
      <c r="BU674" s="34" t="n"/>
      <c r="BV674" s="34" t="n"/>
      <c r="BW674" s="34" t="n"/>
      <c r="BX674" s="34" t="n"/>
      <c r="BY674" s="34" t="n"/>
      <c r="BZ674" s="34" t="n"/>
      <c r="CA674" s="34" t="n"/>
      <c r="CB674" s="33" t="n"/>
      <c r="CC674" s="34" t="n"/>
      <c r="CD674" s="34" t="n"/>
      <c r="CE674" s="82" t="n"/>
      <c r="CF674" s="34" t="n"/>
      <c r="CG674" s="34" t="n"/>
      <c r="CH674" s="34" t="n"/>
      <c r="CI674" s="34" t="n"/>
      <c r="CJ674" s="34" t="n"/>
    </row>
    <row r="675">
      <c r="A675" s="29" t="n"/>
      <c r="B675" s="29" t="n"/>
      <c r="C675" s="35" t="n"/>
      <c r="D675" s="36" t="n"/>
      <c r="E675" s="147" t="n"/>
      <c r="F675" s="30" t="n"/>
      <c r="G675" s="30" t="n"/>
      <c r="H675" s="30" t="n"/>
      <c r="I675" s="30" t="n"/>
      <c r="J675" s="119" t="n"/>
      <c r="K675" s="34" t="n"/>
      <c r="L675" s="119" t="n"/>
      <c r="M675" s="34" t="n"/>
      <c r="N675" s="119" t="n"/>
      <c r="O675" s="34" t="n"/>
      <c r="P675" s="34" t="n"/>
      <c r="Q675" s="117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  <c r="AA675" s="34" t="n"/>
      <c r="AB675" s="34" t="n"/>
      <c r="AC675" s="34" t="n"/>
      <c r="AD675" s="34" t="n"/>
      <c r="AE675" s="34" t="n"/>
      <c r="AF675" s="34" t="n"/>
      <c r="AG675" s="34" t="n"/>
      <c r="AH675" s="34" t="n"/>
      <c r="AK675" s="34" t="n"/>
      <c r="AL675" s="34" t="n"/>
      <c r="AM675" s="39" t="n"/>
      <c r="AN675" s="34" t="n"/>
      <c r="AO675" s="34" t="n"/>
      <c r="AP675" s="34" t="n"/>
      <c r="AQ675" s="34" t="n"/>
      <c r="AR675" s="34" t="n"/>
      <c r="AS675" s="34" t="n"/>
      <c r="AU675" s="34" t="n"/>
      <c r="AV675" s="34" t="n"/>
      <c r="AW675" s="34" t="n"/>
      <c r="AX675" s="34" t="n"/>
      <c r="AY675" s="34" t="n"/>
      <c r="AZ675" s="34" t="n"/>
      <c r="BA675" s="34" t="n"/>
      <c r="BB675" s="34" t="n"/>
      <c r="BC675" s="34" t="n"/>
      <c r="BD675" s="34" t="n"/>
      <c r="BE675" s="34" t="n"/>
      <c r="BF675" s="34" t="n"/>
      <c r="BG675" s="34" t="n"/>
      <c r="BH675" s="34" t="n"/>
      <c r="BI675" s="34" t="n"/>
      <c r="BJ675" s="34" t="n"/>
      <c r="BK675" s="34" t="n"/>
      <c r="BL675" s="34" t="n"/>
      <c r="BM675" s="34" t="n"/>
      <c r="BN675" s="34" t="n"/>
      <c r="BO675" s="34" t="n"/>
      <c r="BP675" s="34" t="n"/>
      <c r="BQ675" s="34" t="n"/>
      <c r="BR675" s="82" t="n"/>
      <c r="BS675" s="34" t="n"/>
      <c r="BT675" s="34" t="n"/>
      <c r="BU675" s="34" t="n"/>
      <c r="BV675" s="34" t="n"/>
      <c r="BW675" s="34" t="n"/>
      <c r="BX675" s="34" t="n"/>
      <c r="BY675" s="34" t="n"/>
      <c r="BZ675" s="34" t="n"/>
      <c r="CA675" s="34" t="n"/>
      <c r="CB675" s="33" t="n"/>
      <c r="CC675" s="34" t="n"/>
      <c r="CD675" s="34" t="n"/>
      <c r="CE675" s="82" t="n"/>
      <c r="CF675" s="34" t="n"/>
      <c r="CG675" s="34" t="n"/>
      <c r="CH675" s="34" t="n"/>
      <c r="CI675" s="34" t="n"/>
      <c r="CJ675" s="34" t="n"/>
    </row>
    <row r="676">
      <c r="A676" s="29" t="n"/>
      <c r="B676" s="29" t="n"/>
      <c r="C676" s="35" t="n"/>
      <c r="D676" s="36" t="n"/>
      <c r="E676" s="147" t="n"/>
      <c r="F676" s="30" t="n"/>
      <c r="G676" s="30" t="n"/>
      <c r="H676" s="30" t="n"/>
      <c r="I676" s="30" t="n"/>
      <c r="J676" s="119" t="n"/>
      <c r="K676" s="34" t="n"/>
      <c r="L676" s="119" t="n"/>
      <c r="M676" s="34" t="n"/>
      <c r="N676" s="119" t="n"/>
      <c r="O676" s="34" t="n"/>
      <c r="P676" s="34" t="n"/>
      <c r="Q676" s="117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  <c r="AA676" s="34" t="n"/>
      <c r="AB676" s="34" t="n"/>
      <c r="AC676" s="34" t="n"/>
      <c r="AD676" s="34" t="n"/>
      <c r="AE676" s="34" t="n"/>
      <c r="AF676" s="34" t="n"/>
      <c r="AG676" s="34" t="n"/>
      <c r="AH676" s="34" t="n"/>
      <c r="AK676" s="34" t="n"/>
      <c r="AL676" s="34" t="n"/>
      <c r="AM676" s="39" t="n"/>
      <c r="AN676" s="34" t="n"/>
      <c r="AO676" s="34" t="n"/>
      <c r="AP676" s="34" t="n"/>
      <c r="AQ676" s="34" t="n"/>
      <c r="AR676" s="34" t="n"/>
      <c r="AS676" s="34" t="n"/>
      <c r="AU676" s="34" t="n"/>
      <c r="AV676" s="34" t="n"/>
      <c r="AW676" s="34" t="n"/>
      <c r="AX676" s="34" t="n"/>
      <c r="AY676" s="34" t="n"/>
      <c r="AZ676" s="34" t="n"/>
      <c r="BA676" s="34" t="n"/>
      <c r="BB676" s="34" t="n"/>
      <c r="BC676" s="34" t="n"/>
      <c r="BD676" s="34" t="n"/>
      <c r="BE676" s="34" t="n"/>
      <c r="BF676" s="34" t="n"/>
      <c r="BG676" s="34" t="n"/>
      <c r="BH676" s="34" t="n"/>
      <c r="BI676" s="34" t="n"/>
      <c r="BJ676" s="34" t="n"/>
      <c r="BK676" s="34" t="n"/>
      <c r="BL676" s="34" t="n"/>
      <c r="BM676" s="34" t="n"/>
      <c r="BN676" s="34" t="n"/>
      <c r="BO676" s="34" t="n"/>
      <c r="BP676" s="34" t="n"/>
      <c r="BQ676" s="34" t="n"/>
      <c r="BR676" s="82" t="n"/>
      <c r="BS676" s="34" t="n"/>
      <c r="BT676" s="34" t="n"/>
      <c r="BU676" s="34" t="n"/>
      <c r="BV676" s="34" t="n"/>
      <c r="BW676" s="34" t="n"/>
      <c r="BX676" s="34" t="n"/>
      <c r="BY676" s="34" t="n"/>
      <c r="BZ676" s="34" t="n"/>
      <c r="CA676" s="34" t="n"/>
      <c r="CB676" s="33" t="n"/>
      <c r="CC676" s="34" t="n"/>
      <c r="CD676" s="34" t="n"/>
      <c r="CE676" s="82" t="n"/>
      <c r="CF676" s="34" t="n"/>
      <c r="CG676" s="34" t="n"/>
      <c r="CH676" s="34" t="n"/>
      <c r="CI676" s="34" t="n"/>
      <c r="CJ676" s="34" t="n"/>
    </row>
    <row r="677">
      <c r="A677" s="29" t="n"/>
      <c r="B677" s="29" t="n"/>
      <c r="C677" s="35" t="n"/>
      <c r="D677" s="36" t="n"/>
      <c r="E677" s="147" t="n"/>
      <c r="F677" s="30" t="n"/>
      <c r="G677" s="30" t="n"/>
      <c r="H677" s="30" t="n"/>
      <c r="I677" s="30" t="n"/>
      <c r="J677" s="119" t="n"/>
      <c r="K677" s="34" t="n"/>
      <c r="L677" s="119" t="n"/>
      <c r="M677" s="34" t="n"/>
      <c r="N677" s="119" t="n"/>
      <c r="O677" s="34" t="n"/>
      <c r="P677" s="34" t="n"/>
      <c r="Q677" s="117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  <c r="AA677" s="34" t="n"/>
      <c r="AB677" s="34" t="n"/>
      <c r="AC677" s="34" t="n"/>
      <c r="AD677" s="34" t="n"/>
      <c r="AE677" s="34" t="n"/>
      <c r="AF677" s="34" t="n"/>
      <c r="AG677" s="34" t="n"/>
      <c r="AH677" s="34" t="n"/>
      <c r="AK677" s="34" t="n"/>
      <c r="AL677" s="34" t="n"/>
      <c r="AM677" s="39" t="n"/>
      <c r="AN677" s="34" t="n"/>
      <c r="AO677" s="34" t="n"/>
      <c r="AP677" s="34" t="n"/>
      <c r="AQ677" s="34" t="n"/>
      <c r="AR677" s="34" t="n"/>
      <c r="AS677" s="34" t="n"/>
      <c r="AU677" s="34" t="n"/>
      <c r="AV677" s="34" t="n"/>
      <c r="AW677" s="34" t="n"/>
      <c r="AX677" s="34" t="n"/>
      <c r="AY677" s="34" t="n"/>
      <c r="AZ677" s="34" t="n"/>
      <c r="BA677" s="34" t="n"/>
      <c r="BB677" s="34" t="n"/>
      <c r="BC677" s="34" t="n"/>
      <c r="BD677" s="34" t="n"/>
      <c r="BE677" s="34" t="n"/>
      <c r="BF677" s="34" t="n"/>
      <c r="BG677" s="34" t="n"/>
      <c r="BH677" s="34" t="n"/>
      <c r="BI677" s="34" t="n"/>
      <c r="BJ677" s="34" t="n"/>
      <c r="BK677" s="34" t="n"/>
      <c r="BL677" s="34" t="n"/>
      <c r="BM677" s="34" t="n"/>
      <c r="BN677" s="34" t="n"/>
      <c r="BO677" s="34" t="n"/>
      <c r="BP677" s="34" t="n"/>
      <c r="BQ677" s="34" t="n"/>
      <c r="BR677" s="82" t="n"/>
      <c r="BS677" s="34" t="n"/>
      <c r="BT677" s="34" t="n"/>
      <c r="BU677" s="34" t="n"/>
      <c r="BV677" s="34" t="n"/>
      <c r="BW677" s="34" t="n"/>
      <c r="BX677" s="34" t="n"/>
      <c r="BY677" s="34" t="n"/>
      <c r="BZ677" s="34" t="n"/>
      <c r="CA677" s="34" t="n"/>
      <c r="CB677" s="33" t="n"/>
      <c r="CC677" s="34" t="n"/>
      <c r="CD677" s="34" t="n"/>
      <c r="CE677" s="82" t="n"/>
      <c r="CF677" s="34" t="n"/>
      <c r="CG677" s="34" t="n"/>
      <c r="CH677" s="34" t="n"/>
      <c r="CI677" s="34" t="n"/>
      <c r="CJ677" s="34" t="n"/>
    </row>
    <row r="678">
      <c r="A678" s="29" t="n"/>
      <c r="B678" s="29" t="n"/>
      <c r="C678" s="35" t="n"/>
      <c r="D678" s="36" t="n"/>
      <c r="E678" s="147" t="n"/>
      <c r="F678" s="30" t="n"/>
      <c r="G678" s="30" t="n"/>
      <c r="H678" s="30" t="n"/>
      <c r="I678" s="30" t="n"/>
      <c r="J678" s="119" t="n"/>
      <c r="K678" s="34" t="n"/>
      <c r="L678" s="119" t="n"/>
      <c r="M678" s="34" t="n"/>
      <c r="N678" s="119" t="n"/>
      <c r="O678" s="34" t="n"/>
      <c r="P678" s="34" t="n"/>
      <c r="Q678" s="117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  <c r="AA678" s="34" t="n"/>
      <c r="AB678" s="34" t="n"/>
      <c r="AC678" s="34" t="n"/>
      <c r="AD678" s="34" t="n"/>
      <c r="AE678" s="34" t="n"/>
      <c r="AF678" s="34" t="n"/>
      <c r="AG678" s="34" t="n"/>
      <c r="AH678" s="34" t="n"/>
      <c r="AK678" s="34" t="n"/>
      <c r="AL678" s="34" t="n"/>
      <c r="AM678" s="39" t="n"/>
      <c r="AN678" s="34" t="n"/>
      <c r="AO678" s="34" t="n"/>
      <c r="AP678" s="34" t="n"/>
      <c r="AQ678" s="34" t="n"/>
      <c r="AR678" s="34" t="n"/>
      <c r="AS678" s="34" t="n"/>
      <c r="AU678" s="34" t="n"/>
      <c r="AV678" s="34" t="n"/>
      <c r="AW678" s="34" t="n"/>
      <c r="AX678" s="34" t="n"/>
      <c r="AY678" s="34" t="n"/>
      <c r="AZ678" s="34" t="n"/>
      <c r="BA678" s="34" t="n"/>
      <c r="BB678" s="34" t="n"/>
      <c r="BC678" s="34" t="n"/>
      <c r="BD678" s="34" t="n"/>
      <c r="BE678" s="34" t="n"/>
      <c r="BF678" s="34" t="n"/>
      <c r="BG678" s="34" t="n"/>
      <c r="BH678" s="34" t="n"/>
      <c r="BI678" s="34" t="n"/>
      <c r="BJ678" s="34" t="n"/>
      <c r="BK678" s="34" t="n"/>
      <c r="BL678" s="34" t="n"/>
      <c r="BM678" s="34" t="n"/>
      <c r="BN678" s="34" t="n"/>
      <c r="BO678" s="34" t="n"/>
      <c r="BP678" s="34" t="n"/>
      <c r="BQ678" s="34" t="n"/>
      <c r="BR678" s="82" t="n"/>
      <c r="BS678" s="34" t="n"/>
      <c r="BT678" s="34" t="n"/>
      <c r="BU678" s="34" t="n"/>
      <c r="BV678" s="34" t="n"/>
      <c r="BW678" s="34" t="n"/>
      <c r="BX678" s="34" t="n"/>
      <c r="BY678" s="34" t="n"/>
      <c r="BZ678" s="34" t="n"/>
      <c r="CA678" s="34" t="n"/>
      <c r="CB678" s="33" t="n"/>
      <c r="CC678" s="34" t="n"/>
      <c r="CD678" s="34" t="n"/>
      <c r="CE678" s="82" t="n"/>
      <c r="CF678" s="34" t="n"/>
      <c r="CG678" s="34" t="n"/>
      <c r="CH678" s="34" t="n"/>
      <c r="CI678" s="34" t="n"/>
      <c r="CJ678" s="34" t="n"/>
    </row>
    <row r="679">
      <c r="A679" s="29" t="n"/>
      <c r="B679" s="29" t="n"/>
      <c r="C679" s="35" t="n"/>
      <c r="D679" s="36" t="n"/>
      <c r="E679" s="147" t="n"/>
      <c r="F679" s="30" t="n"/>
      <c r="G679" s="30" t="n"/>
      <c r="H679" s="30" t="n"/>
      <c r="I679" s="30" t="n"/>
      <c r="J679" s="119" t="n"/>
      <c r="K679" s="34" t="n"/>
      <c r="L679" s="119" t="n"/>
      <c r="M679" s="34" t="n"/>
      <c r="N679" s="119" t="n"/>
      <c r="O679" s="34" t="n"/>
      <c r="P679" s="34" t="n"/>
      <c r="Q679" s="117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  <c r="AA679" s="34" t="n"/>
      <c r="AB679" s="34" t="n"/>
      <c r="AC679" s="34" t="n"/>
      <c r="AD679" s="34" t="n"/>
      <c r="AE679" s="34" t="n"/>
      <c r="AF679" s="34" t="n"/>
      <c r="AG679" s="34" t="n"/>
      <c r="AH679" s="34" t="n"/>
      <c r="AK679" s="34" t="n"/>
      <c r="AL679" s="34" t="n"/>
      <c r="AM679" s="39" t="n"/>
      <c r="AN679" s="34" t="n"/>
      <c r="AO679" s="34" t="n"/>
      <c r="AP679" s="34" t="n"/>
      <c r="AQ679" s="34" t="n"/>
      <c r="AR679" s="34" t="n"/>
      <c r="AS679" s="34" t="n"/>
      <c r="AU679" s="34" t="n"/>
      <c r="AV679" s="34" t="n"/>
      <c r="AW679" s="34" t="n"/>
      <c r="AX679" s="34" t="n"/>
      <c r="AY679" s="34" t="n"/>
      <c r="AZ679" s="34" t="n"/>
      <c r="BA679" s="34" t="n"/>
      <c r="BB679" s="34" t="n"/>
      <c r="BC679" s="34" t="n"/>
      <c r="BD679" s="34" t="n"/>
      <c r="BE679" s="34" t="n"/>
      <c r="BF679" s="34" t="n"/>
      <c r="BG679" s="34" t="n"/>
      <c r="BH679" s="34" t="n"/>
      <c r="BI679" s="34" t="n"/>
      <c r="BJ679" s="34" t="n"/>
      <c r="BK679" s="34" t="n"/>
      <c r="BL679" s="34" t="n"/>
      <c r="BM679" s="34" t="n"/>
      <c r="BN679" s="34" t="n"/>
      <c r="BO679" s="34" t="n"/>
      <c r="BP679" s="34" t="n"/>
      <c r="BQ679" s="34" t="n"/>
      <c r="BR679" s="82" t="n"/>
      <c r="BS679" s="34" t="n"/>
      <c r="BT679" s="34" t="n"/>
      <c r="BU679" s="34" t="n"/>
      <c r="BV679" s="34" t="n"/>
      <c r="BW679" s="34" t="n"/>
      <c r="BX679" s="34" t="n"/>
      <c r="BY679" s="34" t="n"/>
      <c r="BZ679" s="34" t="n"/>
      <c r="CA679" s="34" t="n"/>
      <c r="CB679" s="33" t="n"/>
      <c r="CC679" s="34" t="n"/>
      <c r="CD679" s="34" t="n"/>
      <c r="CE679" s="82" t="n"/>
      <c r="CF679" s="34" t="n"/>
      <c r="CG679" s="34" t="n"/>
      <c r="CH679" s="34" t="n"/>
      <c r="CI679" s="34" t="n"/>
      <c r="CJ679" s="34" t="n"/>
    </row>
    <row r="680">
      <c r="A680" s="29" t="n"/>
      <c r="B680" s="29" t="n"/>
      <c r="C680" s="35" t="n"/>
      <c r="D680" s="36" t="n"/>
      <c r="E680" s="147" t="n"/>
      <c r="F680" s="30" t="n"/>
      <c r="G680" s="30" t="n"/>
      <c r="H680" s="30" t="n"/>
      <c r="I680" s="30" t="n"/>
      <c r="J680" s="119" t="n"/>
      <c r="K680" s="34" t="n"/>
      <c r="L680" s="119" t="n"/>
      <c r="M680" s="34" t="n"/>
      <c r="N680" s="119" t="n"/>
      <c r="O680" s="34" t="n"/>
      <c r="P680" s="34" t="n"/>
      <c r="Q680" s="117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  <c r="AA680" s="34" t="n"/>
      <c r="AB680" s="34" t="n"/>
      <c r="AC680" s="34" t="n"/>
      <c r="AD680" s="34" t="n"/>
      <c r="AE680" s="34" t="n"/>
      <c r="AF680" s="34" t="n"/>
      <c r="AG680" s="34" t="n"/>
      <c r="AH680" s="34" t="n"/>
      <c r="AK680" s="34" t="n"/>
      <c r="AL680" s="34" t="n"/>
      <c r="AM680" s="39" t="n"/>
      <c r="AN680" s="34" t="n"/>
      <c r="AO680" s="34" t="n"/>
      <c r="AP680" s="34" t="n"/>
      <c r="AQ680" s="34" t="n"/>
      <c r="AR680" s="34" t="n"/>
      <c r="AS680" s="34" t="n"/>
      <c r="AU680" s="34" t="n"/>
      <c r="AV680" s="34" t="n"/>
      <c r="AW680" s="34" t="n"/>
      <c r="AX680" s="34" t="n"/>
      <c r="AY680" s="34" t="n"/>
      <c r="AZ680" s="34" t="n"/>
      <c r="BA680" s="34" t="n"/>
      <c r="BB680" s="34" t="n"/>
      <c r="BC680" s="34" t="n"/>
      <c r="BD680" s="34" t="n"/>
      <c r="BE680" s="34" t="n"/>
      <c r="BF680" s="34" t="n"/>
      <c r="BG680" s="34" t="n"/>
      <c r="BH680" s="34" t="n"/>
      <c r="BI680" s="34" t="n"/>
      <c r="BJ680" s="34" t="n"/>
      <c r="BK680" s="34" t="n"/>
      <c r="BL680" s="34" t="n"/>
      <c r="BM680" s="34" t="n"/>
      <c r="BN680" s="34" t="n"/>
      <c r="BO680" s="34" t="n"/>
      <c r="BP680" s="34" t="n"/>
      <c r="BQ680" s="34" t="n"/>
      <c r="BR680" s="82" t="n"/>
      <c r="BS680" s="34" t="n"/>
      <c r="BT680" s="34" t="n"/>
      <c r="BU680" s="34" t="n"/>
      <c r="BV680" s="34" t="n"/>
      <c r="BW680" s="34" t="n"/>
      <c r="BX680" s="34" t="n"/>
      <c r="BY680" s="34" t="n"/>
      <c r="BZ680" s="34" t="n"/>
      <c r="CA680" s="34" t="n"/>
      <c r="CB680" s="33" t="n"/>
      <c r="CC680" s="34" t="n"/>
      <c r="CD680" s="34" t="n"/>
      <c r="CE680" s="82" t="n"/>
      <c r="CF680" s="34" t="n"/>
      <c r="CG680" s="34" t="n"/>
      <c r="CH680" s="34" t="n"/>
      <c r="CI680" s="34" t="n"/>
      <c r="CJ680" s="34" t="n"/>
    </row>
    <row r="681">
      <c r="A681" s="29" t="n"/>
      <c r="B681" s="29" t="n"/>
      <c r="C681" s="35" t="n"/>
      <c r="D681" s="36" t="n"/>
      <c r="E681" s="147" t="n"/>
      <c r="F681" s="30" t="n"/>
      <c r="G681" s="30" t="n"/>
      <c r="H681" s="30" t="n"/>
      <c r="I681" s="30" t="n"/>
      <c r="J681" s="119" t="n"/>
      <c r="K681" s="34" t="n"/>
      <c r="L681" s="119" t="n"/>
      <c r="M681" s="34" t="n"/>
      <c r="N681" s="119" t="n"/>
      <c r="O681" s="34" t="n"/>
      <c r="P681" s="34" t="n"/>
      <c r="Q681" s="117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  <c r="AA681" s="34" t="n"/>
      <c r="AB681" s="34" t="n"/>
      <c r="AC681" s="34" t="n"/>
      <c r="AD681" s="34" t="n"/>
      <c r="AE681" s="34" t="n"/>
      <c r="AF681" s="34" t="n"/>
      <c r="AG681" s="34" t="n"/>
      <c r="AH681" s="34" t="n"/>
      <c r="AK681" s="34" t="n"/>
      <c r="AL681" s="34" t="n"/>
      <c r="AM681" s="39" t="n"/>
      <c r="AN681" s="34" t="n"/>
      <c r="AO681" s="34" t="n"/>
      <c r="AP681" s="34" t="n"/>
      <c r="AQ681" s="34" t="n"/>
      <c r="AR681" s="34" t="n"/>
      <c r="AS681" s="34" t="n"/>
      <c r="AU681" s="34" t="n"/>
      <c r="AV681" s="34" t="n"/>
      <c r="AW681" s="34" t="n"/>
      <c r="AX681" s="34" t="n"/>
      <c r="AY681" s="34" t="n"/>
      <c r="AZ681" s="34" t="n"/>
      <c r="BA681" s="34" t="n"/>
      <c r="BB681" s="34" t="n"/>
      <c r="BC681" s="34" t="n"/>
      <c r="BD681" s="34" t="n"/>
      <c r="BE681" s="34" t="n"/>
      <c r="BF681" s="34" t="n"/>
      <c r="BG681" s="34" t="n"/>
      <c r="BH681" s="34" t="n"/>
      <c r="BI681" s="34" t="n"/>
      <c r="BJ681" s="34" t="n"/>
      <c r="BK681" s="34" t="n"/>
      <c r="BL681" s="34" t="n"/>
      <c r="BM681" s="34" t="n"/>
      <c r="BN681" s="34" t="n"/>
      <c r="BO681" s="34" t="n"/>
      <c r="BP681" s="34" t="n"/>
      <c r="BQ681" s="34" t="n"/>
      <c r="BR681" s="82" t="n"/>
      <c r="BS681" s="34" t="n"/>
      <c r="BT681" s="34" t="n"/>
      <c r="BU681" s="34" t="n"/>
      <c r="BV681" s="34" t="n"/>
      <c r="BW681" s="34" t="n"/>
      <c r="BX681" s="34" t="n"/>
      <c r="BY681" s="34" t="n"/>
      <c r="BZ681" s="34" t="n"/>
      <c r="CA681" s="34" t="n"/>
      <c r="CB681" s="33" t="n"/>
      <c r="CC681" s="34" t="n"/>
      <c r="CD681" s="34" t="n"/>
      <c r="CE681" s="82" t="n"/>
      <c r="CF681" s="34" t="n"/>
      <c r="CG681" s="34" t="n"/>
      <c r="CH681" s="34" t="n"/>
      <c r="CI681" s="34" t="n"/>
      <c r="CJ681" s="34" t="n"/>
    </row>
    <row r="682">
      <c r="A682" s="29" t="n"/>
      <c r="B682" s="29" t="n"/>
      <c r="C682" s="35" t="n"/>
      <c r="D682" s="36" t="n"/>
      <c r="E682" s="147" t="n"/>
      <c r="F682" s="30" t="n"/>
      <c r="G682" s="30" t="n"/>
      <c r="H682" s="30" t="n"/>
      <c r="I682" s="30" t="n"/>
      <c r="J682" s="119" t="n"/>
      <c r="K682" s="34" t="n"/>
      <c r="L682" s="119" t="n"/>
      <c r="M682" s="34" t="n"/>
      <c r="N682" s="119" t="n"/>
      <c r="O682" s="34" t="n"/>
      <c r="P682" s="34" t="n"/>
      <c r="Q682" s="117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  <c r="AA682" s="34" t="n"/>
      <c r="AB682" s="34" t="n"/>
      <c r="AC682" s="34" t="n"/>
      <c r="AD682" s="34" t="n"/>
      <c r="AE682" s="34" t="n"/>
      <c r="AF682" s="34" t="n"/>
      <c r="AG682" s="34" t="n"/>
      <c r="AH682" s="34" t="n"/>
      <c r="AK682" s="34" t="n"/>
      <c r="AL682" s="34" t="n"/>
      <c r="AM682" s="39" t="n"/>
      <c r="AN682" s="34" t="n"/>
      <c r="AO682" s="34" t="n"/>
      <c r="AP682" s="34" t="n"/>
      <c r="AQ682" s="34" t="n"/>
      <c r="AR682" s="34" t="n"/>
      <c r="AS682" s="34" t="n"/>
      <c r="AU682" s="34" t="n"/>
      <c r="AV682" s="34" t="n"/>
      <c r="AW682" s="34" t="n"/>
      <c r="AX682" s="34" t="n"/>
      <c r="AY682" s="34" t="n"/>
      <c r="AZ682" s="34" t="n"/>
      <c r="BA682" s="34" t="n"/>
      <c r="BB682" s="34" t="n"/>
      <c r="BC682" s="34" t="n"/>
      <c r="BD682" s="34" t="n"/>
      <c r="BE682" s="34" t="n"/>
      <c r="BF682" s="34" t="n"/>
      <c r="BG682" s="34" t="n"/>
      <c r="BH682" s="34" t="n"/>
      <c r="BI682" s="34" t="n"/>
      <c r="BJ682" s="34" t="n"/>
      <c r="BK682" s="34" t="n"/>
      <c r="BL682" s="34" t="n"/>
      <c r="BM682" s="34" t="n"/>
      <c r="BN682" s="34" t="n"/>
      <c r="BO682" s="34" t="n"/>
      <c r="BP682" s="34" t="n"/>
      <c r="BQ682" s="34" t="n"/>
      <c r="BR682" s="82" t="n"/>
      <c r="BS682" s="34" t="n"/>
      <c r="BT682" s="34" t="n"/>
      <c r="BU682" s="34" t="n"/>
      <c r="BV682" s="34" t="n"/>
      <c r="BW682" s="34" t="n"/>
      <c r="BX682" s="34" t="n"/>
      <c r="BY682" s="34" t="n"/>
      <c r="BZ682" s="34" t="n"/>
      <c r="CA682" s="34" t="n"/>
      <c r="CB682" s="33" t="n"/>
      <c r="CC682" s="34" t="n"/>
      <c r="CD682" s="34" t="n"/>
      <c r="CE682" s="82" t="n"/>
      <c r="CF682" s="34" t="n"/>
      <c r="CG682" s="34" t="n"/>
      <c r="CH682" s="34" t="n"/>
      <c r="CI682" s="34" t="n"/>
      <c r="CJ682" s="34" t="n"/>
    </row>
    <row r="683">
      <c r="A683" s="29" t="n"/>
      <c r="B683" s="29" t="n"/>
      <c r="C683" s="35" t="n"/>
      <c r="D683" s="36" t="n"/>
      <c r="E683" s="147" t="n"/>
      <c r="F683" s="30" t="n"/>
      <c r="G683" s="30" t="n"/>
      <c r="H683" s="30" t="n"/>
      <c r="I683" s="30" t="n"/>
      <c r="J683" s="119" t="n"/>
      <c r="K683" s="34" t="n"/>
      <c r="L683" s="119" t="n"/>
      <c r="M683" s="34" t="n"/>
      <c r="N683" s="119" t="n"/>
      <c r="O683" s="34" t="n"/>
      <c r="P683" s="34" t="n"/>
      <c r="Q683" s="117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  <c r="AA683" s="34" t="n"/>
      <c r="AB683" s="34" t="n"/>
      <c r="AC683" s="34" t="n"/>
      <c r="AD683" s="34" t="n"/>
      <c r="AE683" s="34" t="n"/>
      <c r="AF683" s="34" t="n"/>
      <c r="AG683" s="34" t="n"/>
      <c r="AH683" s="34" t="n"/>
      <c r="AK683" s="34" t="n"/>
      <c r="AL683" s="34" t="n"/>
      <c r="AM683" s="39" t="n"/>
      <c r="AN683" s="34" t="n"/>
      <c r="AO683" s="34" t="n"/>
      <c r="AP683" s="34" t="n"/>
      <c r="AQ683" s="34" t="n"/>
      <c r="AR683" s="34" t="n"/>
      <c r="AS683" s="34" t="n"/>
      <c r="AU683" s="34" t="n"/>
      <c r="AV683" s="34" t="n"/>
      <c r="AW683" s="34" t="n"/>
      <c r="AX683" s="34" t="n"/>
      <c r="AY683" s="34" t="n"/>
      <c r="AZ683" s="34" t="n"/>
      <c r="BA683" s="34" t="n"/>
      <c r="BB683" s="34" t="n"/>
      <c r="BC683" s="34" t="n"/>
      <c r="BD683" s="34" t="n"/>
      <c r="BE683" s="34" t="n"/>
      <c r="BF683" s="34" t="n"/>
      <c r="BG683" s="34" t="n"/>
      <c r="BH683" s="34" t="n"/>
      <c r="BI683" s="34" t="n"/>
      <c r="BJ683" s="34" t="n"/>
      <c r="BK683" s="34" t="n"/>
      <c r="BL683" s="34" t="n"/>
      <c r="BM683" s="34" t="n"/>
      <c r="BN683" s="34" t="n"/>
      <c r="BO683" s="34" t="n"/>
      <c r="BP683" s="34" t="n"/>
      <c r="BQ683" s="34" t="n"/>
      <c r="BR683" s="82" t="n"/>
      <c r="BS683" s="34" t="n"/>
      <c r="BT683" s="34" t="n"/>
      <c r="BU683" s="34" t="n"/>
      <c r="BV683" s="34" t="n"/>
      <c r="BW683" s="34" t="n"/>
      <c r="BX683" s="34" t="n"/>
      <c r="BY683" s="34" t="n"/>
      <c r="BZ683" s="34" t="n"/>
      <c r="CA683" s="34" t="n"/>
      <c r="CB683" s="33" t="n"/>
      <c r="CC683" s="34" t="n"/>
      <c r="CD683" s="34" t="n"/>
      <c r="CE683" s="82" t="n"/>
      <c r="CF683" s="34" t="n"/>
      <c r="CG683" s="34" t="n"/>
      <c r="CH683" s="34" t="n"/>
      <c r="CI683" s="34" t="n"/>
      <c r="CJ683" s="34" t="n"/>
    </row>
    <row r="684">
      <c r="A684" s="29" t="n"/>
      <c r="B684" s="29" t="n"/>
      <c r="C684" s="35" t="n"/>
      <c r="D684" s="36" t="n"/>
      <c r="E684" s="147" t="n"/>
      <c r="F684" s="30" t="n"/>
      <c r="G684" s="30" t="n"/>
      <c r="H684" s="30" t="n"/>
      <c r="I684" s="30" t="n"/>
      <c r="J684" s="119" t="n"/>
      <c r="K684" s="34" t="n"/>
      <c r="L684" s="119" t="n"/>
      <c r="M684" s="34" t="n"/>
      <c r="N684" s="119" t="n"/>
      <c r="O684" s="34" t="n"/>
      <c r="P684" s="34" t="n"/>
      <c r="Q684" s="117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  <c r="AA684" s="34" t="n"/>
      <c r="AB684" s="34" t="n"/>
      <c r="AC684" s="34" t="n"/>
      <c r="AD684" s="34" t="n"/>
      <c r="AE684" s="34" t="n"/>
      <c r="AF684" s="34" t="n"/>
      <c r="AG684" s="34" t="n"/>
      <c r="AH684" s="34" t="n"/>
      <c r="AK684" s="34" t="n"/>
      <c r="AL684" s="34" t="n"/>
      <c r="AM684" s="39" t="n"/>
      <c r="AN684" s="34" t="n"/>
      <c r="AO684" s="34" t="n"/>
      <c r="AP684" s="34" t="n"/>
      <c r="AQ684" s="34" t="n"/>
      <c r="AR684" s="34" t="n"/>
      <c r="AS684" s="34" t="n"/>
      <c r="AU684" s="34" t="n"/>
      <c r="AV684" s="34" t="n"/>
      <c r="AW684" s="34" t="n"/>
      <c r="AX684" s="34" t="n"/>
      <c r="AY684" s="34" t="n"/>
      <c r="AZ684" s="34" t="n"/>
      <c r="BA684" s="34" t="n"/>
      <c r="BB684" s="34" t="n"/>
      <c r="BC684" s="34" t="n"/>
      <c r="BD684" s="34" t="n"/>
      <c r="BE684" s="34" t="n"/>
      <c r="BF684" s="34" t="n"/>
      <c r="BG684" s="34" t="n"/>
      <c r="BH684" s="34" t="n"/>
      <c r="BI684" s="34" t="n"/>
      <c r="BJ684" s="34" t="n"/>
      <c r="BK684" s="34" t="n"/>
      <c r="BL684" s="34" t="n"/>
      <c r="BM684" s="34" t="n"/>
      <c r="BN684" s="34" t="n"/>
      <c r="BO684" s="34" t="n"/>
      <c r="BP684" s="34" t="n"/>
      <c r="BQ684" s="34" t="n"/>
      <c r="BR684" s="82" t="n"/>
      <c r="BS684" s="34" t="n"/>
      <c r="BT684" s="34" t="n"/>
      <c r="BU684" s="34" t="n"/>
      <c r="BV684" s="34" t="n"/>
      <c r="BW684" s="34" t="n"/>
      <c r="BX684" s="34" t="n"/>
      <c r="BY684" s="34" t="n"/>
      <c r="BZ684" s="34" t="n"/>
      <c r="CA684" s="34" t="n"/>
      <c r="CB684" s="33" t="n"/>
      <c r="CC684" s="34" t="n"/>
      <c r="CD684" s="34" t="n"/>
      <c r="CE684" s="82" t="n"/>
      <c r="CF684" s="34" t="n"/>
      <c r="CG684" s="34" t="n"/>
      <c r="CH684" s="34" t="n"/>
      <c r="CI684" s="34" t="n"/>
      <c r="CJ684" s="34" t="n"/>
    </row>
    <row r="685">
      <c r="A685" s="29" t="n"/>
      <c r="B685" s="29" t="n"/>
      <c r="C685" s="35" t="n"/>
      <c r="D685" s="36" t="n"/>
      <c r="E685" s="147" t="n"/>
      <c r="F685" s="30" t="n"/>
      <c r="G685" s="30" t="n"/>
      <c r="H685" s="30" t="n"/>
      <c r="I685" s="30" t="n"/>
      <c r="J685" s="119" t="n"/>
      <c r="K685" s="34" t="n"/>
      <c r="L685" s="119" t="n"/>
      <c r="M685" s="34" t="n"/>
      <c r="N685" s="119" t="n"/>
      <c r="O685" s="34" t="n"/>
      <c r="P685" s="34" t="n"/>
      <c r="Q685" s="117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  <c r="AA685" s="34" t="n"/>
      <c r="AB685" s="34" t="n"/>
      <c r="AC685" s="34" t="n"/>
      <c r="AD685" s="34" t="n"/>
      <c r="AE685" s="34" t="n"/>
      <c r="AF685" s="34" t="n"/>
      <c r="AG685" s="34" t="n"/>
      <c r="AH685" s="34" t="n"/>
      <c r="AK685" s="34" t="n"/>
      <c r="AL685" s="34" t="n"/>
      <c r="AM685" s="39" t="n"/>
      <c r="AN685" s="34" t="n"/>
      <c r="AO685" s="34" t="n"/>
      <c r="AP685" s="34" t="n"/>
      <c r="AQ685" s="34" t="n"/>
      <c r="AR685" s="34" t="n"/>
      <c r="AS685" s="34" t="n"/>
      <c r="AU685" s="34" t="n"/>
      <c r="AV685" s="34" t="n"/>
      <c r="AW685" s="34" t="n"/>
      <c r="AX685" s="34" t="n"/>
      <c r="AY685" s="34" t="n"/>
      <c r="AZ685" s="34" t="n"/>
      <c r="BA685" s="34" t="n"/>
      <c r="BB685" s="34" t="n"/>
      <c r="BC685" s="34" t="n"/>
      <c r="BD685" s="34" t="n"/>
      <c r="BE685" s="34" t="n"/>
      <c r="BF685" s="34" t="n"/>
      <c r="BG685" s="34" t="n"/>
      <c r="BH685" s="34" t="n"/>
      <c r="BI685" s="34" t="n"/>
      <c r="BJ685" s="34" t="n"/>
      <c r="BK685" s="34" t="n"/>
      <c r="BL685" s="34" t="n"/>
      <c r="BM685" s="34" t="n"/>
      <c r="BN685" s="34" t="n"/>
      <c r="BO685" s="34" t="n"/>
      <c r="BP685" s="34" t="n"/>
      <c r="BQ685" s="34" t="n"/>
      <c r="BR685" s="82" t="n"/>
      <c r="BS685" s="34" t="n"/>
      <c r="BT685" s="34" t="n"/>
      <c r="BU685" s="34" t="n"/>
      <c r="BV685" s="34" t="n"/>
      <c r="BW685" s="34" t="n"/>
      <c r="BX685" s="34" t="n"/>
      <c r="BY685" s="34" t="n"/>
      <c r="BZ685" s="34" t="n"/>
      <c r="CA685" s="34" t="n"/>
      <c r="CB685" s="33" t="n"/>
      <c r="CC685" s="34" t="n"/>
      <c r="CD685" s="34" t="n"/>
      <c r="CE685" s="82" t="n"/>
      <c r="CF685" s="34" t="n"/>
      <c r="CG685" s="34" t="n"/>
      <c r="CH685" s="34" t="n"/>
      <c r="CI685" s="34" t="n"/>
      <c r="CJ685" s="34" t="n"/>
    </row>
    <row r="686">
      <c r="A686" s="29" t="n"/>
      <c r="B686" s="29" t="n"/>
      <c r="C686" s="35" t="n"/>
      <c r="D686" s="36" t="n"/>
      <c r="E686" s="147" t="n"/>
      <c r="F686" s="30" t="n"/>
      <c r="G686" s="30" t="n"/>
      <c r="H686" s="30" t="n"/>
      <c r="I686" s="30" t="n"/>
      <c r="J686" s="119" t="n"/>
      <c r="K686" s="34" t="n"/>
      <c r="L686" s="119" t="n"/>
      <c r="M686" s="34" t="n"/>
      <c r="N686" s="119" t="n"/>
      <c r="O686" s="34" t="n"/>
      <c r="P686" s="34" t="n"/>
      <c r="Q686" s="117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  <c r="AA686" s="34" t="n"/>
      <c r="AB686" s="34" t="n"/>
      <c r="AC686" s="34" t="n"/>
      <c r="AD686" s="34" t="n"/>
      <c r="AE686" s="34" t="n"/>
      <c r="AF686" s="34" t="n"/>
      <c r="AG686" s="34" t="n"/>
      <c r="AH686" s="34" t="n"/>
      <c r="AK686" s="34" t="n"/>
      <c r="AL686" s="34" t="n"/>
      <c r="AM686" s="39" t="n"/>
      <c r="AN686" s="34" t="n"/>
      <c r="AO686" s="34" t="n"/>
      <c r="AP686" s="34" t="n"/>
      <c r="AQ686" s="34" t="n"/>
      <c r="AR686" s="34" t="n"/>
      <c r="AS686" s="34" t="n"/>
      <c r="AU686" s="34" t="n"/>
      <c r="AV686" s="34" t="n"/>
      <c r="AW686" s="34" t="n"/>
      <c r="AX686" s="34" t="n"/>
      <c r="AY686" s="34" t="n"/>
      <c r="AZ686" s="34" t="n"/>
      <c r="BA686" s="34" t="n"/>
      <c r="BB686" s="34" t="n"/>
      <c r="BC686" s="34" t="n"/>
      <c r="BD686" s="34" t="n"/>
      <c r="BE686" s="34" t="n"/>
      <c r="BF686" s="34" t="n"/>
      <c r="BG686" s="34" t="n"/>
      <c r="BH686" s="34" t="n"/>
      <c r="BI686" s="34" t="n"/>
      <c r="BJ686" s="34" t="n"/>
      <c r="BK686" s="34" t="n"/>
      <c r="BL686" s="34" t="n"/>
      <c r="BM686" s="34" t="n"/>
      <c r="BN686" s="34" t="n"/>
      <c r="BO686" s="34" t="n"/>
      <c r="BP686" s="34" t="n"/>
      <c r="BQ686" s="34" t="n"/>
      <c r="BR686" s="82" t="n"/>
      <c r="BS686" s="34" t="n"/>
      <c r="BT686" s="34" t="n"/>
      <c r="BU686" s="34" t="n"/>
      <c r="BV686" s="34" t="n"/>
      <c r="BW686" s="34" t="n"/>
      <c r="BX686" s="34" t="n"/>
      <c r="BY686" s="34" t="n"/>
      <c r="BZ686" s="34" t="n"/>
      <c r="CA686" s="34" t="n"/>
      <c r="CB686" s="33" t="n"/>
      <c r="CC686" s="34" t="n"/>
      <c r="CD686" s="34" t="n"/>
      <c r="CE686" s="82" t="n"/>
      <c r="CF686" s="34" t="n"/>
      <c r="CG686" s="34" t="n"/>
      <c r="CH686" s="34" t="n"/>
      <c r="CI686" s="34" t="n"/>
      <c r="CJ686" s="34" t="n"/>
    </row>
    <row r="687">
      <c r="A687" s="29" t="n"/>
      <c r="B687" s="29" t="n"/>
      <c r="C687" s="35" t="n"/>
      <c r="D687" s="36" t="n"/>
      <c r="E687" s="147" t="n"/>
      <c r="F687" s="30" t="n"/>
      <c r="G687" s="30" t="n"/>
      <c r="H687" s="30" t="n"/>
      <c r="I687" s="30" t="n"/>
      <c r="J687" s="119" t="n"/>
      <c r="K687" s="34" t="n"/>
      <c r="L687" s="119" t="n"/>
      <c r="M687" s="34" t="n"/>
      <c r="N687" s="119" t="n"/>
      <c r="O687" s="34" t="n"/>
      <c r="P687" s="34" t="n"/>
      <c r="Q687" s="117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  <c r="AA687" s="34" t="n"/>
      <c r="AB687" s="34" t="n"/>
      <c r="AC687" s="34" t="n"/>
      <c r="AD687" s="34" t="n"/>
      <c r="AE687" s="34" t="n"/>
      <c r="AF687" s="34" t="n"/>
      <c r="AG687" s="34" t="n"/>
      <c r="AH687" s="34" t="n"/>
      <c r="AK687" s="34" t="n"/>
      <c r="AL687" s="34" t="n"/>
      <c r="AM687" s="39" t="n"/>
      <c r="AN687" s="34" t="n"/>
      <c r="AO687" s="34" t="n"/>
      <c r="AP687" s="34" t="n"/>
      <c r="AQ687" s="34" t="n"/>
      <c r="AR687" s="34" t="n"/>
      <c r="AS687" s="34" t="n"/>
      <c r="AU687" s="34" t="n"/>
      <c r="AV687" s="34" t="n"/>
      <c r="AW687" s="34" t="n"/>
      <c r="AX687" s="34" t="n"/>
      <c r="AY687" s="34" t="n"/>
      <c r="AZ687" s="34" t="n"/>
      <c r="BA687" s="34" t="n"/>
      <c r="BB687" s="34" t="n"/>
      <c r="BC687" s="34" t="n"/>
      <c r="BD687" s="34" t="n"/>
      <c r="BE687" s="34" t="n"/>
      <c r="BF687" s="34" t="n"/>
      <c r="BG687" s="34" t="n"/>
      <c r="BH687" s="34" t="n"/>
      <c r="BI687" s="34" t="n"/>
      <c r="BJ687" s="34" t="n"/>
      <c r="BK687" s="34" t="n"/>
      <c r="BL687" s="34" t="n"/>
      <c r="BM687" s="34" t="n"/>
      <c r="BN687" s="34" t="n"/>
      <c r="BO687" s="34" t="n"/>
      <c r="BP687" s="34" t="n"/>
      <c r="BQ687" s="34" t="n"/>
      <c r="BR687" s="82" t="n"/>
      <c r="BS687" s="34" t="n"/>
      <c r="BT687" s="34" t="n"/>
      <c r="BU687" s="34" t="n"/>
      <c r="BV687" s="34" t="n"/>
      <c r="BW687" s="34" t="n"/>
      <c r="BX687" s="34" t="n"/>
      <c r="BY687" s="34" t="n"/>
      <c r="BZ687" s="34" t="n"/>
      <c r="CA687" s="34" t="n"/>
      <c r="CB687" s="33" t="n"/>
      <c r="CC687" s="34" t="n"/>
      <c r="CD687" s="34" t="n"/>
      <c r="CE687" s="82" t="n"/>
      <c r="CF687" s="34" t="n"/>
      <c r="CG687" s="34" t="n"/>
      <c r="CH687" s="34" t="n"/>
      <c r="CI687" s="34" t="n"/>
      <c r="CJ687" s="34" t="n"/>
    </row>
    <row r="688">
      <c r="A688" s="29" t="n"/>
      <c r="B688" s="29" t="n"/>
      <c r="C688" s="35" t="n"/>
      <c r="D688" s="36" t="n"/>
      <c r="E688" s="147" t="n"/>
      <c r="F688" s="30" t="n"/>
      <c r="G688" s="30" t="n"/>
      <c r="H688" s="30" t="n"/>
      <c r="I688" s="30" t="n"/>
      <c r="J688" s="119" t="n"/>
      <c r="K688" s="34" t="n"/>
      <c r="L688" s="119" t="n"/>
      <c r="M688" s="34" t="n"/>
      <c r="N688" s="119" t="n"/>
      <c r="O688" s="34" t="n"/>
      <c r="P688" s="34" t="n"/>
      <c r="Q688" s="117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  <c r="AA688" s="34" t="n"/>
      <c r="AB688" s="34" t="n"/>
      <c r="AC688" s="34" t="n"/>
      <c r="AD688" s="34" t="n"/>
      <c r="AE688" s="34" t="n"/>
      <c r="AF688" s="34" t="n"/>
      <c r="AG688" s="34" t="n"/>
      <c r="AH688" s="34" t="n"/>
      <c r="AK688" s="34" t="n"/>
      <c r="AL688" s="34" t="n"/>
      <c r="AM688" s="39" t="n"/>
      <c r="AN688" s="34" t="n"/>
      <c r="AO688" s="34" t="n"/>
      <c r="AP688" s="34" t="n"/>
      <c r="AQ688" s="34" t="n"/>
      <c r="AR688" s="34" t="n"/>
      <c r="AS688" s="34" t="n"/>
      <c r="AU688" s="34" t="n"/>
      <c r="AV688" s="34" t="n"/>
      <c r="AW688" s="34" t="n"/>
      <c r="AX688" s="34" t="n"/>
      <c r="AY688" s="34" t="n"/>
      <c r="AZ688" s="34" t="n"/>
      <c r="BA688" s="34" t="n"/>
      <c r="BB688" s="34" t="n"/>
      <c r="BC688" s="34" t="n"/>
      <c r="BD688" s="34" t="n"/>
      <c r="BE688" s="34" t="n"/>
      <c r="BF688" s="34" t="n"/>
      <c r="BG688" s="34" t="n"/>
      <c r="BH688" s="34" t="n"/>
      <c r="BI688" s="34" t="n"/>
      <c r="BJ688" s="34" t="n"/>
      <c r="BK688" s="34" t="n"/>
      <c r="BL688" s="34" t="n"/>
      <c r="BM688" s="34" t="n"/>
      <c r="BN688" s="34" t="n"/>
      <c r="BO688" s="34" t="n"/>
      <c r="BP688" s="34" t="n"/>
      <c r="BQ688" s="34" t="n"/>
      <c r="BR688" s="82" t="n"/>
      <c r="BS688" s="34" t="n"/>
      <c r="BT688" s="34" t="n"/>
      <c r="BU688" s="34" t="n"/>
      <c r="BV688" s="34" t="n"/>
      <c r="BW688" s="34" t="n"/>
      <c r="BX688" s="34" t="n"/>
      <c r="BY688" s="34" t="n"/>
      <c r="BZ688" s="34" t="n"/>
      <c r="CA688" s="34" t="n"/>
      <c r="CB688" s="33" t="n"/>
      <c r="CC688" s="34" t="n"/>
      <c r="CD688" s="34" t="n"/>
      <c r="CE688" s="82" t="n"/>
      <c r="CF688" s="34" t="n"/>
      <c r="CG688" s="34" t="n"/>
      <c r="CH688" s="34" t="n"/>
      <c r="CI688" s="34" t="n"/>
      <c r="CJ688" s="34" t="n"/>
    </row>
    <row r="689">
      <c r="A689" s="29" t="n"/>
      <c r="B689" s="29" t="n"/>
      <c r="C689" s="35" t="n"/>
      <c r="D689" s="36" t="n"/>
      <c r="E689" s="147" t="n"/>
      <c r="F689" s="30" t="n"/>
      <c r="G689" s="30" t="n"/>
      <c r="H689" s="30" t="n"/>
      <c r="I689" s="30" t="n"/>
      <c r="J689" s="119" t="n"/>
      <c r="K689" s="34" t="n"/>
      <c r="L689" s="119" t="n"/>
      <c r="M689" s="34" t="n"/>
      <c r="N689" s="119" t="n"/>
      <c r="O689" s="34" t="n"/>
      <c r="P689" s="34" t="n"/>
      <c r="Q689" s="117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  <c r="AA689" s="34" t="n"/>
      <c r="AB689" s="34" t="n"/>
      <c r="AC689" s="34" t="n"/>
      <c r="AD689" s="34" t="n"/>
      <c r="AE689" s="34" t="n"/>
      <c r="AF689" s="34" t="n"/>
      <c r="AG689" s="34" t="n"/>
      <c r="AH689" s="34" t="n"/>
      <c r="AK689" s="34" t="n"/>
      <c r="AL689" s="34" t="n"/>
      <c r="AM689" s="39" t="n"/>
      <c r="AN689" s="34" t="n"/>
      <c r="AO689" s="34" t="n"/>
      <c r="AP689" s="34" t="n"/>
      <c r="AQ689" s="34" t="n"/>
      <c r="AR689" s="34" t="n"/>
      <c r="AS689" s="34" t="n"/>
      <c r="AU689" s="34" t="n"/>
      <c r="AV689" s="34" t="n"/>
      <c r="AW689" s="34" t="n"/>
      <c r="AX689" s="34" t="n"/>
      <c r="AY689" s="34" t="n"/>
      <c r="AZ689" s="34" t="n"/>
      <c r="BA689" s="34" t="n"/>
      <c r="BB689" s="34" t="n"/>
      <c r="BC689" s="34" t="n"/>
      <c r="BD689" s="34" t="n"/>
      <c r="BE689" s="34" t="n"/>
      <c r="BF689" s="34" t="n"/>
      <c r="BG689" s="34" t="n"/>
      <c r="BH689" s="34" t="n"/>
      <c r="BI689" s="34" t="n"/>
      <c r="BJ689" s="34" t="n"/>
      <c r="BK689" s="34" t="n"/>
      <c r="BL689" s="34" t="n"/>
      <c r="BM689" s="34" t="n"/>
      <c r="BN689" s="34" t="n"/>
      <c r="BO689" s="34" t="n"/>
      <c r="BP689" s="34" t="n"/>
      <c r="BQ689" s="34" t="n"/>
      <c r="BR689" s="82" t="n"/>
      <c r="BS689" s="34" t="n"/>
      <c r="BT689" s="34" t="n"/>
      <c r="BU689" s="34" t="n"/>
      <c r="BV689" s="34" t="n"/>
      <c r="BW689" s="34" t="n"/>
      <c r="BX689" s="34" t="n"/>
      <c r="BY689" s="34" t="n"/>
      <c r="BZ689" s="34" t="n"/>
      <c r="CA689" s="34" t="n"/>
      <c r="CB689" s="33" t="n"/>
      <c r="CC689" s="34" t="n"/>
      <c r="CD689" s="34" t="n"/>
      <c r="CE689" s="82" t="n"/>
      <c r="CF689" s="34" t="n"/>
      <c r="CG689" s="34" t="n"/>
      <c r="CH689" s="34" t="n"/>
      <c r="CI689" s="34" t="n"/>
      <c r="CJ689" s="34" t="n"/>
    </row>
    <row r="690">
      <c r="A690" s="29" t="n"/>
      <c r="B690" s="29" t="n"/>
      <c r="C690" s="35" t="n"/>
      <c r="D690" s="36" t="n"/>
      <c r="E690" s="147" t="n"/>
      <c r="F690" s="30" t="n"/>
      <c r="G690" s="30" t="n"/>
      <c r="H690" s="30" t="n"/>
      <c r="I690" s="30" t="n"/>
      <c r="J690" s="119" t="n"/>
      <c r="K690" s="34" t="n"/>
      <c r="L690" s="119" t="n"/>
      <c r="M690" s="34" t="n"/>
      <c r="N690" s="119" t="n"/>
      <c r="O690" s="34" t="n"/>
      <c r="P690" s="34" t="n"/>
      <c r="Q690" s="117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  <c r="AA690" s="34" t="n"/>
      <c r="AB690" s="34" t="n"/>
      <c r="AC690" s="34" t="n"/>
      <c r="AD690" s="34" t="n"/>
      <c r="AE690" s="34" t="n"/>
      <c r="AF690" s="34" t="n"/>
      <c r="AG690" s="34" t="n"/>
      <c r="AH690" s="34" t="n"/>
      <c r="AK690" s="34" t="n"/>
      <c r="AL690" s="34" t="n"/>
      <c r="AM690" s="39" t="n"/>
      <c r="AN690" s="34" t="n"/>
      <c r="AO690" s="34" t="n"/>
      <c r="AP690" s="34" t="n"/>
      <c r="AQ690" s="34" t="n"/>
      <c r="AR690" s="34" t="n"/>
      <c r="AS690" s="34" t="n"/>
      <c r="AU690" s="34" t="n"/>
      <c r="AV690" s="34" t="n"/>
      <c r="AW690" s="34" t="n"/>
      <c r="AX690" s="34" t="n"/>
      <c r="AY690" s="34" t="n"/>
      <c r="AZ690" s="34" t="n"/>
      <c r="BA690" s="34" t="n"/>
      <c r="BB690" s="34" t="n"/>
      <c r="BC690" s="34" t="n"/>
      <c r="BD690" s="34" t="n"/>
      <c r="BE690" s="34" t="n"/>
      <c r="BF690" s="34" t="n"/>
      <c r="BG690" s="34" t="n"/>
      <c r="BH690" s="34" t="n"/>
      <c r="BI690" s="34" t="n"/>
      <c r="BJ690" s="34" t="n"/>
      <c r="BK690" s="34" t="n"/>
      <c r="BL690" s="34" t="n"/>
      <c r="BM690" s="34" t="n"/>
      <c r="BN690" s="34" t="n"/>
      <c r="BO690" s="34" t="n"/>
      <c r="BP690" s="34" t="n"/>
      <c r="BQ690" s="34" t="n"/>
      <c r="BR690" s="82" t="n"/>
      <c r="BS690" s="34" t="n"/>
      <c r="BT690" s="34" t="n"/>
      <c r="BU690" s="34" t="n"/>
      <c r="BV690" s="34" t="n"/>
      <c r="BW690" s="34" t="n"/>
      <c r="BX690" s="34" t="n"/>
      <c r="BY690" s="34" t="n"/>
      <c r="BZ690" s="34" t="n"/>
      <c r="CA690" s="34" t="n"/>
      <c r="CB690" s="33" t="n"/>
      <c r="CC690" s="34" t="n"/>
      <c r="CD690" s="34" t="n"/>
      <c r="CE690" s="82" t="n"/>
      <c r="CF690" s="34" t="n"/>
      <c r="CG690" s="34" t="n"/>
      <c r="CH690" s="34" t="n"/>
      <c r="CI690" s="34" t="n"/>
      <c r="CJ690" s="34" t="n"/>
    </row>
    <row r="691">
      <c r="A691" s="29" t="n"/>
      <c r="B691" s="29" t="n"/>
      <c r="C691" s="35" t="n"/>
      <c r="D691" s="36" t="n"/>
      <c r="E691" s="147" t="n"/>
      <c r="F691" s="30" t="n"/>
      <c r="G691" s="30" t="n"/>
      <c r="H691" s="30" t="n"/>
      <c r="I691" s="30" t="n"/>
      <c r="J691" s="119" t="n"/>
      <c r="K691" s="34" t="n"/>
      <c r="L691" s="119" t="n"/>
      <c r="M691" s="34" t="n"/>
      <c r="N691" s="119" t="n"/>
      <c r="O691" s="34" t="n"/>
      <c r="P691" s="34" t="n"/>
      <c r="Q691" s="117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  <c r="AA691" s="34" t="n"/>
      <c r="AB691" s="34" t="n"/>
      <c r="AC691" s="34" t="n"/>
      <c r="AD691" s="34" t="n"/>
      <c r="AE691" s="34" t="n"/>
      <c r="AF691" s="34" t="n"/>
      <c r="AG691" s="34" t="n"/>
      <c r="AH691" s="34" t="n"/>
      <c r="AK691" s="34" t="n"/>
      <c r="AL691" s="34" t="n"/>
      <c r="AM691" s="39" t="n"/>
      <c r="AN691" s="34" t="n"/>
      <c r="AO691" s="34" t="n"/>
      <c r="AP691" s="34" t="n"/>
      <c r="AQ691" s="34" t="n"/>
      <c r="AR691" s="34" t="n"/>
      <c r="AS691" s="34" t="n"/>
      <c r="AU691" s="34" t="n"/>
      <c r="AV691" s="34" t="n"/>
      <c r="AW691" s="34" t="n"/>
      <c r="AX691" s="34" t="n"/>
      <c r="AY691" s="34" t="n"/>
      <c r="AZ691" s="34" t="n"/>
      <c r="BA691" s="34" t="n"/>
      <c r="BB691" s="34" t="n"/>
      <c r="BC691" s="34" t="n"/>
      <c r="BD691" s="34" t="n"/>
      <c r="BE691" s="34" t="n"/>
      <c r="BF691" s="34" t="n"/>
      <c r="BG691" s="34" t="n"/>
      <c r="BH691" s="34" t="n"/>
      <c r="BI691" s="34" t="n"/>
      <c r="BJ691" s="34" t="n"/>
      <c r="BK691" s="34" t="n"/>
      <c r="BL691" s="34" t="n"/>
      <c r="BM691" s="34" t="n"/>
      <c r="BN691" s="34" t="n"/>
      <c r="BO691" s="34" t="n"/>
      <c r="BP691" s="34" t="n"/>
      <c r="BQ691" s="34" t="n"/>
      <c r="BR691" s="82" t="n"/>
      <c r="BS691" s="34" t="n"/>
      <c r="BT691" s="34" t="n"/>
      <c r="BU691" s="34" t="n"/>
      <c r="BV691" s="34" t="n"/>
      <c r="BW691" s="34" t="n"/>
      <c r="BX691" s="34" t="n"/>
      <c r="BY691" s="34" t="n"/>
      <c r="BZ691" s="34" t="n"/>
      <c r="CA691" s="34" t="n"/>
      <c r="CB691" s="33" t="n"/>
      <c r="CC691" s="34" t="n"/>
      <c r="CD691" s="34" t="n"/>
      <c r="CE691" s="82" t="n"/>
      <c r="CF691" s="34" t="n"/>
      <c r="CG691" s="34" t="n"/>
      <c r="CH691" s="34" t="n"/>
      <c r="CI691" s="34" t="n"/>
      <c r="CJ691" s="34" t="n"/>
    </row>
    <row r="692">
      <c r="A692" s="29" t="n"/>
      <c r="B692" s="29" t="n"/>
      <c r="C692" s="35" t="n"/>
      <c r="D692" s="36" t="n"/>
      <c r="E692" s="147" t="n"/>
      <c r="F692" s="30" t="n"/>
      <c r="G692" s="30" t="n"/>
      <c r="H692" s="30" t="n"/>
      <c r="I692" s="30" t="n"/>
      <c r="J692" s="119" t="n"/>
      <c r="K692" s="34" t="n"/>
      <c r="L692" s="119" t="n"/>
      <c r="M692" s="34" t="n"/>
      <c r="N692" s="119" t="n"/>
      <c r="O692" s="34" t="n"/>
      <c r="P692" s="34" t="n"/>
      <c r="Q692" s="117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  <c r="AA692" s="34" t="n"/>
      <c r="AB692" s="34" t="n"/>
      <c r="AC692" s="34" t="n"/>
      <c r="AD692" s="34" t="n"/>
      <c r="AE692" s="34" t="n"/>
      <c r="AF692" s="34" t="n"/>
      <c r="AG692" s="34" t="n"/>
      <c r="AH692" s="34" t="n"/>
      <c r="AK692" s="34" t="n"/>
      <c r="AL692" s="34" t="n"/>
      <c r="AM692" s="39" t="n"/>
      <c r="AN692" s="34" t="n"/>
      <c r="AO692" s="34" t="n"/>
      <c r="AP692" s="34" t="n"/>
      <c r="AQ692" s="34" t="n"/>
      <c r="AR692" s="34" t="n"/>
      <c r="AS692" s="34" t="n"/>
      <c r="AU692" s="34" t="n"/>
      <c r="AV692" s="34" t="n"/>
      <c r="AW692" s="34" t="n"/>
      <c r="AX692" s="34" t="n"/>
      <c r="AY692" s="34" t="n"/>
      <c r="AZ692" s="34" t="n"/>
      <c r="BA692" s="34" t="n"/>
      <c r="BB692" s="34" t="n"/>
      <c r="BC692" s="34" t="n"/>
      <c r="BD692" s="34" t="n"/>
      <c r="BE692" s="34" t="n"/>
      <c r="BF692" s="34" t="n"/>
      <c r="BG692" s="34" t="n"/>
      <c r="BH692" s="34" t="n"/>
      <c r="BI692" s="34" t="n"/>
      <c r="BJ692" s="34" t="n"/>
      <c r="BK692" s="34" t="n"/>
      <c r="BL692" s="34" t="n"/>
      <c r="BM692" s="34" t="n"/>
      <c r="BN692" s="34" t="n"/>
      <c r="BO692" s="34" t="n"/>
      <c r="BP692" s="34" t="n"/>
      <c r="BQ692" s="34" t="n"/>
      <c r="BR692" s="82" t="n"/>
      <c r="BS692" s="34" t="n"/>
      <c r="BT692" s="34" t="n"/>
      <c r="BU692" s="34" t="n"/>
      <c r="BV692" s="34" t="n"/>
      <c r="BW692" s="34" t="n"/>
      <c r="BX692" s="34" t="n"/>
      <c r="BY692" s="34" t="n"/>
      <c r="BZ692" s="34" t="n"/>
      <c r="CA692" s="34" t="n"/>
      <c r="CB692" s="33" t="n"/>
      <c r="CC692" s="34" t="n"/>
      <c r="CD692" s="34" t="n"/>
      <c r="CE692" s="82" t="n"/>
      <c r="CF692" s="34" t="n"/>
      <c r="CG692" s="34" t="n"/>
      <c r="CH692" s="34" t="n"/>
      <c r="CI692" s="34" t="n"/>
      <c r="CJ692" s="34" t="n"/>
    </row>
    <row r="693">
      <c r="A693" s="29" t="n"/>
      <c r="B693" s="29" t="n"/>
      <c r="C693" s="35" t="n"/>
      <c r="D693" s="36" t="n"/>
      <c r="E693" s="147" t="n"/>
      <c r="F693" s="30" t="n"/>
      <c r="G693" s="30" t="n"/>
      <c r="H693" s="30" t="n"/>
      <c r="I693" s="30" t="n"/>
      <c r="J693" s="119" t="n"/>
      <c r="K693" s="34" t="n"/>
      <c r="L693" s="119" t="n"/>
      <c r="M693" s="34" t="n"/>
      <c r="N693" s="119" t="n"/>
      <c r="O693" s="34" t="n"/>
      <c r="P693" s="34" t="n"/>
      <c r="Q693" s="117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  <c r="AA693" s="34" t="n"/>
      <c r="AB693" s="34" t="n"/>
      <c r="AC693" s="34" t="n"/>
      <c r="AD693" s="34" t="n"/>
      <c r="AE693" s="34" t="n"/>
      <c r="AF693" s="34" t="n"/>
      <c r="AG693" s="34" t="n"/>
      <c r="AH693" s="34" t="n"/>
      <c r="AK693" s="34" t="n"/>
      <c r="AL693" s="34" t="n"/>
      <c r="AM693" s="39" t="n"/>
      <c r="AN693" s="34" t="n"/>
      <c r="AO693" s="34" t="n"/>
      <c r="AP693" s="34" t="n"/>
      <c r="AQ693" s="34" t="n"/>
      <c r="AR693" s="34" t="n"/>
      <c r="AS693" s="34" t="n"/>
      <c r="AU693" s="34" t="n"/>
      <c r="AV693" s="34" t="n"/>
      <c r="AW693" s="34" t="n"/>
      <c r="AX693" s="34" t="n"/>
      <c r="AY693" s="34" t="n"/>
      <c r="AZ693" s="34" t="n"/>
      <c r="BA693" s="34" t="n"/>
      <c r="BB693" s="34" t="n"/>
      <c r="BC693" s="34" t="n"/>
      <c r="BD693" s="34" t="n"/>
      <c r="BE693" s="34" t="n"/>
      <c r="BF693" s="34" t="n"/>
      <c r="BG693" s="34" t="n"/>
      <c r="BH693" s="34" t="n"/>
      <c r="BI693" s="34" t="n"/>
      <c r="BJ693" s="34" t="n"/>
      <c r="BK693" s="34" t="n"/>
      <c r="BL693" s="34" t="n"/>
      <c r="BM693" s="34" t="n"/>
      <c r="BN693" s="34" t="n"/>
      <c r="BO693" s="34" t="n"/>
      <c r="BP693" s="34" t="n"/>
      <c r="BQ693" s="34" t="n"/>
      <c r="BR693" s="82" t="n"/>
      <c r="BS693" s="34" t="n"/>
      <c r="BT693" s="34" t="n"/>
      <c r="BU693" s="34" t="n"/>
      <c r="BV693" s="34" t="n"/>
      <c r="BW693" s="34" t="n"/>
      <c r="BX693" s="34" t="n"/>
      <c r="BY693" s="34" t="n"/>
      <c r="BZ693" s="34" t="n"/>
      <c r="CA693" s="34" t="n"/>
      <c r="CB693" s="33" t="n"/>
      <c r="CC693" s="34" t="n"/>
      <c r="CD693" s="34" t="n"/>
      <c r="CE693" s="82" t="n"/>
      <c r="CF693" s="34" t="n"/>
      <c r="CG693" s="34" t="n"/>
      <c r="CH693" s="34" t="n"/>
      <c r="CI693" s="34" t="n"/>
      <c r="CJ693" s="34" t="n"/>
    </row>
    <row r="694">
      <c r="A694" s="29" t="n"/>
      <c r="B694" s="29" t="n"/>
      <c r="C694" s="35" t="n"/>
      <c r="D694" s="36" t="n"/>
      <c r="E694" s="147" t="n"/>
      <c r="F694" s="30" t="n"/>
      <c r="G694" s="30" t="n"/>
      <c r="H694" s="30" t="n"/>
      <c r="I694" s="30" t="n"/>
      <c r="J694" s="119" t="n"/>
      <c r="K694" s="34" t="n"/>
      <c r="L694" s="119" t="n"/>
      <c r="M694" s="34" t="n"/>
      <c r="N694" s="119" t="n"/>
      <c r="O694" s="34" t="n"/>
      <c r="P694" s="34" t="n"/>
      <c r="Q694" s="117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  <c r="AA694" s="34" t="n"/>
      <c r="AB694" s="34" t="n"/>
      <c r="AC694" s="34" t="n"/>
      <c r="AD694" s="34" t="n"/>
      <c r="AE694" s="34" t="n"/>
      <c r="AF694" s="34" t="n"/>
      <c r="AG694" s="34" t="n"/>
      <c r="AH694" s="34" t="n"/>
      <c r="AK694" s="34" t="n"/>
      <c r="AL694" s="34" t="n"/>
      <c r="AM694" s="39" t="n"/>
      <c r="AN694" s="34" t="n"/>
      <c r="AO694" s="34" t="n"/>
      <c r="AP694" s="34" t="n"/>
      <c r="AQ694" s="34" t="n"/>
      <c r="AR694" s="34" t="n"/>
      <c r="AS694" s="34" t="n"/>
      <c r="AU694" s="34" t="n"/>
      <c r="AV694" s="34" t="n"/>
      <c r="AW694" s="34" t="n"/>
      <c r="AX694" s="34" t="n"/>
      <c r="AY694" s="34" t="n"/>
      <c r="AZ694" s="34" t="n"/>
      <c r="BA694" s="34" t="n"/>
      <c r="BB694" s="34" t="n"/>
      <c r="BC694" s="34" t="n"/>
      <c r="BD694" s="34" t="n"/>
      <c r="BE694" s="34" t="n"/>
      <c r="BF694" s="34" t="n"/>
      <c r="BG694" s="34" t="n"/>
      <c r="BH694" s="34" t="n"/>
      <c r="BI694" s="34" t="n"/>
      <c r="BJ694" s="34" t="n"/>
      <c r="BK694" s="34" t="n"/>
      <c r="BL694" s="34" t="n"/>
      <c r="BM694" s="34" t="n"/>
      <c r="BN694" s="34" t="n"/>
      <c r="BO694" s="34" t="n"/>
      <c r="BP694" s="34" t="n"/>
      <c r="BQ694" s="34" t="n"/>
      <c r="BR694" s="82" t="n"/>
      <c r="BS694" s="34" t="n"/>
      <c r="BT694" s="34" t="n"/>
      <c r="BU694" s="34" t="n"/>
      <c r="BV694" s="34" t="n"/>
      <c r="BW694" s="34" t="n"/>
      <c r="BX694" s="34" t="n"/>
      <c r="BY694" s="34" t="n"/>
      <c r="BZ694" s="34" t="n"/>
      <c r="CA694" s="34" t="n"/>
      <c r="CB694" s="33" t="n"/>
      <c r="CC694" s="34" t="n"/>
      <c r="CD694" s="34" t="n"/>
      <c r="CE694" s="82" t="n"/>
      <c r="CF694" s="34" t="n"/>
      <c r="CG694" s="34" t="n"/>
      <c r="CH694" s="34" t="n"/>
      <c r="CI694" s="34" t="n"/>
      <c r="CJ694" s="34" t="n"/>
    </row>
    <row r="695">
      <c r="A695" s="29" t="n"/>
      <c r="B695" s="29" t="n"/>
      <c r="C695" s="35" t="n"/>
      <c r="D695" s="36" t="n"/>
      <c r="E695" s="147" t="n"/>
      <c r="F695" s="30" t="n"/>
      <c r="G695" s="30" t="n"/>
      <c r="H695" s="30" t="n"/>
      <c r="I695" s="30" t="n"/>
      <c r="J695" s="119" t="n"/>
      <c r="K695" s="34" t="n"/>
      <c r="L695" s="119" t="n"/>
      <c r="M695" s="34" t="n"/>
      <c r="N695" s="119" t="n"/>
      <c r="O695" s="34" t="n"/>
      <c r="P695" s="34" t="n"/>
      <c r="Q695" s="117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  <c r="AA695" s="34" t="n"/>
      <c r="AB695" s="34" t="n"/>
      <c r="AC695" s="34" t="n"/>
      <c r="AD695" s="34" t="n"/>
      <c r="AE695" s="34" t="n"/>
      <c r="AF695" s="34" t="n"/>
      <c r="AG695" s="34" t="n"/>
      <c r="AH695" s="34" t="n"/>
      <c r="AK695" s="34" t="n"/>
      <c r="AL695" s="34" t="n"/>
      <c r="AM695" s="39" t="n"/>
      <c r="AN695" s="34" t="n"/>
      <c r="AO695" s="34" t="n"/>
      <c r="AP695" s="34" t="n"/>
      <c r="AQ695" s="34" t="n"/>
      <c r="AR695" s="34" t="n"/>
      <c r="AS695" s="34" t="n"/>
      <c r="AU695" s="34" t="n"/>
      <c r="AV695" s="34" t="n"/>
      <c r="AW695" s="34" t="n"/>
      <c r="AX695" s="34" t="n"/>
      <c r="AY695" s="34" t="n"/>
      <c r="AZ695" s="34" t="n"/>
      <c r="BA695" s="34" t="n"/>
      <c r="BB695" s="34" t="n"/>
      <c r="BC695" s="34" t="n"/>
      <c r="BD695" s="34" t="n"/>
      <c r="BE695" s="34" t="n"/>
      <c r="BF695" s="34" t="n"/>
      <c r="BG695" s="34" t="n"/>
      <c r="BH695" s="34" t="n"/>
      <c r="BI695" s="34" t="n"/>
      <c r="BJ695" s="34" t="n"/>
      <c r="BK695" s="34" t="n"/>
      <c r="BL695" s="34" t="n"/>
      <c r="BM695" s="34" t="n"/>
      <c r="BN695" s="34" t="n"/>
      <c r="BO695" s="34" t="n"/>
      <c r="BP695" s="34" t="n"/>
      <c r="BQ695" s="34" t="n"/>
      <c r="BR695" s="82" t="n"/>
      <c r="BS695" s="34" t="n"/>
      <c r="BT695" s="34" t="n"/>
      <c r="BU695" s="34" t="n"/>
      <c r="BV695" s="34" t="n"/>
      <c r="BW695" s="34" t="n"/>
      <c r="BX695" s="34" t="n"/>
      <c r="BY695" s="34" t="n"/>
      <c r="BZ695" s="34" t="n"/>
      <c r="CA695" s="34" t="n"/>
      <c r="CB695" s="33" t="n"/>
      <c r="CC695" s="34" t="n"/>
      <c r="CD695" s="34" t="n"/>
      <c r="CE695" s="82" t="n"/>
      <c r="CF695" s="34" t="n"/>
      <c r="CG695" s="34" t="n"/>
      <c r="CH695" s="34" t="n"/>
      <c r="CI695" s="34" t="n"/>
      <c r="CJ695" s="34" t="n"/>
    </row>
    <row r="696">
      <c r="A696" s="29" t="n"/>
      <c r="B696" s="29" t="n"/>
      <c r="C696" s="35" t="n"/>
      <c r="D696" s="36" t="n"/>
      <c r="E696" s="147" t="n"/>
      <c r="F696" s="30" t="n"/>
      <c r="G696" s="30" t="n"/>
      <c r="H696" s="30" t="n"/>
      <c r="I696" s="30" t="n"/>
      <c r="J696" s="119" t="n"/>
      <c r="K696" s="34" t="n"/>
      <c r="L696" s="119" t="n"/>
      <c r="M696" s="34" t="n"/>
      <c r="N696" s="119" t="n"/>
      <c r="O696" s="34" t="n"/>
      <c r="P696" s="34" t="n"/>
      <c r="Q696" s="117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  <c r="AA696" s="34" t="n"/>
      <c r="AB696" s="34" t="n"/>
      <c r="AC696" s="34" t="n"/>
      <c r="AD696" s="34" t="n"/>
      <c r="AE696" s="34" t="n"/>
      <c r="AF696" s="34" t="n"/>
      <c r="AG696" s="34" t="n"/>
      <c r="AH696" s="34" t="n"/>
      <c r="AK696" s="34" t="n"/>
      <c r="AL696" s="34" t="n"/>
      <c r="AM696" s="39" t="n"/>
      <c r="AN696" s="34" t="n"/>
      <c r="AO696" s="34" t="n"/>
      <c r="AP696" s="34" t="n"/>
      <c r="AQ696" s="34" t="n"/>
      <c r="AR696" s="34" t="n"/>
      <c r="AS696" s="34" t="n"/>
      <c r="AU696" s="34" t="n"/>
      <c r="AV696" s="34" t="n"/>
      <c r="AW696" s="34" t="n"/>
      <c r="AX696" s="34" t="n"/>
      <c r="AY696" s="34" t="n"/>
      <c r="AZ696" s="34" t="n"/>
      <c r="BA696" s="34" t="n"/>
      <c r="BB696" s="34" t="n"/>
      <c r="BC696" s="34" t="n"/>
      <c r="BD696" s="34" t="n"/>
      <c r="BE696" s="34" t="n"/>
      <c r="BF696" s="34" t="n"/>
      <c r="BG696" s="34" t="n"/>
      <c r="BH696" s="34" t="n"/>
      <c r="BI696" s="34" t="n"/>
      <c r="BJ696" s="34" t="n"/>
      <c r="BK696" s="34" t="n"/>
      <c r="BL696" s="34" t="n"/>
      <c r="BM696" s="34" t="n"/>
      <c r="BN696" s="34" t="n"/>
      <c r="BO696" s="34" t="n"/>
      <c r="BP696" s="34" t="n"/>
      <c r="BQ696" s="34" t="n"/>
      <c r="BR696" s="82" t="n"/>
      <c r="BS696" s="34" t="n"/>
      <c r="BT696" s="34" t="n"/>
      <c r="BU696" s="34" t="n"/>
      <c r="BV696" s="34" t="n"/>
      <c r="BW696" s="34" t="n"/>
      <c r="BX696" s="34" t="n"/>
      <c r="BY696" s="34" t="n"/>
      <c r="BZ696" s="34" t="n"/>
      <c r="CA696" s="34" t="n"/>
      <c r="CB696" s="33" t="n"/>
      <c r="CC696" s="34" t="n"/>
      <c r="CD696" s="34" t="n"/>
      <c r="CE696" s="82" t="n"/>
      <c r="CF696" s="34" t="n"/>
      <c r="CG696" s="34" t="n"/>
      <c r="CH696" s="34" t="n"/>
      <c r="CI696" s="34" t="n"/>
      <c r="CJ696" s="34" t="n"/>
    </row>
    <row r="697">
      <c r="A697" s="29" t="n"/>
      <c r="B697" s="29" t="n"/>
      <c r="C697" s="35" t="n"/>
      <c r="D697" s="36" t="n"/>
      <c r="E697" s="147" t="n"/>
      <c r="F697" s="30" t="n"/>
      <c r="G697" s="30" t="n"/>
      <c r="H697" s="30" t="n"/>
      <c r="I697" s="30" t="n"/>
      <c r="J697" s="119" t="n"/>
      <c r="K697" s="34" t="n"/>
      <c r="L697" s="119" t="n"/>
      <c r="M697" s="34" t="n"/>
      <c r="N697" s="119" t="n"/>
      <c r="O697" s="34" t="n"/>
      <c r="P697" s="34" t="n"/>
      <c r="Q697" s="117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  <c r="AA697" s="34" t="n"/>
      <c r="AB697" s="34" t="n"/>
      <c r="AC697" s="34" t="n"/>
      <c r="AD697" s="34" t="n"/>
      <c r="AE697" s="34" t="n"/>
      <c r="AF697" s="34" t="n"/>
      <c r="AG697" s="34" t="n"/>
      <c r="AH697" s="34" t="n"/>
      <c r="AK697" s="34" t="n"/>
      <c r="AL697" s="34" t="n"/>
      <c r="AM697" s="39" t="n"/>
      <c r="AN697" s="34" t="n"/>
      <c r="AO697" s="34" t="n"/>
      <c r="AP697" s="34" t="n"/>
      <c r="AQ697" s="34" t="n"/>
      <c r="AR697" s="34" t="n"/>
      <c r="AS697" s="34" t="n"/>
      <c r="AU697" s="34" t="n"/>
      <c r="AV697" s="34" t="n"/>
      <c r="AW697" s="34" t="n"/>
      <c r="AX697" s="34" t="n"/>
      <c r="AY697" s="34" t="n"/>
      <c r="AZ697" s="34" t="n"/>
      <c r="BA697" s="34" t="n"/>
      <c r="BB697" s="34" t="n"/>
      <c r="BC697" s="34" t="n"/>
      <c r="BD697" s="34" t="n"/>
      <c r="BE697" s="34" t="n"/>
      <c r="BF697" s="34" t="n"/>
      <c r="BG697" s="34" t="n"/>
      <c r="BH697" s="34" t="n"/>
      <c r="BI697" s="34" t="n"/>
      <c r="BJ697" s="34" t="n"/>
      <c r="BK697" s="34" t="n"/>
      <c r="BL697" s="34" t="n"/>
      <c r="BM697" s="34" t="n"/>
      <c r="BN697" s="34" t="n"/>
      <c r="BO697" s="34" t="n"/>
      <c r="BP697" s="34" t="n"/>
      <c r="BQ697" s="34" t="n"/>
      <c r="BR697" s="82" t="n"/>
      <c r="BS697" s="34" t="n"/>
      <c r="BT697" s="34" t="n"/>
      <c r="BU697" s="34" t="n"/>
      <c r="BV697" s="34" t="n"/>
      <c r="BW697" s="34" t="n"/>
      <c r="BX697" s="34" t="n"/>
      <c r="BY697" s="34" t="n"/>
      <c r="BZ697" s="34" t="n"/>
      <c r="CA697" s="34" t="n"/>
      <c r="CB697" s="33" t="n"/>
      <c r="CC697" s="34" t="n"/>
      <c r="CD697" s="34" t="n"/>
      <c r="CE697" s="82" t="n"/>
      <c r="CF697" s="34" t="n"/>
      <c r="CG697" s="34" t="n"/>
      <c r="CH697" s="34" t="n"/>
      <c r="CI697" s="34" t="n"/>
      <c r="CJ697" s="34" t="n"/>
    </row>
    <row r="698">
      <c r="A698" s="29" t="n"/>
      <c r="B698" s="29" t="n"/>
      <c r="C698" s="35" t="n"/>
      <c r="D698" s="36" t="n"/>
      <c r="E698" s="147" t="n"/>
      <c r="F698" s="30" t="n"/>
      <c r="G698" s="30" t="n"/>
      <c r="H698" s="30" t="n"/>
      <c r="I698" s="30" t="n"/>
      <c r="J698" s="119" t="n"/>
      <c r="K698" s="34" t="n"/>
      <c r="L698" s="119" t="n"/>
      <c r="M698" s="34" t="n"/>
      <c r="N698" s="119" t="n"/>
      <c r="O698" s="34" t="n"/>
      <c r="P698" s="34" t="n"/>
      <c r="Q698" s="117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  <c r="AA698" s="34" t="n"/>
      <c r="AB698" s="34" t="n"/>
      <c r="AC698" s="34" t="n"/>
      <c r="AD698" s="34" t="n"/>
      <c r="AE698" s="34" t="n"/>
      <c r="AF698" s="34" t="n"/>
      <c r="AG698" s="34" t="n"/>
      <c r="AH698" s="34" t="n"/>
      <c r="AK698" s="34" t="n"/>
      <c r="AL698" s="34" t="n"/>
      <c r="AM698" s="39" t="n"/>
      <c r="AN698" s="34" t="n"/>
      <c r="AO698" s="34" t="n"/>
      <c r="AP698" s="34" t="n"/>
      <c r="AQ698" s="34" t="n"/>
      <c r="AR698" s="34" t="n"/>
      <c r="AS698" s="34" t="n"/>
      <c r="AU698" s="34" t="n"/>
      <c r="AV698" s="34" t="n"/>
      <c r="AW698" s="34" t="n"/>
      <c r="AX698" s="34" t="n"/>
      <c r="AY698" s="34" t="n"/>
      <c r="AZ698" s="34" t="n"/>
      <c r="BA698" s="34" t="n"/>
      <c r="BB698" s="34" t="n"/>
      <c r="BC698" s="34" t="n"/>
      <c r="BD698" s="34" t="n"/>
      <c r="BE698" s="34" t="n"/>
      <c r="BF698" s="34" t="n"/>
      <c r="BG698" s="34" t="n"/>
      <c r="BH698" s="34" t="n"/>
      <c r="BI698" s="34" t="n"/>
      <c r="BJ698" s="34" t="n"/>
      <c r="BK698" s="34" t="n"/>
      <c r="BL698" s="34" t="n"/>
      <c r="BM698" s="34" t="n"/>
      <c r="BN698" s="34" t="n"/>
      <c r="BO698" s="34" t="n"/>
      <c r="BP698" s="34" t="n"/>
      <c r="BQ698" s="34" t="n"/>
      <c r="BR698" s="82" t="n"/>
      <c r="BS698" s="34" t="n"/>
      <c r="BT698" s="34" t="n"/>
      <c r="BU698" s="34" t="n"/>
      <c r="BV698" s="34" t="n"/>
      <c r="BW698" s="34" t="n"/>
      <c r="BX698" s="34" t="n"/>
      <c r="BY698" s="34" t="n"/>
      <c r="BZ698" s="34" t="n"/>
      <c r="CA698" s="34" t="n"/>
      <c r="CB698" s="33" t="n"/>
      <c r="CC698" s="34" t="n"/>
      <c r="CD698" s="34" t="n"/>
      <c r="CE698" s="82" t="n"/>
      <c r="CF698" s="34" t="n"/>
      <c r="CG698" s="34" t="n"/>
      <c r="CH698" s="34" t="n"/>
      <c r="CI698" s="34" t="n"/>
      <c r="CJ698" s="34" t="n"/>
    </row>
    <row r="699">
      <c r="A699" s="29" t="n"/>
      <c r="B699" s="29" t="n"/>
      <c r="C699" s="35" t="n"/>
      <c r="D699" s="36" t="n"/>
      <c r="E699" s="147" t="n"/>
      <c r="F699" s="30" t="n"/>
      <c r="G699" s="30" t="n"/>
      <c r="H699" s="30" t="n"/>
      <c r="I699" s="30" t="n"/>
      <c r="J699" s="119" t="n"/>
      <c r="K699" s="34" t="n"/>
      <c r="L699" s="119" t="n"/>
      <c r="M699" s="34" t="n"/>
      <c r="N699" s="119" t="n"/>
      <c r="O699" s="34" t="n"/>
      <c r="P699" s="34" t="n"/>
      <c r="Q699" s="117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  <c r="AA699" s="34" t="n"/>
      <c r="AB699" s="34" t="n"/>
      <c r="AC699" s="34" t="n"/>
      <c r="AD699" s="34" t="n"/>
      <c r="AE699" s="34" t="n"/>
      <c r="AF699" s="34" t="n"/>
      <c r="AG699" s="34" t="n"/>
      <c r="AH699" s="34" t="n"/>
      <c r="AK699" s="34" t="n"/>
      <c r="AL699" s="34" t="n"/>
      <c r="AM699" s="39" t="n"/>
      <c r="AN699" s="34" t="n"/>
      <c r="AO699" s="34" t="n"/>
      <c r="AP699" s="34" t="n"/>
      <c r="AQ699" s="34" t="n"/>
      <c r="AR699" s="34" t="n"/>
      <c r="AS699" s="34" t="n"/>
      <c r="AU699" s="34" t="n"/>
      <c r="AV699" s="34" t="n"/>
      <c r="AW699" s="34" t="n"/>
      <c r="AX699" s="34" t="n"/>
      <c r="AY699" s="34" t="n"/>
      <c r="AZ699" s="34" t="n"/>
      <c r="BA699" s="34" t="n"/>
      <c r="BB699" s="34" t="n"/>
      <c r="BC699" s="34" t="n"/>
      <c r="BD699" s="34" t="n"/>
      <c r="BE699" s="34" t="n"/>
      <c r="BF699" s="34" t="n"/>
      <c r="BG699" s="34" t="n"/>
      <c r="BH699" s="34" t="n"/>
      <c r="BI699" s="34" t="n"/>
      <c r="BJ699" s="34" t="n"/>
      <c r="BK699" s="34" t="n"/>
      <c r="BL699" s="34" t="n"/>
      <c r="BM699" s="34" t="n"/>
      <c r="BN699" s="34" t="n"/>
      <c r="BO699" s="34" t="n"/>
      <c r="BP699" s="34" t="n"/>
      <c r="BQ699" s="34" t="n"/>
      <c r="BR699" s="82" t="n"/>
      <c r="BS699" s="34" t="n"/>
      <c r="BT699" s="34" t="n"/>
      <c r="BU699" s="34" t="n"/>
      <c r="BV699" s="34" t="n"/>
      <c r="BW699" s="34" t="n"/>
      <c r="BX699" s="34" t="n"/>
      <c r="BY699" s="34" t="n"/>
      <c r="BZ699" s="34" t="n"/>
      <c r="CA699" s="34" t="n"/>
      <c r="CB699" s="33" t="n"/>
      <c r="CC699" s="34" t="n"/>
      <c r="CD699" s="34" t="n"/>
      <c r="CE699" s="82" t="n"/>
      <c r="CF699" s="34" t="n"/>
      <c r="CG699" s="34" t="n"/>
      <c r="CH699" s="34" t="n"/>
      <c r="CI699" s="34" t="n"/>
      <c r="CJ699" s="34" t="n"/>
    </row>
    <row r="700">
      <c r="A700" s="29" t="n"/>
      <c r="B700" s="29" t="n"/>
      <c r="C700" s="35" t="n"/>
      <c r="D700" s="36" t="n"/>
      <c r="E700" s="147" t="n"/>
      <c r="F700" s="30" t="n"/>
      <c r="G700" s="30" t="n"/>
      <c r="H700" s="30" t="n"/>
      <c r="I700" s="30" t="n"/>
      <c r="J700" s="119" t="n"/>
      <c r="K700" s="34" t="n"/>
      <c r="L700" s="119" t="n"/>
      <c r="M700" s="34" t="n"/>
      <c r="N700" s="119" t="n"/>
      <c r="O700" s="34" t="n"/>
      <c r="P700" s="34" t="n"/>
      <c r="Q700" s="117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  <c r="AA700" s="34" t="n"/>
      <c r="AB700" s="34" t="n"/>
      <c r="AC700" s="34" t="n"/>
      <c r="AD700" s="34" t="n"/>
      <c r="AE700" s="34" t="n"/>
      <c r="AF700" s="34" t="n"/>
      <c r="AG700" s="34" t="n"/>
      <c r="AH700" s="34" t="n"/>
      <c r="AK700" s="34" t="n"/>
      <c r="AL700" s="34" t="n"/>
      <c r="AM700" s="39" t="n"/>
      <c r="AN700" s="34" t="n"/>
      <c r="AO700" s="34" t="n"/>
      <c r="AP700" s="34" t="n"/>
      <c r="AQ700" s="34" t="n"/>
      <c r="AR700" s="34" t="n"/>
      <c r="AS700" s="34" t="n"/>
      <c r="AU700" s="34" t="n"/>
      <c r="AV700" s="34" t="n"/>
      <c r="AW700" s="34" t="n"/>
      <c r="AX700" s="34" t="n"/>
      <c r="AY700" s="34" t="n"/>
      <c r="AZ700" s="34" t="n"/>
      <c r="BA700" s="34" t="n"/>
      <c r="BB700" s="34" t="n"/>
      <c r="BC700" s="34" t="n"/>
      <c r="BD700" s="34" t="n"/>
      <c r="BE700" s="34" t="n"/>
      <c r="BF700" s="34" t="n"/>
      <c r="BG700" s="34" t="n"/>
      <c r="BH700" s="34" t="n"/>
      <c r="BI700" s="34" t="n"/>
      <c r="BJ700" s="34" t="n"/>
      <c r="BK700" s="34" t="n"/>
      <c r="BL700" s="34" t="n"/>
      <c r="BM700" s="34" t="n"/>
      <c r="BN700" s="34" t="n"/>
      <c r="BO700" s="34" t="n"/>
      <c r="BP700" s="34" t="n"/>
      <c r="BQ700" s="34" t="n"/>
      <c r="BR700" s="82" t="n"/>
      <c r="BS700" s="34" t="n"/>
      <c r="BT700" s="34" t="n"/>
      <c r="BU700" s="34" t="n"/>
      <c r="BV700" s="34" t="n"/>
      <c r="BW700" s="34" t="n"/>
      <c r="BX700" s="34" t="n"/>
      <c r="BY700" s="34" t="n"/>
      <c r="BZ700" s="34" t="n"/>
      <c r="CA700" s="34" t="n"/>
      <c r="CB700" s="33" t="n"/>
      <c r="CC700" s="34" t="n"/>
      <c r="CD700" s="34" t="n"/>
      <c r="CE700" s="82" t="n"/>
      <c r="CF700" s="34" t="n"/>
      <c r="CG700" s="34" t="n"/>
      <c r="CH700" s="34" t="n"/>
      <c r="CI700" s="34" t="n"/>
      <c r="CJ700" s="34" t="n"/>
    </row>
    <row r="701">
      <c r="A701" s="29" t="n"/>
      <c r="B701" s="29" t="n"/>
      <c r="C701" s="35" t="n"/>
      <c r="D701" s="36" t="n"/>
      <c r="E701" s="147" t="n"/>
      <c r="F701" s="30" t="n"/>
      <c r="G701" s="30" t="n"/>
      <c r="H701" s="30" t="n"/>
      <c r="I701" s="30" t="n"/>
      <c r="J701" s="119" t="n"/>
      <c r="K701" s="34" t="n"/>
      <c r="L701" s="119" t="n"/>
      <c r="M701" s="34" t="n"/>
      <c r="N701" s="119" t="n"/>
      <c r="O701" s="34" t="n"/>
      <c r="P701" s="34" t="n"/>
      <c r="Q701" s="117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  <c r="AA701" s="34" t="n"/>
      <c r="AB701" s="34" t="n"/>
      <c r="AC701" s="34" t="n"/>
      <c r="AD701" s="34" t="n"/>
      <c r="AE701" s="34" t="n"/>
      <c r="AF701" s="34" t="n"/>
      <c r="AG701" s="34" t="n"/>
      <c r="AH701" s="34" t="n"/>
      <c r="AK701" s="34" t="n"/>
      <c r="AL701" s="34" t="n"/>
      <c r="AM701" s="39" t="n"/>
      <c r="AN701" s="34" t="n"/>
      <c r="AO701" s="34" t="n"/>
      <c r="AP701" s="34" t="n"/>
      <c r="AQ701" s="34" t="n"/>
      <c r="AR701" s="34" t="n"/>
      <c r="AS701" s="34" t="n"/>
      <c r="AU701" s="34" t="n"/>
      <c r="AV701" s="34" t="n"/>
      <c r="AW701" s="34" t="n"/>
      <c r="AX701" s="34" t="n"/>
      <c r="AY701" s="34" t="n"/>
      <c r="AZ701" s="34" t="n"/>
      <c r="BA701" s="34" t="n"/>
      <c r="BB701" s="34" t="n"/>
      <c r="BC701" s="34" t="n"/>
      <c r="BD701" s="34" t="n"/>
      <c r="BE701" s="34" t="n"/>
      <c r="BF701" s="34" t="n"/>
      <c r="BG701" s="34" t="n"/>
      <c r="BH701" s="34" t="n"/>
      <c r="BI701" s="34" t="n"/>
      <c r="BJ701" s="34" t="n"/>
      <c r="BK701" s="34" t="n"/>
      <c r="BL701" s="34" t="n"/>
      <c r="BM701" s="34" t="n"/>
      <c r="BN701" s="34" t="n"/>
      <c r="BO701" s="34" t="n"/>
      <c r="BP701" s="34" t="n"/>
      <c r="BQ701" s="34" t="n"/>
      <c r="BR701" s="82" t="n"/>
      <c r="BS701" s="34" t="n"/>
      <c r="BT701" s="34" t="n"/>
      <c r="BU701" s="34" t="n"/>
      <c r="BV701" s="34" t="n"/>
      <c r="BW701" s="34" t="n"/>
      <c r="BX701" s="34" t="n"/>
      <c r="BY701" s="34" t="n"/>
      <c r="BZ701" s="34" t="n"/>
      <c r="CA701" s="34" t="n"/>
      <c r="CB701" s="33" t="n"/>
      <c r="CC701" s="34" t="n"/>
      <c r="CD701" s="34" t="n"/>
      <c r="CE701" s="82" t="n"/>
      <c r="CF701" s="34" t="n"/>
      <c r="CG701" s="34" t="n"/>
      <c r="CH701" s="34" t="n"/>
      <c r="CI701" s="34" t="n"/>
      <c r="CJ701" s="34" t="n"/>
    </row>
    <row r="702">
      <c r="A702" s="29" t="n"/>
      <c r="B702" s="29" t="n"/>
      <c r="C702" s="35" t="n"/>
      <c r="D702" s="36" t="n"/>
      <c r="E702" s="147" t="n"/>
      <c r="F702" s="30" t="n"/>
      <c r="G702" s="30" t="n"/>
      <c r="H702" s="30" t="n"/>
      <c r="I702" s="30" t="n"/>
      <c r="J702" s="119" t="n"/>
      <c r="K702" s="34" t="n"/>
      <c r="L702" s="119" t="n"/>
      <c r="M702" s="34" t="n"/>
      <c r="N702" s="119" t="n"/>
      <c r="O702" s="34" t="n"/>
      <c r="P702" s="34" t="n"/>
      <c r="Q702" s="117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  <c r="AA702" s="34" t="n"/>
      <c r="AB702" s="34" t="n"/>
      <c r="AC702" s="34" t="n"/>
      <c r="AD702" s="34" t="n"/>
      <c r="AE702" s="34" t="n"/>
      <c r="AF702" s="34" t="n"/>
      <c r="AG702" s="34" t="n"/>
      <c r="AH702" s="34" t="n"/>
      <c r="AK702" s="34" t="n"/>
      <c r="AL702" s="34" t="n"/>
      <c r="AM702" s="39" t="n"/>
      <c r="AN702" s="34" t="n"/>
      <c r="AO702" s="34" t="n"/>
      <c r="AP702" s="34" t="n"/>
      <c r="AQ702" s="34" t="n"/>
      <c r="AR702" s="34" t="n"/>
      <c r="AS702" s="34" t="n"/>
      <c r="AU702" s="34" t="n"/>
      <c r="AV702" s="34" t="n"/>
      <c r="AW702" s="34" t="n"/>
      <c r="AX702" s="34" t="n"/>
      <c r="AY702" s="34" t="n"/>
      <c r="AZ702" s="34" t="n"/>
      <c r="BA702" s="34" t="n"/>
      <c r="BB702" s="34" t="n"/>
      <c r="BC702" s="34" t="n"/>
      <c r="BD702" s="34" t="n"/>
      <c r="BE702" s="34" t="n"/>
      <c r="BF702" s="34" t="n"/>
      <c r="BG702" s="34" t="n"/>
      <c r="BH702" s="34" t="n"/>
      <c r="BI702" s="34" t="n"/>
      <c r="BJ702" s="34" t="n"/>
      <c r="BK702" s="34" t="n"/>
      <c r="BL702" s="34" t="n"/>
      <c r="BM702" s="34" t="n"/>
      <c r="BN702" s="34" t="n"/>
      <c r="BO702" s="34" t="n"/>
      <c r="BP702" s="34" t="n"/>
      <c r="BQ702" s="34" t="n"/>
      <c r="BR702" s="82" t="n"/>
      <c r="BS702" s="34" t="n"/>
      <c r="BT702" s="34" t="n"/>
      <c r="BU702" s="34" t="n"/>
      <c r="BV702" s="34" t="n"/>
      <c r="BW702" s="34" t="n"/>
      <c r="BX702" s="34" t="n"/>
      <c r="BY702" s="34" t="n"/>
      <c r="BZ702" s="34" t="n"/>
      <c r="CA702" s="34" t="n"/>
      <c r="CB702" s="33" t="n"/>
      <c r="CC702" s="34" t="n"/>
      <c r="CD702" s="34" t="n"/>
      <c r="CE702" s="82" t="n"/>
      <c r="CF702" s="34" t="n"/>
      <c r="CG702" s="34" t="n"/>
      <c r="CH702" s="34" t="n"/>
      <c r="CI702" s="34" t="n"/>
      <c r="CJ702" s="34" t="n"/>
    </row>
    <row r="703">
      <c r="A703" s="29" t="n"/>
      <c r="B703" s="29" t="n"/>
      <c r="C703" s="35" t="n"/>
      <c r="D703" s="36" t="n"/>
      <c r="E703" s="147" t="n"/>
      <c r="F703" s="30" t="n"/>
      <c r="G703" s="30" t="n"/>
      <c r="H703" s="30" t="n"/>
      <c r="I703" s="30" t="n"/>
      <c r="J703" s="119" t="n"/>
      <c r="K703" s="34" t="n"/>
      <c r="L703" s="119" t="n"/>
      <c r="M703" s="34" t="n"/>
      <c r="N703" s="119" t="n"/>
      <c r="O703" s="34" t="n"/>
      <c r="P703" s="34" t="n"/>
      <c r="Q703" s="117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  <c r="AA703" s="34" t="n"/>
      <c r="AB703" s="34" t="n"/>
      <c r="AC703" s="34" t="n"/>
      <c r="AD703" s="34" t="n"/>
      <c r="AE703" s="34" t="n"/>
      <c r="AF703" s="34" t="n"/>
      <c r="AG703" s="34" t="n"/>
      <c r="AH703" s="34" t="n"/>
      <c r="AK703" s="34" t="n"/>
      <c r="AL703" s="34" t="n"/>
      <c r="AM703" s="39" t="n"/>
      <c r="AN703" s="34" t="n"/>
      <c r="AO703" s="34" t="n"/>
      <c r="AP703" s="34" t="n"/>
      <c r="AQ703" s="34" t="n"/>
      <c r="AR703" s="34" t="n"/>
      <c r="AS703" s="34" t="n"/>
      <c r="AU703" s="34" t="n"/>
      <c r="AV703" s="34" t="n"/>
      <c r="AW703" s="34" t="n"/>
      <c r="AX703" s="34" t="n"/>
      <c r="AY703" s="34" t="n"/>
      <c r="AZ703" s="34" t="n"/>
      <c r="BA703" s="34" t="n"/>
      <c r="BB703" s="34" t="n"/>
      <c r="BC703" s="34" t="n"/>
      <c r="BD703" s="34" t="n"/>
      <c r="BE703" s="34" t="n"/>
      <c r="BF703" s="34" t="n"/>
      <c r="BG703" s="34" t="n"/>
      <c r="BH703" s="34" t="n"/>
      <c r="BI703" s="34" t="n"/>
      <c r="BJ703" s="34" t="n"/>
      <c r="BK703" s="34" t="n"/>
      <c r="BL703" s="34" t="n"/>
      <c r="BM703" s="34" t="n"/>
      <c r="BN703" s="34" t="n"/>
      <c r="BO703" s="34" t="n"/>
      <c r="BP703" s="34" t="n"/>
      <c r="BQ703" s="34" t="n"/>
      <c r="BR703" s="82" t="n"/>
      <c r="BS703" s="34" t="n"/>
      <c r="BT703" s="34" t="n"/>
      <c r="BU703" s="34" t="n"/>
      <c r="BV703" s="34" t="n"/>
      <c r="BW703" s="34" t="n"/>
      <c r="BX703" s="34" t="n"/>
      <c r="BY703" s="34" t="n"/>
      <c r="BZ703" s="34" t="n"/>
      <c r="CA703" s="34" t="n"/>
      <c r="CB703" s="33" t="n"/>
      <c r="CC703" s="34" t="n"/>
      <c r="CD703" s="34" t="n"/>
      <c r="CE703" s="82" t="n"/>
      <c r="CF703" s="34" t="n"/>
      <c r="CG703" s="34" t="n"/>
      <c r="CH703" s="34" t="n"/>
      <c r="CI703" s="34" t="n"/>
      <c r="CJ703" s="34" t="n"/>
    </row>
    <row r="704">
      <c r="A704" s="29" t="n"/>
      <c r="B704" s="29" t="n"/>
      <c r="C704" s="35" t="n"/>
      <c r="D704" s="36" t="n"/>
      <c r="E704" s="147" t="n"/>
      <c r="F704" s="30" t="n"/>
      <c r="G704" s="30" t="n"/>
      <c r="H704" s="30" t="n"/>
      <c r="I704" s="30" t="n"/>
      <c r="J704" s="119" t="n"/>
      <c r="K704" s="34" t="n"/>
      <c r="L704" s="119" t="n"/>
      <c r="M704" s="34" t="n"/>
      <c r="N704" s="119" t="n"/>
      <c r="O704" s="34" t="n"/>
      <c r="P704" s="34" t="n"/>
      <c r="Q704" s="117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  <c r="AA704" s="34" t="n"/>
      <c r="AB704" s="34" t="n"/>
      <c r="AC704" s="34" t="n"/>
      <c r="AD704" s="34" t="n"/>
      <c r="AE704" s="34" t="n"/>
      <c r="AF704" s="34" t="n"/>
      <c r="AG704" s="34" t="n"/>
      <c r="AH704" s="34" t="n"/>
      <c r="AK704" s="34" t="n"/>
      <c r="AL704" s="34" t="n"/>
      <c r="AM704" s="39" t="n"/>
      <c r="AN704" s="34" t="n"/>
      <c r="AO704" s="34" t="n"/>
      <c r="AP704" s="34" t="n"/>
      <c r="AQ704" s="34" t="n"/>
      <c r="AR704" s="34" t="n"/>
      <c r="AS704" s="34" t="n"/>
      <c r="AU704" s="34" t="n"/>
      <c r="AV704" s="34" t="n"/>
      <c r="AW704" s="34" t="n"/>
      <c r="AX704" s="34" t="n"/>
      <c r="AY704" s="34" t="n"/>
      <c r="AZ704" s="34" t="n"/>
      <c r="BA704" s="34" t="n"/>
      <c r="BB704" s="34" t="n"/>
      <c r="BC704" s="34" t="n"/>
      <c r="BD704" s="34" t="n"/>
      <c r="BE704" s="34" t="n"/>
      <c r="BF704" s="34" t="n"/>
      <c r="BG704" s="34" t="n"/>
      <c r="BH704" s="34" t="n"/>
      <c r="BI704" s="34" t="n"/>
      <c r="BJ704" s="34" t="n"/>
      <c r="BK704" s="34" t="n"/>
      <c r="BL704" s="34" t="n"/>
      <c r="BM704" s="34" t="n"/>
      <c r="BN704" s="34" t="n"/>
      <c r="BO704" s="34" t="n"/>
      <c r="BP704" s="34" t="n"/>
      <c r="BQ704" s="34" t="n"/>
      <c r="BR704" s="82" t="n"/>
      <c r="BS704" s="34" t="n"/>
      <c r="BT704" s="34" t="n"/>
      <c r="BU704" s="34" t="n"/>
      <c r="BV704" s="34" t="n"/>
      <c r="BW704" s="34" t="n"/>
      <c r="BX704" s="34" t="n"/>
      <c r="BY704" s="34" t="n"/>
      <c r="BZ704" s="34" t="n"/>
      <c r="CA704" s="34" t="n"/>
      <c r="CB704" s="33" t="n"/>
      <c r="CC704" s="34" t="n"/>
      <c r="CD704" s="34" t="n"/>
      <c r="CE704" s="82" t="n"/>
      <c r="CF704" s="34" t="n"/>
      <c r="CG704" s="34" t="n"/>
      <c r="CH704" s="34" t="n"/>
      <c r="CI704" s="34" t="n"/>
      <c r="CJ704" s="34" t="n"/>
    </row>
    <row r="705">
      <c r="A705" s="29" t="n"/>
      <c r="B705" s="29" t="n"/>
      <c r="C705" s="35" t="n"/>
      <c r="D705" s="36" t="n"/>
      <c r="E705" s="147" t="n"/>
      <c r="F705" s="30" t="n"/>
      <c r="G705" s="30" t="n"/>
      <c r="H705" s="30" t="n"/>
      <c r="I705" s="30" t="n"/>
      <c r="J705" s="119" t="n"/>
      <c r="K705" s="34" t="n"/>
      <c r="L705" s="119" t="n"/>
      <c r="M705" s="34" t="n"/>
      <c r="N705" s="119" t="n"/>
      <c r="O705" s="34" t="n"/>
      <c r="P705" s="34" t="n"/>
      <c r="Q705" s="117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  <c r="AA705" s="34" t="n"/>
      <c r="AB705" s="34" t="n"/>
      <c r="AC705" s="34" t="n"/>
      <c r="AD705" s="34" t="n"/>
      <c r="AE705" s="34" t="n"/>
      <c r="AF705" s="34" t="n"/>
      <c r="AG705" s="34" t="n"/>
      <c r="AH705" s="34" t="n"/>
      <c r="AK705" s="34" t="n"/>
      <c r="AL705" s="34" t="n"/>
      <c r="AM705" s="39" t="n"/>
      <c r="AN705" s="34" t="n"/>
      <c r="AO705" s="34" t="n"/>
      <c r="AP705" s="34" t="n"/>
      <c r="AQ705" s="34" t="n"/>
      <c r="AR705" s="34" t="n"/>
      <c r="AS705" s="34" t="n"/>
      <c r="AU705" s="34" t="n"/>
      <c r="AV705" s="34" t="n"/>
      <c r="AW705" s="34" t="n"/>
      <c r="AX705" s="34" t="n"/>
      <c r="AY705" s="34" t="n"/>
      <c r="AZ705" s="34" t="n"/>
      <c r="BA705" s="34" t="n"/>
      <c r="BB705" s="34" t="n"/>
      <c r="BC705" s="34" t="n"/>
      <c r="BD705" s="34" t="n"/>
      <c r="BE705" s="34" t="n"/>
      <c r="BF705" s="34" t="n"/>
      <c r="BG705" s="34" t="n"/>
      <c r="BH705" s="34" t="n"/>
      <c r="BI705" s="34" t="n"/>
      <c r="BJ705" s="34" t="n"/>
      <c r="BK705" s="34" t="n"/>
      <c r="BL705" s="34" t="n"/>
      <c r="BM705" s="34" t="n"/>
      <c r="BN705" s="34" t="n"/>
      <c r="BO705" s="34" t="n"/>
      <c r="BP705" s="34" t="n"/>
      <c r="BQ705" s="34" t="n"/>
      <c r="BR705" s="82" t="n"/>
      <c r="BS705" s="34" t="n"/>
      <c r="BT705" s="34" t="n"/>
      <c r="BU705" s="34" t="n"/>
      <c r="BV705" s="34" t="n"/>
      <c r="BW705" s="34" t="n"/>
      <c r="BX705" s="34" t="n"/>
      <c r="BY705" s="34" t="n"/>
      <c r="BZ705" s="34" t="n"/>
      <c r="CA705" s="34" t="n"/>
      <c r="CB705" s="33" t="n"/>
      <c r="CC705" s="34" t="n"/>
      <c r="CD705" s="34" t="n"/>
      <c r="CE705" s="82" t="n"/>
      <c r="CF705" s="34" t="n"/>
      <c r="CG705" s="34" t="n"/>
      <c r="CH705" s="34" t="n"/>
      <c r="CI705" s="34" t="n"/>
      <c r="CJ705" s="34" t="n"/>
    </row>
    <row r="706">
      <c r="A706" s="29" t="n"/>
      <c r="B706" s="29" t="n"/>
      <c r="C706" s="35" t="n"/>
      <c r="D706" s="36" t="n"/>
      <c r="E706" s="147" t="n"/>
      <c r="F706" s="30" t="n"/>
      <c r="G706" s="30" t="n"/>
      <c r="H706" s="30" t="n"/>
      <c r="I706" s="30" t="n"/>
      <c r="J706" s="119" t="n"/>
      <c r="K706" s="34" t="n"/>
      <c r="L706" s="119" t="n"/>
      <c r="M706" s="34" t="n"/>
      <c r="N706" s="119" t="n"/>
      <c r="O706" s="34" t="n"/>
      <c r="P706" s="34" t="n"/>
      <c r="Q706" s="117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  <c r="AA706" s="34" t="n"/>
      <c r="AB706" s="34" t="n"/>
      <c r="AC706" s="34" t="n"/>
      <c r="AD706" s="34" t="n"/>
      <c r="AE706" s="34" t="n"/>
      <c r="AF706" s="34" t="n"/>
      <c r="AG706" s="34" t="n"/>
      <c r="AH706" s="34" t="n"/>
      <c r="AK706" s="34" t="n"/>
      <c r="AL706" s="34" t="n"/>
      <c r="AM706" s="39" t="n"/>
      <c r="AN706" s="34" t="n"/>
      <c r="AO706" s="34" t="n"/>
      <c r="AP706" s="34" t="n"/>
      <c r="AQ706" s="34" t="n"/>
      <c r="AR706" s="34" t="n"/>
      <c r="AS706" s="34" t="n"/>
      <c r="AU706" s="34" t="n"/>
      <c r="AV706" s="34" t="n"/>
      <c r="AW706" s="34" t="n"/>
      <c r="AX706" s="34" t="n"/>
      <c r="AY706" s="34" t="n"/>
      <c r="AZ706" s="34" t="n"/>
      <c r="BA706" s="34" t="n"/>
      <c r="BB706" s="34" t="n"/>
      <c r="BC706" s="34" t="n"/>
      <c r="BD706" s="34" t="n"/>
      <c r="BE706" s="34" t="n"/>
      <c r="BF706" s="34" t="n"/>
      <c r="BG706" s="34" t="n"/>
      <c r="BH706" s="34" t="n"/>
      <c r="BI706" s="34" t="n"/>
      <c r="BJ706" s="34" t="n"/>
      <c r="BK706" s="34" t="n"/>
      <c r="BL706" s="34" t="n"/>
      <c r="BM706" s="34" t="n"/>
      <c r="BN706" s="34" t="n"/>
      <c r="BO706" s="34" t="n"/>
      <c r="BP706" s="34" t="n"/>
      <c r="BQ706" s="34" t="n"/>
      <c r="BR706" s="82" t="n"/>
      <c r="BS706" s="34" t="n"/>
      <c r="BT706" s="34" t="n"/>
      <c r="BU706" s="34" t="n"/>
      <c r="BV706" s="34" t="n"/>
      <c r="BW706" s="34" t="n"/>
      <c r="BX706" s="34" t="n"/>
      <c r="BY706" s="34" t="n"/>
      <c r="BZ706" s="34" t="n"/>
      <c r="CA706" s="34" t="n"/>
      <c r="CB706" s="33" t="n"/>
      <c r="CC706" s="34" t="n"/>
      <c r="CD706" s="34" t="n"/>
      <c r="CE706" s="82" t="n"/>
      <c r="CF706" s="34" t="n"/>
      <c r="CG706" s="34" t="n"/>
      <c r="CH706" s="34" t="n"/>
      <c r="CI706" s="34" t="n"/>
      <c r="CJ706" s="34" t="n"/>
    </row>
    <row r="707">
      <c r="A707" s="29" t="n"/>
      <c r="B707" s="29" t="n"/>
      <c r="C707" s="35" t="n"/>
      <c r="D707" s="36" t="n"/>
      <c r="E707" s="147" t="n"/>
      <c r="F707" s="30" t="n"/>
      <c r="G707" s="30" t="n"/>
      <c r="H707" s="30" t="n"/>
      <c r="I707" s="30" t="n"/>
      <c r="J707" s="119" t="n"/>
      <c r="K707" s="34" t="n"/>
      <c r="L707" s="119" t="n"/>
      <c r="M707" s="34" t="n"/>
      <c r="N707" s="119" t="n"/>
      <c r="O707" s="34" t="n"/>
      <c r="P707" s="34" t="n"/>
      <c r="Q707" s="117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  <c r="AA707" s="34" t="n"/>
      <c r="AB707" s="34" t="n"/>
      <c r="AC707" s="34" t="n"/>
      <c r="AD707" s="34" t="n"/>
      <c r="AE707" s="34" t="n"/>
      <c r="AF707" s="34" t="n"/>
      <c r="AG707" s="34" t="n"/>
      <c r="AH707" s="34" t="n"/>
      <c r="AK707" s="34" t="n"/>
      <c r="AL707" s="34" t="n"/>
      <c r="AM707" s="39" t="n"/>
      <c r="AN707" s="34" t="n"/>
      <c r="AO707" s="34" t="n"/>
      <c r="AP707" s="34" t="n"/>
      <c r="AQ707" s="34" t="n"/>
      <c r="AR707" s="34" t="n"/>
      <c r="AS707" s="34" t="n"/>
      <c r="AU707" s="34" t="n"/>
      <c r="AV707" s="34" t="n"/>
      <c r="AW707" s="34" t="n"/>
      <c r="AX707" s="34" t="n"/>
      <c r="AY707" s="34" t="n"/>
      <c r="AZ707" s="34" t="n"/>
      <c r="BA707" s="34" t="n"/>
      <c r="BB707" s="34" t="n"/>
      <c r="BC707" s="34" t="n"/>
      <c r="BD707" s="34" t="n"/>
      <c r="BE707" s="34" t="n"/>
      <c r="BF707" s="34" t="n"/>
      <c r="BG707" s="34" t="n"/>
      <c r="BH707" s="34" t="n"/>
      <c r="BI707" s="34" t="n"/>
      <c r="BJ707" s="34" t="n"/>
      <c r="BK707" s="34" t="n"/>
      <c r="BL707" s="34" t="n"/>
      <c r="BM707" s="34" t="n"/>
      <c r="BN707" s="34" t="n"/>
      <c r="BO707" s="34" t="n"/>
      <c r="BP707" s="34" t="n"/>
      <c r="BQ707" s="34" t="n"/>
      <c r="BR707" s="82" t="n"/>
      <c r="BS707" s="34" t="n"/>
      <c r="BT707" s="34" t="n"/>
      <c r="BU707" s="34" t="n"/>
      <c r="BV707" s="34" t="n"/>
      <c r="BW707" s="34" t="n"/>
      <c r="BX707" s="34" t="n"/>
      <c r="BY707" s="34" t="n"/>
      <c r="BZ707" s="34" t="n"/>
      <c r="CA707" s="34" t="n"/>
      <c r="CB707" s="33" t="n"/>
      <c r="CC707" s="34" t="n"/>
      <c r="CD707" s="34" t="n"/>
      <c r="CE707" s="82" t="n"/>
      <c r="CF707" s="34" t="n"/>
      <c r="CG707" s="34" t="n"/>
      <c r="CH707" s="34" t="n"/>
      <c r="CI707" s="34" t="n"/>
      <c r="CJ707" s="34" t="n"/>
    </row>
    <row r="708">
      <c r="A708" s="29" t="n"/>
      <c r="B708" s="29" t="n"/>
      <c r="C708" s="35" t="n"/>
      <c r="D708" s="36" t="n"/>
      <c r="E708" s="147" t="n"/>
      <c r="F708" s="30" t="n"/>
      <c r="G708" s="30" t="n"/>
      <c r="H708" s="30" t="n"/>
      <c r="I708" s="30" t="n"/>
      <c r="J708" s="119" t="n"/>
      <c r="K708" s="34" t="n"/>
      <c r="L708" s="119" t="n"/>
      <c r="M708" s="34" t="n"/>
      <c r="N708" s="119" t="n"/>
      <c r="O708" s="34" t="n"/>
      <c r="P708" s="34" t="n"/>
      <c r="Q708" s="117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  <c r="AA708" s="34" t="n"/>
      <c r="AB708" s="34" t="n"/>
      <c r="AC708" s="34" t="n"/>
      <c r="AD708" s="34" t="n"/>
      <c r="AE708" s="34" t="n"/>
      <c r="AF708" s="34" t="n"/>
      <c r="AG708" s="34" t="n"/>
      <c r="AH708" s="34" t="n"/>
      <c r="AK708" s="34" t="n"/>
      <c r="AL708" s="34" t="n"/>
      <c r="AM708" s="39" t="n"/>
      <c r="AN708" s="34" t="n"/>
      <c r="AO708" s="34" t="n"/>
      <c r="AP708" s="34" t="n"/>
      <c r="AQ708" s="34" t="n"/>
      <c r="AR708" s="34" t="n"/>
      <c r="AS708" s="34" t="n"/>
      <c r="AU708" s="34" t="n"/>
      <c r="AV708" s="34" t="n"/>
      <c r="AW708" s="34" t="n"/>
      <c r="AX708" s="34" t="n"/>
      <c r="AY708" s="34" t="n"/>
      <c r="AZ708" s="34" t="n"/>
      <c r="BA708" s="34" t="n"/>
      <c r="BB708" s="34" t="n"/>
      <c r="BC708" s="34" t="n"/>
      <c r="BD708" s="34" t="n"/>
      <c r="BE708" s="34" t="n"/>
      <c r="BF708" s="34" t="n"/>
      <c r="BG708" s="34" t="n"/>
      <c r="BH708" s="34" t="n"/>
      <c r="BI708" s="34" t="n"/>
      <c r="BJ708" s="34" t="n"/>
      <c r="BK708" s="34" t="n"/>
      <c r="BL708" s="34" t="n"/>
      <c r="BM708" s="34" t="n"/>
      <c r="BN708" s="34" t="n"/>
      <c r="BO708" s="34" t="n"/>
      <c r="BP708" s="34" t="n"/>
      <c r="BQ708" s="34" t="n"/>
      <c r="BR708" s="82" t="n"/>
      <c r="BS708" s="34" t="n"/>
      <c r="BT708" s="34" t="n"/>
      <c r="BU708" s="34" t="n"/>
      <c r="BV708" s="34" t="n"/>
      <c r="BW708" s="34" t="n"/>
      <c r="BX708" s="34" t="n"/>
      <c r="BY708" s="34" t="n"/>
      <c r="BZ708" s="34" t="n"/>
      <c r="CA708" s="34" t="n"/>
      <c r="CB708" s="33" t="n"/>
      <c r="CC708" s="34" t="n"/>
      <c r="CD708" s="34" t="n"/>
      <c r="CE708" s="82" t="n"/>
      <c r="CF708" s="34" t="n"/>
      <c r="CG708" s="34" t="n"/>
      <c r="CH708" s="34" t="n"/>
      <c r="CI708" s="34" t="n"/>
      <c r="CJ708" s="34" t="n"/>
    </row>
    <row r="709">
      <c r="A709" s="29" t="n"/>
      <c r="B709" s="29" t="n"/>
      <c r="C709" s="35" t="n"/>
      <c r="D709" s="36" t="n"/>
      <c r="E709" s="147" t="n"/>
      <c r="F709" s="30" t="n"/>
      <c r="G709" s="30" t="n"/>
      <c r="H709" s="30" t="n"/>
      <c r="I709" s="30" t="n"/>
      <c r="J709" s="119" t="n"/>
      <c r="K709" s="34" t="n"/>
      <c r="L709" s="119" t="n"/>
      <c r="M709" s="34" t="n"/>
      <c r="N709" s="119" t="n"/>
      <c r="O709" s="34" t="n"/>
      <c r="P709" s="34" t="n"/>
      <c r="Q709" s="117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  <c r="AA709" s="34" t="n"/>
      <c r="AB709" s="34" t="n"/>
      <c r="AC709" s="34" t="n"/>
      <c r="AD709" s="34" t="n"/>
      <c r="AE709" s="34" t="n"/>
      <c r="AF709" s="34" t="n"/>
      <c r="AG709" s="34" t="n"/>
      <c r="AH709" s="34" t="n"/>
      <c r="AK709" s="34" t="n"/>
      <c r="AL709" s="34" t="n"/>
      <c r="AM709" s="39" t="n"/>
      <c r="AN709" s="34" t="n"/>
      <c r="AO709" s="34" t="n"/>
      <c r="AP709" s="34" t="n"/>
      <c r="AQ709" s="34" t="n"/>
      <c r="AR709" s="34" t="n"/>
      <c r="AS709" s="34" t="n"/>
      <c r="AU709" s="34" t="n"/>
      <c r="AV709" s="34" t="n"/>
      <c r="AW709" s="34" t="n"/>
      <c r="AX709" s="34" t="n"/>
      <c r="AY709" s="34" t="n"/>
      <c r="AZ709" s="34" t="n"/>
      <c r="BA709" s="34" t="n"/>
      <c r="BB709" s="34" t="n"/>
      <c r="BC709" s="34" t="n"/>
      <c r="BD709" s="34" t="n"/>
      <c r="BE709" s="34" t="n"/>
      <c r="BF709" s="34" t="n"/>
      <c r="BG709" s="34" t="n"/>
      <c r="BH709" s="34" t="n"/>
      <c r="BI709" s="34" t="n"/>
      <c r="BJ709" s="34" t="n"/>
      <c r="BK709" s="34" t="n"/>
      <c r="BL709" s="34" t="n"/>
      <c r="BM709" s="34" t="n"/>
      <c r="BN709" s="34" t="n"/>
      <c r="BO709" s="34" t="n"/>
      <c r="BP709" s="34" t="n"/>
      <c r="BQ709" s="34" t="n"/>
      <c r="BR709" s="82" t="n"/>
      <c r="BS709" s="34" t="n"/>
      <c r="BT709" s="34" t="n"/>
      <c r="BU709" s="34" t="n"/>
      <c r="BV709" s="34" t="n"/>
      <c r="BW709" s="34" t="n"/>
      <c r="BX709" s="34" t="n"/>
      <c r="BY709" s="34" t="n"/>
      <c r="BZ709" s="34" t="n"/>
      <c r="CA709" s="34" t="n"/>
      <c r="CB709" s="33" t="n"/>
      <c r="CC709" s="34" t="n"/>
      <c r="CD709" s="34" t="n"/>
      <c r="CE709" s="82" t="n"/>
      <c r="CF709" s="34" t="n"/>
      <c r="CG709" s="34" t="n"/>
      <c r="CH709" s="34" t="n"/>
      <c r="CI709" s="34" t="n"/>
      <c r="CJ709" s="34" t="n"/>
    </row>
    <row r="710">
      <c r="A710" s="29" t="n"/>
      <c r="B710" s="29" t="n"/>
      <c r="C710" s="35" t="n"/>
      <c r="D710" s="36" t="n"/>
      <c r="E710" s="147" t="n"/>
      <c r="F710" s="30" t="n"/>
      <c r="G710" s="30" t="n"/>
      <c r="H710" s="30" t="n"/>
      <c r="I710" s="30" t="n"/>
      <c r="J710" s="119" t="n"/>
      <c r="K710" s="34" t="n"/>
      <c r="L710" s="119" t="n"/>
      <c r="M710" s="34" t="n"/>
      <c r="N710" s="119" t="n"/>
      <c r="O710" s="34" t="n"/>
      <c r="P710" s="34" t="n"/>
      <c r="Q710" s="117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  <c r="AA710" s="34" t="n"/>
      <c r="AB710" s="34" t="n"/>
      <c r="AC710" s="34" t="n"/>
      <c r="AD710" s="34" t="n"/>
      <c r="AE710" s="34" t="n"/>
      <c r="AF710" s="34" t="n"/>
      <c r="AG710" s="34" t="n"/>
      <c r="AH710" s="34" t="n"/>
      <c r="AK710" s="34" t="n"/>
      <c r="AL710" s="34" t="n"/>
      <c r="AM710" s="39" t="n"/>
      <c r="AN710" s="34" t="n"/>
      <c r="AO710" s="34" t="n"/>
      <c r="AP710" s="34" t="n"/>
      <c r="AQ710" s="34" t="n"/>
      <c r="AR710" s="34" t="n"/>
      <c r="AS710" s="34" t="n"/>
      <c r="AU710" s="34" t="n"/>
      <c r="AV710" s="34" t="n"/>
      <c r="AW710" s="34" t="n"/>
      <c r="AX710" s="34" t="n"/>
      <c r="AY710" s="34" t="n"/>
      <c r="AZ710" s="34" t="n"/>
      <c r="BA710" s="34" t="n"/>
      <c r="BB710" s="34" t="n"/>
      <c r="BC710" s="34" t="n"/>
      <c r="BD710" s="34" t="n"/>
      <c r="BE710" s="34" t="n"/>
      <c r="BF710" s="34" t="n"/>
      <c r="BG710" s="34" t="n"/>
      <c r="BH710" s="34" t="n"/>
      <c r="BI710" s="34" t="n"/>
      <c r="BJ710" s="34" t="n"/>
      <c r="BK710" s="34" t="n"/>
      <c r="BL710" s="34" t="n"/>
      <c r="BM710" s="34" t="n"/>
      <c r="BN710" s="34" t="n"/>
      <c r="BO710" s="34" t="n"/>
      <c r="BP710" s="34" t="n"/>
      <c r="BQ710" s="34" t="n"/>
      <c r="BR710" s="82" t="n"/>
      <c r="BS710" s="34" t="n"/>
      <c r="BT710" s="34" t="n"/>
      <c r="BU710" s="34" t="n"/>
      <c r="BV710" s="34" t="n"/>
      <c r="BW710" s="34" t="n"/>
      <c r="BX710" s="34" t="n"/>
      <c r="BY710" s="34" t="n"/>
      <c r="BZ710" s="34" t="n"/>
      <c r="CA710" s="34" t="n"/>
      <c r="CB710" s="33" t="n"/>
      <c r="CC710" s="34" t="n"/>
      <c r="CD710" s="34" t="n"/>
      <c r="CE710" s="82" t="n"/>
      <c r="CF710" s="34" t="n"/>
      <c r="CG710" s="34" t="n"/>
      <c r="CH710" s="34" t="n"/>
      <c r="CI710" s="34" t="n"/>
      <c r="CJ710" s="34" t="n"/>
    </row>
    <row r="711">
      <c r="A711" s="29" t="n"/>
      <c r="B711" s="29" t="n"/>
      <c r="C711" s="35" t="n"/>
      <c r="D711" s="36" t="n"/>
      <c r="E711" s="147" t="n"/>
      <c r="F711" s="30" t="n"/>
      <c r="G711" s="30" t="n"/>
      <c r="H711" s="30" t="n"/>
      <c r="I711" s="30" t="n"/>
      <c r="J711" s="119" t="n"/>
      <c r="K711" s="34" t="n"/>
      <c r="L711" s="119" t="n"/>
      <c r="M711" s="34" t="n"/>
      <c r="N711" s="119" t="n"/>
      <c r="O711" s="34" t="n"/>
      <c r="P711" s="34" t="n"/>
      <c r="Q711" s="117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  <c r="AA711" s="34" t="n"/>
      <c r="AB711" s="34" t="n"/>
      <c r="AC711" s="34" t="n"/>
      <c r="AD711" s="34" t="n"/>
      <c r="AE711" s="34" t="n"/>
      <c r="AF711" s="34" t="n"/>
      <c r="AG711" s="34" t="n"/>
      <c r="AH711" s="34" t="n"/>
      <c r="AK711" s="34" t="n"/>
      <c r="AL711" s="34" t="n"/>
      <c r="AM711" s="39" t="n"/>
      <c r="AN711" s="34" t="n"/>
      <c r="AO711" s="34" t="n"/>
      <c r="AP711" s="34" t="n"/>
      <c r="AQ711" s="34" t="n"/>
      <c r="AR711" s="34" t="n"/>
      <c r="AS711" s="34" t="n"/>
      <c r="AU711" s="34" t="n"/>
      <c r="AV711" s="34" t="n"/>
      <c r="AW711" s="34" t="n"/>
      <c r="AX711" s="34" t="n"/>
      <c r="AY711" s="34" t="n"/>
      <c r="AZ711" s="34" t="n"/>
      <c r="BA711" s="34" t="n"/>
      <c r="BB711" s="34" t="n"/>
      <c r="BC711" s="34" t="n"/>
      <c r="BD711" s="34" t="n"/>
      <c r="BE711" s="34" t="n"/>
      <c r="BF711" s="34" t="n"/>
      <c r="BG711" s="34" t="n"/>
      <c r="BH711" s="34" t="n"/>
      <c r="BI711" s="34" t="n"/>
      <c r="BJ711" s="34" t="n"/>
      <c r="BK711" s="34" t="n"/>
      <c r="BL711" s="34" t="n"/>
      <c r="BM711" s="34" t="n"/>
      <c r="BN711" s="34" t="n"/>
      <c r="BO711" s="34" t="n"/>
      <c r="BP711" s="34" t="n"/>
      <c r="BQ711" s="34" t="n"/>
      <c r="BR711" s="82" t="n"/>
      <c r="BS711" s="34" t="n"/>
      <c r="BT711" s="34" t="n"/>
      <c r="BU711" s="34" t="n"/>
      <c r="BV711" s="34" t="n"/>
      <c r="BW711" s="34" t="n"/>
      <c r="BX711" s="34" t="n"/>
      <c r="BY711" s="34" t="n"/>
      <c r="BZ711" s="34" t="n"/>
      <c r="CA711" s="34" t="n"/>
      <c r="CB711" s="33" t="n"/>
      <c r="CC711" s="34" t="n"/>
      <c r="CD711" s="34" t="n"/>
      <c r="CE711" s="82" t="n"/>
      <c r="CF711" s="34" t="n"/>
      <c r="CG711" s="34" t="n"/>
      <c r="CH711" s="34" t="n"/>
      <c r="CI711" s="34" t="n"/>
      <c r="CJ711" s="34" t="n"/>
    </row>
    <row r="712">
      <c r="A712" s="29" t="n"/>
      <c r="B712" s="29" t="n"/>
      <c r="C712" s="35" t="n"/>
      <c r="D712" s="36" t="n"/>
      <c r="E712" s="147" t="n"/>
      <c r="F712" s="30" t="n"/>
      <c r="G712" s="30" t="n"/>
      <c r="H712" s="30" t="n"/>
      <c r="I712" s="30" t="n"/>
      <c r="J712" s="119" t="n"/>
      <c r="K712" s="34" t="n"/>
      <c r="L712" s="119" t="n"/>
      <c r="M712" s="34" t="n"/>
      <c r="N712" s="119" t="n"/>
      <c r="O712" s="34" t="n"/>
      <c r="P712" s="34" t="n"/>
      <c r="Q712" s="117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  <c r="AA712" s="34" t="n"/>
      <c r="AB712" s="34" t="n"/>
      <c r="AC712" s="34" t="n"/>
      <c r="AD712" s="34" t="n"/>
      <c r="AE712" s="34" t="n"/>
      <c r="AF712" s="34" t="n"/>
      <c r="AG712" s="34" t="n"/>
      <c r="AH712" s="34" t="n"/>
      <c r="AK712" s="34" t="n"/>
      <c r="AL712" s="34" t="n"/>
      <c r="AM712" s="39" t="n"/>
      <c r="AN712" s="34" t="n"/>
      <c r="AO712" s="34" t="n"/>
      <c r="AP712" s="34" t="n"/>
      <c r="AQ712" s="34" t="n"/>
      <c r="AR712" s="34" t="n"/>
      <c r="AS712" s="34" t="n"/>
      <c r="AU712" s="34" t="n"/>
      <c r="AV712" s="34" t="n"/>
      <c r="AW712" s="34" t="n"/>
      <c r="AX712" s="34" t="n"/>
      <c r="AY712" s="34" t="n"/>
      <c r="AZ712" s="34" t="n"/>
      <c r="BA712" s="34" t="n"/>
      <c r="BB712" s="34" t="n"/>
      <c r="BC712" s="34" t="n"/>
      <c r="BD712" s="34" t="n"/>
      <c r="BE712" s="34" t="n"/>
      <c r="BF712" s="34" t="n"/>
      <c r="BG712" s="34" t="n"/>
      <c r="BH712" s="34" t="n"/>
      <c r="BI712" s="34" t="n"/>
      <c r="BJ712" s="34" t="n"/>
      <c r="BK712" s="34" t="n"/>
      <c r="BL712" s="34" t="n"/>
      <c r="BM712" s="34" t="n"/>
      <c r="BN712" s="34" t="n"/>
      <c r="BO712" s="34" t="n"/>
      <c r="BP712" s="34" t="n"/>
      <c r="BQ712" s="34" t="n"/>
      <c r="BR712" s="82" t="n"/>
      <c r="BS712" s="34" t="n"/>
      <c r="BT712" s="34" t="n"/>
      <c r="BU712" s="34" t="n"/>
      <c r="BV712" s="34" t="n"/>
      <c r="BW712" s="34" t="n"/>
      <c r="BX712" s="34" t="n"/>
      <c r="BY712" s="34" t="n"/>
      <c r="BZ712" s="34" t="n"/>
      <c r="CA712" s="34" t="n"/>
      <c r="CB712" s="33" t="n"/>
      <c r="CC712" s="34" t="n"/>
      <c r="CD712" s="34" t="n"/>
      <c r="CE712" s="82" t="n"/>
      <c r="CF712" s="34" t="n"/>
      <c r="CG712" s="34" t="n"/>
      <c r="CH712" s="34" t="n"/>
      <c r="CI712" s="34" t="n"/>
      <c r="CJ712" s="34" t="n"/>
    </row>
    <row r="713">
      <c r="A713" s="29" t="n"/>
      <c r="B713" s="29" t="n"/>
      <c r="C713" s="35" t="n"/>
      <c r="D713" s="36" t="n"/>
      <c r="E713" s="147" t="n"/>
      <c r="F713" s="30" t="n"/>
      <c r="G713" s="30" t="n"/>
      <c r="H713" s="30" t="n"/>
      <c r="I713" s="30" t="n"/>
      <c r="J713" s="119" t="n"/>
      <c r="K713" s="34" t="n"/>
      <c r="L713" s="119" t="n"/>
      <c r="M713" s="34" t="n"/>
      <c r="N713" s="119" t="n"/>
      <c r="O713" s="34" t="n"/>
      <c r="P713" s="34" t="n"/>
      <c r="Q713" s="117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  <c r="AA713" s="34" t="n"/>
      <c r="AB713" s="34" t="n"/>
      <c r="AC713" s="34" t="n"/>
      <c r="AD713" s="34" t="n"/>
      <c r="AE713" s="34" t="n"/>
      <c r="AF713" s="34" t="n"/>
      <c r="AG713" s="34" t="n"/>
      <c r="AH713" s="34" t="n"/>
      <c r="AK713" s="34" t="n"/>
      <c r="AL713" s="34" t="n"/>
      <c r="AM713" s="39" t="n"/>
      <c r="AN713" s="34" t="n"/>
      <c r="AO713" s="34" t="n"/>
      <c r="AP713" s="34" t="n"/>
      <c r="AQ713" s="34" t="n"/>
      <c r="AR713" s="34" t="n"/>
      <c r="AS713" s="34" t="n"/>
      <c r="AU713" s="34" t="n"/>
      <c r="AV713" s="34" t="n"/>
      <c r="AW713" s="34" t="n"/>
      <c r="AX713" s="34" t="n"/>
      <c r="AY713" s="34" t="n"/>
      <c r="AZ713" s="34" t="n"/>
      <c r="BA713" s="34" t="n"/>
      <c r="BB713" s="34" t="n"/>
      <c r="BC713" s="34" t="n"/>
      <c r="BD713" s="34" t="n"/>
      <c r="BE713" s="34" t="n"/>
      <c r="BF713" s="34" t="n"/>
      <c r="BG713" s="34" t="n"/>
      <c r="BH713" s="34" t="n"/>
      <c r="BI713" s="34" t="n"/>
      <c r="BJ713" s="34" t="n"/>
      <c r="BK713" s="34" t="n"/>
      <c r="BL713" s="34" t="n"/>
      <c r="BM713" s="34" t="n"/>
      <c r="BN713" s="34" t="n"/>
      <c r="BO713" s="34" t="n"/>
      <c r="BP713" s="34" t="n"/>
      <c r="BQ713" s="34" t="n"/>
      <c r="BR713" s="82" t="n"/>
      <c r="BS713" s="34" t="n"/>
      <c r="BT713" s="34" t="n"/>
      <c r="BU713" s="34" t="n"/>
      <c r="BV713" s="34" t="n"/>
      <c r="BW713" s="34" t="n"/>
      <c r="BX713" s="34" t="n"/>
      <c r="BY713" s="34" t="n"/>
      <c r="BZ713" s="34" t="n"/>
      <c r="CA713" s="34" t="n"/>
      <c r="CB713" s="33" t="n"/>
      <c r="CC713" s="34" t="n"/>
      <c r="CD713" s="34" t="n"/>
      <c r="CE713" s="82" t="n"/>
      <c r="CF713" s="34" t="n"/>
      <c r="CG713" s="34" t="n"/>
      <c r="CH713" s="34" t="n"/>
      <c r="CI713" s="34" t="n"/>
      <c r="CJ713" s="34" t="n"/>
    </row>
    <row r="714">
      <c r="A714" s="29" t="n"/>
      <c r="B714" s="29" t="n"/>
      <c r="C714" s="35" t="n"/>
      <c r="D714" s="36" t="n"/>
      <c r="E714" s="147" t="n"/>
      <c r="F714" s="30" t="n"/>
      <c r="G714" s="30" t="n"/>
      <c r="H714" s="30" t="n"/>
      <c r="I714" s="30" t="n"/>
      <c r="J714" s="119" t="n"/>
      <c r="K714" s="34" t="n"/>
      <c r="L714" s="119" t="n"/>
      <c r="M714" s="34" t="n"/>
      <c r="N714" s="119" t="n"/>
      <c r="O714" s="34" t="n"/>
      <c r="P714" s="34" t="n"/>
      <c r="Q714" s="117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  <c r="AA714" s="34" t="n"/>
      <c r="AB714" s="34" t="n"/>
      <c r="AC714" s="34" t="n"/>
      <c r="AD714" s="34" t="n"/>
      <c r="AE714" s="34" t="n"/>
      <c r="AF714" s="34" t="n"/>
      <c r="AG714" s="34" t="n"/>
      <c r="AH714" s="34" t="n"/>
      <c r="AK714" s="34" t="n"/>
      <c r="AL714" s="34" t="n"/>
      <c r="AM714" s="39" t="n"/>
      <c r="AN714" s="34" t="n"/>
      <c r="AO714" s="34" t="n"/>
      <c r="AP714" s="34" t="n"/>
      <c r="AQ714" s="34" t="n"/>
      <c r="AR714" s="34" t="n"/>
      <c r="AS714" s="34" t="n"/>
      <c r="AU714" s="34" t="n"/>
      <c r="AV714" s="34" t="n"/>
      <c r="AW714" s="34" t="n"/>
      <c r="AX714" s="34" t="n"/>
      <c r="AY714" s="34" t="n"/>
      <c r="AZ714" s="34" t="n"/>
      <c r="BA714" s="34" t="n"/>
      <c r="BB714" s="34" t="n"/>
      <c r="BC714" s="34" t="n"/>
      <c r="BD714" s="34" t="n"/>
      <c r="BE714" s="34" t="n"/>
      <c r="BF714" s="34" t="n"/>
      <c r="BG714" s="34" t="n"/>
      <c r="BH714" s="34" t="n"/>
      <c r="BI714" s="34" t="n"/>
      <c r="BJ714" s="34" t="n"/>
      <c r="BK714" s="34" t="n"/>
      <c r="BL714" s="34" t="n"/>
      <c r="BM714" s="34" t="n"/>
      <c r="BN714" s="34" t="n"/>
      <c r="BO714" s="34" t="n"/>
      <c r="BP714" s="34" t="n"/>
      <c r="BQ714" s="34" t="n"/>
      <c r="BR714" s="82" t="n"/>
      <c r="BS714" s="34" t="n"/>
      <c r="BT714" s="34" t="n"/>
      <c r="BU714" s="34" t="n"/>
      <c r="BV714" s="34" t="n"/>
      <c r="BW714" s="34" t="n"/>
      <c r="BX714" s="34" t="n"/>
      <c r="BY714" s="34" t="n"/>
      <c r="BZ714" s="34" t="n"/>
      <c r="CA714" s="34" t="n"/>
      <c r="CB714" s="33" t="n"/>
      <c r="CC714" s="34" t="n"/>
      <c r="CD714" s="34" t="n"/>
      <c r="CE714" s="82" t="n"/>
      <c r="CF714" s="34" t="n"/>
      <c r="CG714" s="34" t="n"/>
      <c r="CH714" s="34" t="n"/>
      <c r="CI714" s="34" t="n"/>
      <c r="CJ714" s="34" t="n"/>
    </row>
    <row r="715">
      <c r="A715" s="29" t="n"/>
      <c r="B715" s="29" t="n"/>
      <c r="C715" s="35" t="n"/>
      <c r="D715" s="36" t="n"/>
      <c r="E715" s="147" t="n"/>
      <c r="F715" s="30" t="n"/>
      <c r="G715" s="30" t="n"/>
      <c r="H715" s="30" t="n"/>
      <c r="I715" s="30" t="n"/>
      <c r="J715" s="119" t="n"/>
      <c r="K715" s="34" t="n"/>
      <c r="L715" s="119" t="n"/>
      <c r="M715" s="34" t="n"/>
      <c r="N715" s="119" t="n"/>
      <c r="O715" s="34" t="n"/>
      <c r="P715" s="34" t="n"/>
      <c r="Q715" s="117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  <c r="AA715" s="34" t="n"/>
      <c r="AB715" s="34" t="n"/>
      <c r="AC715" s="34" t="n"/>
      <c r="AD715" s="34" t="n"/>
      <c r="AE715" s="34" t="n"/>
      <c r="AF715" s="34" t="n"/>
      <c r="AG715" s="34" t="n"/>
      <c r="AH715" s="34" t="n"/>
      <c r="AK715" s="34" t="n"/>
      <c r="AL715" s="34" t="n"/>
      <c r="AM715" s="39" t="n"/>
      <c r="AN715" s="34" t="n"/>
      <c r="AO715" s="34" t="n"/>
      <c r="AP715" s="34" t="n"/>
      <c r="AQ715" s="34" t="n"/>
      <c r="AR715" s="34" t="n"/>
      <c r="AS715" s="34" t="n"/>
      <c r="AU715" s="34" t="n"/>
      <c r="AV715" s="34" t="n"/>
      <c r="AW715" s="34" t="n"/>
      <c r="AX715" s="34" t="n"/>
      <c r="AY715" s="34" t="n"/>
      <c r="AZ715" s="34" t="n"/>
      <c r="BA715" s="34" t="n"/>
      <c r="BB715" s="34" t="n"/>
      <c r="BC715" s="34" t="n"/>
      <c r="BD715" s="34" t="n"/>
      <c r="BE715" s="34" t="n"/>
      <c r="BF715" s="34" t="n"/>
      <c r="BG715" s="34" t="n"/>
      <c r="BH715" s="34" t="n"/>
      <c r="BI715" s="34" t="n"/>
      <c r="BJ715" s="34" t="n"/>
      <c r="BK715" s="34" t="n"/>
      <c r="BL715" s="34" t="n"/>
      <c r="BM715" s="34" t="n"/>
      <c r="BN715" s="34" t="n"/>
      <c r="BO715" s="34" t="n"/>
      <c r="BP715" s="34" t="n"/>
      <c r="BQ715" s="34" t="n"/>
      <c r="BR715" s="82" t="n"/>
      <c r="BS715" s="34" t="n"/>
      <c r="BT715" s="34" t="n"/>
      <c r="BU715" s="34" t="n"/>
      <c r="BV715" s="34" t="n"/>
      <c r="BW715" s="34" t="n"/>
      <c r="BX715" s="34" t="n"/>
      <c r="BY715" s="34" t="n"/>
      <c r="BZ715" s="34" t="n"/>
      <c r="CA715" s="34" t="n"/>
      <c r="CB715" s="33" t="n"/>
      <c r="CC715" s="34" t="n"/>
      <c r="CD715" s="34" t="n"/>
      <c r="CE715" s="82" t="n"/>
      <c r="CF715" s="34" t="n"/>
      <c r="CG715" s="34" t="n"/>
      <c r="CH715" s="34" t="n"/>
      <c r="CI715" s="34" t="n"/>
      <c r="CJ715" s="34" t="n"/>
    </row>
    <row r="716">
      <c r="A716" s="29" t="n"/>
      <c r="B716" s="29" t="n"/>
      <c r="C716" s="35" t="n"/>
      <c r="D716" s="36" t="n"/>
      <c r="E716" s="147" t="n"/>
      <c r="F716" s="30" t="n"/>
      <c r="G716" s="30" t="n"/>
      <c r="H716" s="30" t="n"/>
      <c r="I716" s="30" t="n"/>
      <c r="J716" s="119" t="n"/>
      <c r="K716" s="34" t="n"/>
      <c r="L716" s="119" t="n"/>
      <c r="M716" s="34" t="n"/>
      <c r="N716" s="119" t="n"/>
      <c r="O716" s="34" t="n"/>
      <c r="P716" s="34" t="n"/>
      <c r="Q716" s="117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  <c r="AA716" s="34" t="n"/>
      <c r="AB716" s="34" t="n"/>
      <c r="AC716" s="34" t="n"/>
      <c r="AD716" s="34" t="n"/>
      <c r="AE716" s="34" t="n"/>
      <c r="AF716" s="34" t="n"/>
      <c r="AG716" s="34" t="n"/>
      <c r="AH716" s="34" t="n"/>
      <c r="AK716" s="34" t="n"/>
      <c r="AL716" s="34" t="n"/>
      <c r="AM716" s="39" t="n"/>
      <c r="AN716" s="34" t="n"/>
      <c r="AO716" s="34" t="n"/>
      <c r="AP716" s="34" t="n"/>
      <c r="AQ716" s="34" t="n"/>
      <c r="AR716" s="34" t="n"/>
      <c r="AS716" s="34" t="n"/>
      <c r="AU716" s="34" t="n"/>
      <c r="AV716" s="34" t="n"/>
      <c r="AW716" s="34" t="n"/>
      <c r="AX716" s="34" t="n"/>
      <c r="AY716" s="34" t="n"/>
      <c r="AZ716" s="34" t="n"/>
      <c r="BA716" s="34" t="n"/>
      <c r="BB716" s="34" t="n"/>
      <c r="BC716" s="34" t="n"/>
      <c r="BD716" s="34" t="n"/>
      <c r="BE716" s="34" t="n"/>
      <c r="BF716" s="34" t="n"/>
      <c r="BG716" s="34" t="n"/>
      <c r="BH716" s="34" t="n"/>
      <c r="BI716" s="34" t="n"/>
      <c r="BJ716" s="34" t="n"/>
      <c r="BK716" s="34" t="n"/>
      <c r="BL716" s="34" t="n"/>
      <c r="BM716" s="34" t="n"/>
      <c r="BN716" s="34" t="n"/>
      <c r="BO716" s="34" t="n"/>
      <c r="BP716" s="34" t="n"/>
      <c r="BQ716" s="34" t="n"/>
      <c r="BR716" s="82" t="n"/>
      <c r="BS716" s="34" t="n"/>
      <c r="BT716" s="34" t="n"/>
      <c r="BU716" s="34" t="n"/>
      <c r="BV716" s="34" t="n"/>
      <c r="BW716" s="34" t="n"/>
      <c r="BX716" s="34" t="n"/>
      <c r="BY716" s="34" t="n"/>
      <c r="BZ716" s="34" t="n"/>
      <c r="CA716" s="34" t="n"/>
      <c r="CB716" s="33" t="n"/>
      <c r="CC716" s="34" t="n"/>
      <c r="CD716" s="34" t="n"/>
      <c r="CE716" s="82" t="n"/>
      <c r="CF716" s="34" t="n"/>
      <c r="CG716" s="34" t="n"/>
      <c r="CH716" s="34" t="n"/>
      <c r="CI716" s="34" t="n"/>
      <c r="CJ716" s="34" t="n"/>
    </row>
    <row r="717">
      <c r="A717" s="29" t="n"/>
      <c r="B717" s="29" t="n"/>
      <c r="C717" s="35" t="n"/>
      <c r="D717" s="36" t="n"/>
      <c r="E717" s="147" t="n"/>
      <c r="F717" s="30" t="n"/>
      <c r="G717" s="30" t="n"/>
      <c r="H717" s="30" t="n"/>
      <c r="I717" s="30" t="n"/>
      <c r="J717" s="119" t="n"/>
      <c r="K717" s="34" t="n"/>
      <c r="L717" s="119" t="n"/>
      <c r="M717" s="34" t="n"/>
      <c r="N717" s="119" t="n"/>
      <c r="O717" s="34" t="n"/>
      <c r="P717" s="34" t="n"/>
      <c r="Q717" s="117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  <c r="AA717" s="34" t="n"/>
      <c r="AB717" s="34" t="n"/>
      <c r="AC717" s="34" t="n"/>
      <c r="AD717" s="34" t="n"/>
      <c r="AE717" s="34" t="n"/>
      <c r="AF717" s="34" t="n"/>
      <c r="AG717" s="34" t="n"/>
      <c r="AH717" s="34" t="n"/>
      <c r="AK717" s="34" t="n"/>
      <c r="AL717" s="34" t="n"/>
      <c r="AM717" s="39" t="n"/>
      <c r="AN717" s="34" t="n"/>
      <c r="AO717" s="34" t="n"/>
      <c r="AP717" s="34" t="n"/>
      <c r="AQ717" s="34" t="n"/>
      <c r="AR717" s="34" t="n"/>
      <c r="AS717" s="34" t="n"/>
      <c r="AU717" s="34" t="n"/>
      <c r="AV717" s="34" t="n"/>
      <c r="AW717" s="34" t="n"/>
      <c r="AX717" s="34" t="n"/>
      <c r="AY717" s="34" t="n"/>
      <c r="AZ717" s="34" t="n"/>
      <c r="BA717" s="34" t="n"/>
      <c r="BB717" s="34" t="n"/>
      <c r="BC717" s="34" t="n"/>
      <c r="BD717" s="34" t="n"/>
      <c r="BE717" s="34" t="n"/>
      <c r="BF717" s="34" t="n"/>
      <c r="BG717" s="34" t="n"/>
      <c r="BH717" s="34" t="n"/>
      <c r="BI717" s="34" t="n"/>
      <c r="BJ717" s="34" t="n"/>
      <c r="BK717" s="34" t="n"/>
      <c r="BL717" s="34" t="n"/>
      <c r="BM717" s="34" t="n"/>
      <c r="BN717" s="34" t="n"/>
      <c r="BO717" s="34" t="n"/>
      <c r="BP717" s="34" t="n"/>
      <c r="BQ717" s="34" t="n"/>
      <c r="BR717" s="82" t="n"/>
      <c r="BS717" s="34" t="n"/>
      <c r="BT717" s="34" t="n"/>
      <c r="BU717" s="34" t="n"/>
      <c r="BV717" s="34" t="n"/>
      <c r="BW717" s="34" t="n"/>
      <c r="BX717" s="34" t="n"/>
      <c r="BY717" s="34" t="n"/>
      <c r="BZ717" s="34" t="n"/>
      <c r="CA717" s="34" t="n"/>
      <c r="CB717" s="33" t="n"/>
      <c r="CC717" s="34" t="n"/>
      <c r="CD717" s="34" t="n"/>
      <c r="CE717" s="82" t="n"/>
      <c r="CF717" s="34" t="n"/>
      <c r="CG717" s="34" t="n"/>
      <c r="CH717" s="34" t="n"/>
      <c r="CI717" s="34" t="n"/>
      <c r="CJ717" s="34" t="n"/>
    </row>
    <row r="718">
      <c r="A718" s="29" t="n"/>
      <c r="B718" s="29" t="n"/>
      <c r="C718" s="35" t="n"/>
      <c r="D718" s="36" t="n"/>
      <c r="E718" s="147" t="n"/>
      <c r="F718" s="30" t="n"/>
      <c r="G718" s="30" t="n"/>
      <c r="H718" s="30" t="n"/>
      <c r="I718" s="30" t="n"/>
      <c r="J718" s="119" t="n"/>
      <c r="K718" s="34" t="n"/>
      <c r="L718" s="119" t="n"/>
      <c r="M718" s="34" t="n"/>
      <c r="N718" s="119" t="n"/>
      <c r="O718" s="34" t="n"/>
      <c r="P718" s="34" t="n"/>
      <c r="Q718" s="117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  <c r="AA718" s="34" t="n"/>
      <c r="AB718" s="34" t="n"/>
      <c r="AC718" s="34" t="n"/>
      <c r="AD718" s="34" t="n"/>
      <c r="AE718" s="34" t="n"/>
      <c r="AF718" s="34" t="n"/>
      <c r="AG718" s="34" t="n"/>
      <c r="AH718" s="34" t="n"/>
      <c r="AK718" s="34" t="n"/>
      <c r="AL718" s="34" t="n"/>
      <c r="AM718" s="39" t="n"/>
      <c r="AN718" s="34" t="n"/>
      <c r="AO718" s="34" t="n"/>
      <c r="AP718" s="34" t="n"/>
      <c r="AQ718" s="34" t="n"/>
      <c r="AR718" s="34" t="n"/>
      <c r="AS718" s="34" t="n"/>
      <c r="AU718" s="34" t="n"/>
      <c r="AV718" s="34" t="n"/>
      <c r="AW718" s="34" t="n"/>
      <c r="AX718" s="34" t="n"/>
      <c r="AY718" s="34" t="n"/>
      <c r="AZ718" s="34" t="n"/>
      <c r="BA718" s="34" t="n"/>
      <c r="BB718" s="34" t="n"/>
      <c r="BC718" s="34" t="n"/>
      <c r="BD718" s="34" t="n"/>
      <c r="BE718" s="34" t="n"/>
      <c r="BF718" s="34" t="n"/>
      <c r="BG718" s="34" t="n"/>
      <c r="BH718" s="34" t="n"/>
      <c r="BI718" s="34" t="n"/>
      <c r="BJ718" s="34" t="n"/>
      <c r="BK718" s="34" t="n"/>
      <c r="BL718" s="34" t="n"/>
      <c r="BM718" s="34" t="n"/>
      <c r="BN718" s="34" t="n"/>
      <c r="BO718" s="34" t="n"/>
      <c r="BP718" s="34" t="n"/>
      <c r="BQ718" s="34" t="n"/>
      <c r="BR718" s="82" t="n"/>
      <c r="BS718" s="34" t="n"/>
      <c r="BT718" s="34" t="n"/>
      <c r="BU718" s="34" t="n"/>
      <c r="BV718" s="34" t="n"/>
      <c r="BW718" s="34" t="n"/>
      <c r="BX718" s="34" t="n"/>
      <c r="BY718" s="34" t="n"/>
      <c r="BZ718" s="34" t="n"/>
      <c r="CA718" s="34" t="n"/>
      <c r="CB718" s="33" t="n"/>
      <c r="CC718" s="34" t="n"/>
      <c r="CD718" s="34" t="n"/>
      <c r="CE718" s="82" t="n"/>
      <c r="CF718" s="34" t="n"/>
      <c r="CG718" s="34" t="n"/>
      <c r="CH718" s="34" t="n"/>
      <c r="CI718" s="34" t="n"/>
      <c r="CJ718" s="34" t="n"/>
    </row>
    <row r="719">
      <c r="A719" s="29" t="n"/>
      <c r="B719" s="29" t="n"/>
      <c r="C719" s="35" t="n"/>
      <c r="D719" s="36" t="n"/>
      <c r="E719" s="147" t="n"/>
      <c r="F719" s="30" t="n"/>
      <c r="G719" s="30" t="n"/>
      <c r="H719" s="30" t="n"/>
      <c r="I719" s="30" t="n"/>
      <c r="J719" s="119" t="n"/>
      <c r="K719" s="34" t="n"/>
      <c r="L719" s="119" t="n"/>
      <c r="M719" s="34" t="n"/>
      <c r="N719" s="119" t="n"/>
      <c r="O719" s="34" t="n"/>
      <c r="P719" s="34" t="n"/>
      <c r="Q719" s="117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  <c r="AA719" s="34" t="n"/>
      <c r="AB719" s="34" t="n"/>
      <c r="AC719" s="34" t="n"/>
      <c r="AD719" s="34" t="n"/>
      <c r="AE719" s="34" t="n"/>
      <c r="AF719" s="34" t="n"/>
      <c r="AG719" s="34" t="n"/>
      <c r="AH719" s="34" t="n"/>
      <c r="AK719" s="34" t="n"/>
      <c r="AL719" s="34" t="n"/>
      <c r="AM719" s="39" t="n"/>
      <c r="AN719" s="34" t="n"/>
      <c r="AO719" s="34" t="n"/>
      <c r="AP719" s="34" t="n"/>
      <c r="AQ719" s="34" t="n"/>
      <c r="AR719" s="34" t="n"/>
      <c r="AS719" s="34" t="n"/>
      <c r="AU719" s="34" t="n"/>
      <c r="AV719" s="34" t="n"/>
      <c r="AW719" s="34" t="n"/>
      <c r="AX719" s="34" t="n"/>
      <c r="AY719" s="34" t="n"/>
      <c r="AZ719" s="34" t="n"/>
      <c r="BA719" s="34" t="n"/>
      <c r="BB719" s="34" t="n"/>
      <c r="BC719" s="34" t="n"/>
      <c r="BD719" s="34" t="n"/>
      <c r="BE719" s="34" t="n"/>
      <c r="BF719" s="34" t="n"/>
      <c r="BG719" s="34" t="n"/>
      <c r="BH719" s="34" t="n"/>
      <c r="BI719" s="34" t="n"/>
      <c r="BJ719" s="34" t="n"/>
      <c r="BK719" s="34" t="n"/>
      <c r="BL719" s="34" t="n"/>
      <c r="BM719" s="34" t="n"/>
      <c r="BN719" s="34" t="n"/>
      <c r="BO719" s="34" t="n"/>
      <c r="BP719" s="34" t="n"/>
      <c r="BQ719" s="34" t="n"/>
      <c r="BR719" s="82" t="n"/>
      <c r="BS719" s="34" t="n"/>
      <c r="BT719" s="34" t="n"/>
      <c r="BU719" s="34" t="n"/>
      <c r="BV719" s="34" t="n"/>
      <c r="BW719" s="34" t="n"/>
      <c r="BX719" s="34" t="n"/>
      <c r="BY719" s="34" t="n"/>
      <c r="BZ719" s="34" t="n"/>
      <c r="CA719" s="34" t="n"/>
      <c r="CB719" s="33" t="n"/>
      <c r="CC719" s="34" t="n"/>
      <c r="CD719" s="34" t="n"/>
      <c r="CE719" s="82" t="n"/>
      <c r="CF719" s="34" t="n"/>
      <c r="CG719" s="34" t="n"/>
      <c r="CH719" s="34" t="n"/>
      <c r="CI719" s="34" t="n"/>
      <c r="CJ719" s="34" t="n"/>
    </row>
    <row r="720">
      <c r="A720" s="29" t="n"/>
      <c r="B720" s="29" t="n"/>
      <c r="C720" s="35" t="n"/>
      <c r="D720" s="36" t="n"/>
      <c r="E720" s="147" t="n"/>
      <c r="F720" s="30" t="n"/>
      <c r="G720" s="30" t="n"/>
      <c r="H720" s="30" t="n"/>
      <c r="I720" s="30" t="n"/>
      <c r="J720" s="119" t="n"/>
      <c r="K720" s="34" t="n"/>
      <c r="L720" s="119" t="n"/>
      <c r="M720" s="34" t="n"/>
      <c r="N720" s="119" t="n"/>
      <c r="O720" s="34" t="n"/>
      <c r="P720" s="34" t="n"/>
      <c r="Q720" s="117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  <c r="AA720" s="34" t="n"/>
      <c r="AB720" s="34" t="n"/>
      <c r="AC720" s="34" t="n"/>
      <c r="AD720" s="34" t="n"/>
      <c r="AE720" s="34" t="n"/>
      <c r="AF720" s="34" t="n"/>
      <c r="AG720" s="34" t="n"/>
      <c r="AH720" s="34" t="n"/>
      <c r="AK720" s="34" t="n"/>
      <c r="AL720" s="34" t="n"/>
      <c r="AM720" s="39" t="n"/>
      <c r="AN720" s="34" t="n"/>
      <c r="AO720" s="34" t="n"/>
      <c r="AP720" s="34" t="n"/>
      <c r="AQ720" s="34" t="n"/>
      <c r="AR720" s="34" t="n"/>
      <c r="AS720" s="34" t="n"/>
      <c r="AU720" s="34" t="n"/>
      <c r="AV720" s="34" t="n"/>
      <c r="AW720" s="34" t="n"/>
      <c r="AX720" s="34" t="n"/>
      <c r="AY720" s="34" t="n"/>
      <c r="AZ720" s="34" t="n"/>
      <c r="BA720" s="34" t="n"/>
      <c r="BB720" s="34" t="n"/>
      <c r="BC720" s="34" t="n"/>
      <c r="BD720" s="34" t="n"/>
      <c r="BE720" s="34" t="n"/>
      <c r="BF720" s="34" t="n"/>
      <c r="BG720" s="34" t="n"/>
      <c r="BH720" s="34" t="n"/>
      <c r="BI720" s="34" t="n"/>
      <c r="BJ720" s="34" t="n"/>
      <c r="BK720" s="34" t="n"/>
      <c r="BL720" s="34" t="n"/>
      <c r="BM720" s="34" t="n"/>
      <c r="BN720" s="34" t="n"/>
      <c r="BO720" s="34" t="n"/>
      <c r="BP720" s="34" t="n"/>
      <c r="BQ720" s="34" t="n"/>
      <c r="BR720" s="82" t="n"/>
      <c r="BS720" s="34" t="n"/>
      <c r="BT720" s="34" t="n"/>
      <c r="BU720" s="34" t="n"/>
      <c r="BV720" s="34" t="n"/>
      <c r="BW720" s="34" t="n"/>
      <c r="BX720" s="34" t="n"/>
      <c r="BY720" s="34" t="n"/>
      <c r="BZ720" s="34" t="n"/>
      <c r="CA720" s="34" t="n"/>
      <c r="CB720" s="33" t="n"/>
      <c r="CC720" s="34" t="n"/>
      <c r="CD720" s="34" t="n"/>
      <c r="CE720" s="82" t="n"/>
      <c r="CF720" s="34" t="n"/>
      <c r="CG720" s="34" t="n"/>
      <c r="CH720" s="34" t="n"/>
      <c r="CI720" s="34" t="n"/>
      <c r="CJ720" s="34" t="n"/>
    </row>
    <row r="721">
      <c r="A721" s="29" t="n"/>
      <c r="B721" s="29" t="n"/>
      <c r="C721" s="35" t="n"/>
      <c r="D721" s="36" t="n"/>
      <c r="E721" s="147" t="n"/>
      <c r="F721" s="30" t="n"/>
      <c r="G721" s="30" t="n"/>
      <c r="H721" s="30" t="n"/>
      <c r="I721" s="30" t="n"/>
      <c r="J721" s="119" t="n"/>
      <c r="K721" s="34" t="n"/>
      <c r="L721" s="119" t="n"/>
      <c r="M721" s="34" t="n"/>
      <c r="N721" s="119" t="n"/>
      <c r="O721" s="34" t="n"/>
      <c r="P721" s="34" t="n"/>
      <c r="Q721" s="117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  <c r="AA721" s="34" t="n"/>
      <c r="AB721" s="34" t="n"/>
      <c r="AC721" s="34" t="n"/>
      <c r="AD721" s="34" t="n"/>
      <c r="AE721" s="34" t="n"/>
      <c r="AF721" s="34" t="n"/>
      <c r="AG721" s="34" t="n"/>
      <c r="AH721" s="34" t="n"/>
      <c r="AK721" s="34" t="n"/>
      <c r="AL721" s="34" t="n"/>
      <c r="AM721" s="39" t="n"/>
      <c r="AN721" s="34" t="n"/>
      <c r="AO721" s="34" t="n"/>
      <c r="AP721" s="34" t="n"/>
      <c r="AQ721" s="34" t="n"/>
      <c r="AR721" s="34" t="n"/>
      <c r="AS721" s="34" t="n"/>
      <c r="AU721" s="34" t="n"/>
      <c r="AV721" s="34" t="n"/>
      <c r="AW721" s="34" t="n"/>
      <c r="AX721" s="34" t="n"/>
      <c r="AY721" s="34" t="n"/>
      <c r="AZ721" s="34" t="n"/>
      <c r="BA721" s="34" t="n"/>
      <c r="BB721" s="34" t="n"/>
      <c r="BC721" s="34" t="n"/>
      <c r="BD721" s="34" t="n"/>
      <c r="BE721" s="34" t="n"/>
      <c r="BF721" s="34" t="n"/>
      <c r="BG721" s="34" t="n"/>
      <c r="BH721" s="34" t="n"/>
      <c r="BI721" s="34" t="n"/>
      <c r="BJ721" s="34" t="n"/>
      <c r="BK721" s="34" t="n"/>
      <c r="BL721" s="34" t="n"/>
      <c r="BM721" s="34" t="n"/>
      <c r="BN721" s="34" t="n"/>
      <c r="BO721" s="34" t="n"/>
      <c r="BP721" s="34" t="n"/>
      <c r="BQ721" s="34" t="n"/>
      <c r="BR721" s="82" t="n"/>
      <c r="BS721" s="34" t="n"/>
      <c r="BT721" s="34" t="n"/>
      <c r="BU721" s="34" t="n"/>
      <c r="BV721" s="34" t="n"/>
      <c r="BW721" s="34" t="n"/>
      <c r="BX721" s="34" t="n"/>
      <c r="BY721" s="34" t="n"/>
      <c r="BZ721" s="34" t="n"/>
      <c r="CA721" s="34" t="n"/>
      <c r="CB721" s="33" t="n"/>
      <c r="CC721" s="34" t="n"/>
      <c r="CD721" s="34" t="n"/>
      <c r="CE721" s="82" t="n"/>
      <c r="CF721" s="34" t="n"/>
      <c r="CG721" s="34" t="n"/>
      <c r="CH721" s="34" t="n"/>
      <c r="CI721" s="34" t="n"/>
      <c r="CJ721" s="34" t="n"/>
    </row>
    <row r="722">
      <c r="A722" s="29" t="n"/>
      <c r="B722" s="29" t="n"/>
      <c r="C722" s="35" t="n"/>
      <c r="D722" s="36" t="n"/>
      <c r="E722" s="147" t="n"/>
      <c r="F722" s="30" t="n"/>
      <c r="G722" s="30" t="n"/>
      <c r="H722" s="30" t="n"/>
      <c r="I722" s="30" t="n"/>
      <c r="J722" s="119" t="n"/>
      <c r="K722" s="34" t="n"/>
      <c r="L722" s="119" t="n"/>
      <c r="M722" s="34" t="n"/>
      <c r="N722" s="119" t="n"/>
      <c r="O722" s="34" t="n"/>
      <c r="P722" s="34" t="n"/>
      <c r="Q722" s="117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  <c r="AA722" s="34" t="n"/>
      <c r="AB722" s="34" t="n"/>
      <c r="AC722" s="34" t="n"/>
      <c r="AD722" s="34" t="n"/>
      <c r="AE722" s="34" t="n"/>
      <c r="AF722" s="34" t="n"/>
      <c r="AG722" s="34" t="n"/>
      <c r="AH722" s="34" t="n"/>
      <c r="AK722" s="34" t="n"/>
      <c r="AL722" s="34" t="n"/>
      <c r="AM722" s="39" t="n"/>
      <c r="AN722" s="34" t="n"/>
      <c r="AO722" s="34" t="n"/>
      <c r="AP722" s="34" t="n"/>
      <c r="AQ722" s="34" t="n"/>
      <c r="AR722" s="34" t="n"/>
      <c r="AS722" s="34" t="n"/>
      <c r="AU722" s="34" t="n"/>
      <c r="AV722" s="34" t="n"/>
      <c r="AW722" s="34" t="n"/>
      <c r="AX722" s="34" t="n"/>
      <c r="AY722" s="34" t="n"/>
      <c r="AZ722" s="34" t="n"/>
      <c r="BA722" s="34" t="n"/>
      <c r="BB722" s="34" t="n"/>
      <c r="BC722" s="34" t="n"/>
      <c r="BD722" s="34" t="n"/>
      <c r="BE722" s="34" t="n"/>
      <c r="BF722" s="34" t="n"/>
      <c r="BG722" s="34" t="n"/>
      <c r="BH722" s="34" t="n"/>
      <c r="BI722" s="34" t="n"/>
      <c r="BJ722" s="34" t="n"/>
      <c r="BK722" s="34" t="n"/>
      <c r="BL722" s="34" t="n"/>
      <c r="BM722" s="34" t="n"/>
      <c r="BN722" s="34" t="n"/>
      <c r="BO722" s="34" t="n"/>
      <c r="BP722" s="34" t="n"/>
      <c r="BQ722" s="34" t="n"/>
      <c r="BR722" s="82" t="n"/>
      <c r="BS722" s="34" t="n"/>
      <c r="BT722" s="34" t="n"/>
      <c r="BU722" s="34" t="n"/>
      <c r="BV722" s="34" t="n"/>
      <c r="BW722" s="34" t="n"/>
      <c r="BX722" s="34" t="n"/>
      <c r="BY722" s="34" t="n"/>
      <c r="BZ722" s="34" t="n"/>
      <c r="CA722" s="34" t="n"/>
      <c r="CB722" s="33" t="n"/>
      <c r="CC722" s="34" t="n"/>
      <c r="CD722" s="34" t="n"/>
      <c r="CE722" s="82" t="n"/>
      <c r="CF722" s="34" t="n"/>
      <c r="CG722" s="34" t="n"/>
      <c r="CH722" s="34" t="n"/>
      <c r="CI722" s="34" t="n"/>
      <c r="CJ722" s="34" t="n"/>
    </row>
    <row r="723">
      <c r="A723" s="29" t="n"/>
      <c r="B723" s="29" t="n"/>
      <c r="C723" s="35" t="n"/>
      <c r="D723" s="36" t="n"/>
      <c r="E723" s="147" t="n"/>
      <c r="F723" s="30" t="n"/>
      <c r="G723" s="30" t="n"/>
      <c r="H723" s="30" t="n"/>
      <c r="I723" s="30" t="n"/>
      <c r="J723" s="119" t="n"/>
      <c r="K723" s="34" t="n"/>
      <c r="L723" s="119" t="n"/>
      <c r="M723" s="34" t="n"/>
      <c r="N723" s="119" t="n"/>
      <c r="O723" s="34" t="n"/>
      <c r="P723" s="34" t="n"/>
      <c r="Q723" s="117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  <c r="AA723" s="34" t="n"/>
      <c r="AB723" s="34" t="n"/>
      <c r="AC723" s="34" t="n"/>
      <c r="AD723" s="34" t="n"/>
      <c r="AE723" s="34" t="n"/>
      <c r="AF723" s="34" t="n"/>
      <c r="AG723" s="34" t="n"/>
      <c r="AH723" s="34" t="n"/>
      <c r="AK723" s="34" t="n"/>
      <c r="AL723" s="34" t="n"/>
      <c r="AM723" s="39" t="n"/>
      <c r="AN723" s="34" t="n"/>
      <c r="AO723" s="34" t="n"/>
      <c r="AP723" s="34" t="n"/>
      <c r="AQ723" s="34" t="n"/>
      <c r="AR723" s="34" t="n"/>
      <c r="AS723" s="34" t="n"/>
      <c r="AU723" s="34" t="n"/>
      <c r="AV723" s="34" t="n"/>
      <c r="AW723" s="34" t="n"/>
      <c r="AX723" s="34" t="n"/>
      <c r="AY723" s="34" t="n"/>
      <c r="AZ723" s="34" t="n"/>
      <c r="BA723" s="34" t="n"/>
      <c r="BB723" s="34" t="n"/>
      <c r="BC723" s="34" t="n"/>
      <c r="BD723" s="34" t="n"/>
      <c r="BE723" s="34" t="n"/>
      <c r="BF723" s="34" t="n"/>
      <c r="BG723" s="34" t="n"/>
      <c r="BH723" s="34" t="n"/>
      <c r="BI723" s="34" t="n"/>
      <c r="BJ723" s="34" t="n"/>
      <c r="BK723" s="34" t="n"/>
      <c r="BL723" s="34" t="n"/>
      <c r="BM723" s="34" t="n"/>
      <c r="BN723" s="34" t="n"/>
      <c r="BO723" s="34" t="n"/>
      <c r="BP723" s="34" t="n"/>
      <c r="BQ723" s="34" t="n"/>
      <c r="BR723" s="82" t="n"/>
      <c r="BS723" s="34" t="n"/>
      <c r="BT723" s="34" t="n"/>
      <c r="BU723" s="34" t="n"/>
      <c r="BV723" s="34" t="n"/>
      <c r="BW723" s="34" t="n"/>
      <c r="BX723" s="34" t="n"/>
      <c r="BY723" s="34" t="n"/>
      <c r="BZ723" s="34" t="n"/>
      <c r="CA723" s="34" t="n"/>
      <c r="CB723" s="33" t="n"/>
      <c r="CC723" s="34" t="n"/>
      <c r="CD723" s="34" t="n"/>
      <c r="CE723" s="82" t="n"/>
      <c r="CF723" s="34" t="n"/>
      <c r="CG723" s="34" t="n"/>
      <c r="CH723" s="34" t="n"/>
      <c r="CI723" s="34" t="n"/>
      <c r="CJ723" s="34" t="n"/>
    </row>
    <row r="724">
      <c r="A724" s="29" t="n"/>
      <c r="B724" s="29" t="n"/>
      <c r="C724" s="35" t="n"/>
      <c r="D724" s="36" t="n"/>
      <c r="E724" s="147" t="n"/>
      <c r="F724" s="30" t="n"/>
      <c r="G724" s="30" t="n"/>
      <c r="H724" s="30" t="n"/>
      <c r="I724" s="30" t="n"/>
      <c r="J724" s="119" t="n"/>
      <c r="K724" s="34" t="n"/>
      <c r="L724" s="119" t="n"/>
      <c r="M724" s="34" t="n"/>
      <c r="N724" s="119" t="n"/>
      <c r="O724" s="34" t="n"/>
      <c r="P724" s="34" t="n"/>
      <c r="Q724" s="117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  <c r="AA724" s="34" t="n"/>
      <c r="AB724" s="34" t="n"/>
      <c r="AC724" s="34" t="n"/>
      <c r="AD724" s="34" t="n"/>
      <c r="AE724" s="34" t="n"/>
      <c r="AF724" s="34" t="n"/>
      <c r="AG724" s="34" t="n"/>
      <c r="AH724" s="34" t="n"/>
      <c r="AK724" s="34" t="n"/>
      <c r="AL724" s="34" t="n"/>
      <c r="AM724" s="39" t="n"/>
      <c r="AN724" s="34" t="n"/>
      <c r="AO724" s="34" t="n"/>
      <c r="AP724" s="34" t="n"/>
      <c r="AQ724" s="34" t="n"/>
      <c r="AR724" s="34" t="n"/>
      <c r="AS724" s="34" t="n"/>
      <c r="AU724" s="34" t="n"/>
      <c r="AV724" s="34" t="n"/>
      <c r="AW724" s="34" t="n"/>
      <c r="AX724" s="34" t="n"/>
      <c r="AY724" s="34" t="n"/>
      <c r="AZ724" s="34" t="n"/>
      <c r="BA724" s="34" t="n"/>
      <c r="BB724" s="34" t="n"/>
      <c r="BC724" s="34" t="n"/>
      <c r="BD724" s="34" t="n"/>
      <c r="BE724" s="34" t="n"/>
      <c r="BF724" s="34" t="n"/>
      <c r="BG724" s="34" t="n"/>
      <c r="BH724" s="34" t="n"/>
      <c r="BI724" s="34" t="n"/>
      <c r="BJ724" s="34" t="n"/>
      <c r="BK724" s="34" t="n"/>
      <c r="BL724" s="34" t="n"/>
      <c r="BM724" s="34" t="n"/>
      <c r="BN724" s="34" t="n"/>
      <c r="BO724" s="34" t="n"/>
      <c r="BP724" s="34" t="n"/>
      <c r="BQ724" s="34" t="n"/>
      <c r="BR724" s="82" t="n"/>
      <c r="BS724" s="34" t="n"/>
      <c r="BT724" s="34" t="n"/>
      <c r="BU724" s="34" t="n"/>
      <c r="BV724" s="34" t="n"/>
      <c r="BW724" s="34" t="n"/>
      <c r="BX724" s="34" t="n"/>
      <c r="BY724" s="34" t="n"/>
      <c r="BZ724" s="34" t="n"/>
      <c r="CA724" s="34" t="n"/>
      <c r="CB724" s="33" t="n"/>
      <c r="CC724" s="34" t="n"/>
      <c r="CD724" s="34" t="n"/>
      <c r="CE724" s="82" t="n"/>
      <c r="CF724" s="34" t="n"/>
      <c r="CG724" s="34" t="n"/>
      <c r="CH724" s="34" t="n"/>
      <c r="CI724" s="34" t="n"/>
      <c r="CJ724" s="34" t="n"/>
    </row>
    <row r="725">
      <c r="A725" s="29" t="n"/>
      <c r="B725" s="29" t="n"/>
      <c r="C725" s="35" t="n"/>
      <c r="D725" s="36" t="n"/>
      <c r="E725" s="147" t="n"/>
      <c r="F725" s="30" t="n"/>
      <c r="G725" s="30" t="n"/>
      <c r="H725" s="30" t="n"/>
      <c r="I725" s="30" t="n"/>
      <c r="J725" s="119" t="n"/>
      <c r="K725" s="34" t="n"/>
      <c r="L725" s="119" t="n"/>
      <c r="M725" s="34" t="n"/>
      <c r="N725" s="119" t="n"/>
      <c r="O725" s="34" t="n"/>
      <c r="P725" s="34" t="n"/>
      <c r="Q725" s="117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  <c r="AA725" s="34" t="n"/>
      <c r="AB725" s="34" t="n"/>
      <c r="AC725" s="34" t="n"/>
      <c r="AD725" s="34" t="n"/>
      <c r="AE725" s="34" t="n"/>
      <c r="AF725" s="34" t="n"/>
      <c r="AG725" s="34" t="n"/>
      <c r="AH725" s="34" t="n"/>
      <c r="AK725" s="34" t="n"/>
      <c r="AL725" s="34" t="n"/>
      <c r="AM725" s="39" t="n"/>
      <c r="AN725" s="34" t="n"/>
      <c r="AO725" s="34" t="n"/>
      <c r="AP725" s="34" t="n"/>
      <c r="AQ725" s="34" t="n"/>
      <c r="AR725" s="34" t="n"/>
      <c r="AS725" s="34" t="n"/>
      <c r="AU725" s="34" t="n"/>
      <c r="AV725" s="34" t="n"/>
      <c r="AW725" s="34" t="n"/>
      <c r="AX725" s="34" t="n"/>
      <c r="AY725" s="34" t="n"/>
      <c r="AZ725" s="34" t="n"/>
      <c r="BA725" s="34" t="n"/>
      <c r="BB725" s="34" t="n"/>
      <c r="BC725" s="34" t="n"/>
      <c r="BD725" s="34" t="n"/>
      <c r="BE725" s="34" t="n"/>
      <c r="BF725" s="34" t="n"/>
      <c r="BG725" s="34" t="n"/>
      <c r="BH725" s="34" t="n"/>
      <c r="BI725" s="34" t="n"/>
      <c r="BJ725" s="34" t="n"/>
      <c r="BK725" s="34" t="n"/>
      <c r="BL725" s="34" t="n"/>
      <c r="BM725" s="34" t="n"/>
      <c r="BN725" s="34" t="n"/>
      <c r="BO725" s="34" t="n"/>
      <c r="BP725" s="34" t="n"/>
      <c r="BQ725" s="34" t="n"/>
      <c r="BR725" s="82" t="n"/>
      <c r="BS725" s="34" t="n"/>
      <c r="BT725" s="34" t="n"/>
      <c r="BU725" s="34" t="n"/>
      <c r="BV725" s="34" t="n"/>
      <c r="BW725" s="34" t="n"/>
      <c r="BX725" s="34" t="n"/>
      <c r="BY725" s="34" t="n"/>
      <c r="BZ725" s="34" t="n"/>
      <c r="CA725" s="34" t="n"/>
      <c r="CB725" s="33" t="n"/>
      <c r="CC725" s="34" t="n"/>
      <c r="CD725" s="34" t="n"/>
      <c r="CE725" s="82" t="n"/>
      <c r="CF725" s="34" t="n"/>
      <c r="CG725" s="34" t="n"/>
      <c r="CH725" s="34" t="n"/>
      <c r="CI725" s="34" t="n"/>
      <c r="CJ725" s="34" t="n"/>
    </row>
    <row r="726">
      <c r="A726" s="29" t="n"/>
      <c r="B726" s="29" t="n"/>
      <c r="C726" s="35" t="n"/>
      <c r="D726" s="36" t="n"/>
      <c r="E726" s="147" t="n"/>
      <c r="F726" s="30" t="n"/>
      <c r="G726" s="30" t="n"/>
      <c r="H726" s="30" t="n"/>
      <c r="I726" s="30" t="n"/>
      <c r="J726" s="119" t="n"/>
      <c r="K726" s="34" t="n"/>
      <c r="L726" s="119" t="n"/>
      <c r="M726" s="34" t="n"/>
      <c r="N726" s="119" t="n"/>
      <c r="O726" s="34" t="n"/>
      <c r="P726" s="34" t="n"/>
      <c r="Q726" s="117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  <c r="AA726" s="34" t="n"/>
      <c r="AB726" s="34" t="n"/>
      <c r="AC726" s="34" t="n"/>
      <c r="AD726" s="34" t="n"/>
      <c r="AE726" s="34" t="n"/>
      <c r="AF726" s="34" t="n"/>
      <c r="AG726" s="34" t="n"/>
      <c r="AH726" s="34" t="n"/>
      <c r="AK726" s="34" t="n"/>
      <c r="AL726" s="34" t="n"/>
      <c r="AM726" s="39" t="n"/>
      <c r="AN726" s="34" t="n"/>
      <c r="AO726" s="34" t="n"/>
      <c r="AP726" s="34" t="n"/>
      <c r="AQ726" s="34" t="n"/>
      <c r="AR726" s="34" t="n"/>
      <c r="AS726" s="34" t="n"/>
      <c r="AU726" s="34" t="n"/>
      <c r="AV726" s="34" t="n"/>
      <c r="AW726" s="34" t="n"/>
      <c r="AX726" s="34" t="n"/>
      <c r="AY726" s="34" t="n"/>
      <c r="AZ726" s="34" t="n"/>
      <c r="BA726" s="34" t="n"/>
      <c r="BB726" s="34" t="n"/>
      <c r="BC726" s="34" t="n"/>
      <c r="BD726" s="34" t="n"/>
      <c r="BE726" s="34" t="n"/>
      <c r="BF726" s="34" t="n"/>
      <c r="BG726" s="34" t="n"/>
      <c r="BH726" s="34" t="n"/>
      <c r="BI726" s="34" t="n"/>
      <c r="BJ726" s="34" t="n"/>
      <c r="BK726" s="34" t="n"/>
      <c r="BL726" s="34" t="n"/>
      <c r="BM726" s="34" t="n"/>
      <c r="BN726" s="34" t="n"/>
      <c r="BO726" s="34" t="n"/>
      <c r="BP726" s="34" t="n"/>
      <c r="BQ726" s="34" t="n"/>
      <c r="BR726" s="82" t="n"/>
      <c r="BS726" s="34" t="n"/>
      <c r="BT726" s="34" t="n"/>
      <c r="BU726" s="34" t="n"/>
      <c r="BV726" s="34" t="n"/>
      <c r="BW726" s="34" t="n"/>
      <c r="BX726" s="34" t="n"/>
      <c r="BY726" s="34" t="n"/>
      <c r="BZ726" s="34" t="n"/>
      <c r="CA726" s="34" t="n"/>
      <c r="CB726" s="33" t="n"/>
      <c r="CC726" s="34" t="n"/>
      <c r="CD726" s="34" t="n"/>
      <c r="CE726" s="82" t="n"/>
      <c r="CF726" s="34" t="n"/>
      <c r="CG726" s="34" t="n"/>
      <c r="CH726" s="34" t="n"/>
      <c r="CI726" s="34" t="n"/>
      <c r="CJ726" s="34" t="n"/>
    </row>
    <row r="727">
      <c r="A727" s="29" t="n"/>
      <c r="B727" s="29" t="n"/>
      <c r="C727" s="35" t="n"/>
      <c r="D727" s="36" t="n"/>
      <c r="E727" s="147" t="n"/>
      <c r="F727" s="30" t="n"/>
      <c r="G727" s="30" t="n"/>
      <c r="H727" s="30" t="n"/>
      <c r="I727" s="30" t="n"/>
      <c r="J727" s="119" t="n"/>
      <c r="K727" s="34" t="n"/>
      <c r="L727" s="119" t="n"/>
      <c r="M727" s="34" t="n"/>
      <c r="N727" s="119" t="n"/>
      <c r="O727" s="34" t="n"/>
      <c r="P727" s="34" t="n"/>
      <c r="Q727" s="117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  <c r="AA727" s="34" t="n"/>
      <c r="AB727" s="34" t="n"/>
      <c r="AC727" s="34" t="n"/>
      <c r="AD727" s="34" t="n"/>
      <c r="AE727" s="34" t="n"/>
      <c r="AF727" s="34" t="n"/>
      <c r="AG727" s="34" t="n"/>
      <c r="AH727" s="34" t="n"/>
      <c r="AK727" s="34" t="n"/>
      <c r="AL727" s="34" t="n"/>
      <c r="AM727" s="39" t="n"/>
      <c r="AN727" s="34" t="n"/>
      <c r="AO727" s="34" t="n"/>
      <c r="AP727" s="34" t="n"/>
      <c r="AQ727" s="34" t="n"/>
      <c r="AR727" s="34" t="n"/>
      <c r="AS727" s="34" t="n"/>
      <c r="AU727" s="34" t="n"/>
      <c r="AV727" s="34" t="n"/>
      <c r="AW727" s="34" t="n"/>
      <c r="AX727" s="34" t="n"/>
      <c r="AY727" s="34" t="n"/>
      <c r="AZ727" s="34" t="n"/>
      <c r="BA727" s="34" t="n"/>
      <c r="BB727" s="34" t="n"/>
      <c r="BC727" s="34" t="n"/>
      <c r="BD727" s="34" t="n"/>
      <c r="BE727" s="34" t="n"/>
      <c r="BF727" s="34" t="n"/>
      <c r="BG727" s="34" t="n"/>
      <c r="BH727" s="34" t="n"/>
      <c r="BI727" s="34" t="n"/>
      <c r="BJ727" s="34" t="n"/>
      <c r="BK727" s="34" t="n"/>
      <c r="BL727" s="34" t="n"/>
      <c r="BM727" s="34" t="n"/>
      <c r="BN727" s="34" t="n"/>
      <c r="BO727" s="34" t="n"/>
      <c r="BP727" s="34" t="n"/>
      <c r="BQ727" s="34" t="n"/>
      <c r="BR727" s="82" t="n"/>
      <c r="BS727" s="34" t="n"/>
      <c r="BT727" s="34" t="n"/>
      <c r="BU727" s="34" t="n"/>
      <c r="BV727" s="34" t="n"/>
      <c r="BW727" s="34" t="n"/>
      <c r="BX727" s="34" t="n"/>
      <c r="BY727" s="34" t="n"/>
      <c r="BZ727" s="34" t="n"/>
      <c r="CA727" s="34" t="n"/>
      <c r="CB727" s="33" t="n"/>
      <c r="CC727" s="34" t="n"/>
      <c r="CD727" s="34" t="n"/>
      <c r="CE727" s="82" t="n"/>
      <c r="CF727" s="34" t="n"/>
      <c r="CG727" s="34" t="n"/>
      <c r="CH727" s="34" t="n"/>
      <c r="CI727" s="34" t="n"/>
      <c r="CJ727" s="34" t="n"/>
    </row>
    <row r="728">
      <c r="A728" s="29" t="n"/>
      <c r="B728" s="29" t="n"/>
      <c r="C728" s="35" t="n"/>
      <c r="D728" s="36" t="n"/>
      <c r="E728" s="147" t="n"/>
      <c r="F728" s="30" t="n"/>
      <c r="G728" s="30" t="n"/>
      <c r="H728" s="30" t="n"/>
      <c r="I728" s="30" t="n"/>
      <c r="J728" s="119" t="n"/>
      <c r="K728" s="34" t="n"/>
      <c r="L728" s="119" t="n"/>
      <c r="M728" s="34" t="n"/>
      <c r="N728" s="119" t="n"/>
      <c r="O728" s="34" t="n"/>
      <c r="P728" s="34" t="n"/>
      <c r="Q728" s="117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  <c r="AA728" s="34" t="n"/>
      <c r="AB728" s="34" t="n"/>
      <c r="AC728" s="34" t="n"/>
      <c r="AD728" s="34" t="n"/>
      <c r="AE728" s="34" t="n"/>
      <c r="AF728" s="34" t="n"/>
      <c r="AG728" s="34" t="n"/>
      <c r="AH728" s="34" t="n"/>
      <c r="AK728" s="34" t="n"/>
      <c r="AL728" s="34" t="n"/>
      <c r="AM728" s="39" t="n"/>
      <c r="AN728" s="34" t="n"/>
      <c r="AO728" s="34" t="n"/>
      <c r="AP728" s="34" t="n"/>
      <c r="AQ728" s="34" t="n"/>
      <c r="AR728" s="34" t="n"/>
      <c r="AS728" s="34" t="n"/>
      <c r="AU728" s="34" t="n"/>
      <c r="AV728" s="34" t="n"/>
      <c r="AW728" s="34" t="n"/>
      <c r="AX728" s="34" t="n"/>
      <c r="AY728" s="34" t="n"/>
      <c r="AZ728" s="34" t="n"/>
      <c r="BA728" s="34" t="n"/>
      <c r="BB728" s="34" t="n"/>
      <c r="BC728" s="34" t="n"/>
      <c r="BD728" s="34" t="n"/>
      <c r="BE728" s="34" t="n"/>
      <c r="BF728" s="34" t="n"/>
      <c r="BG728" s="34" t="n"/>
      <c r="BH728" s="34" t="n"/>
      <c r="BI728" s="34" t="n"/>
      <c r="BJ728" s="34" t="n"/>
      <c r="BK728" s="34" t="n"/>
      <c r="BL728" s="34" t="n"/>
      <c r="BM728" s="34" t="n"/>
      <c r="BN728" s="34" t="n"/>
      <c r="BO728" s="34" t="n"/>
      <c r="BP728" s="34" t="n"/>
      <c r="BQ728" s="34" t="n"/>
      <c r="BR728" s="82" t="n"/>
      <c r="BS728" s="34" t="n"/>
      <c r="BT728" s="34" t="n"/>
      <c r="BU728" s="34" t="n"/>
      <c r="BV728" s="34" t="n"/>
      <c r="BW728" s="34" t="n"/>
      <c r="BX728" s="34" t="n"/>
      <c r="BY728" s="34" t="n"/>
      <c r="BZ728" s="34" t="n"/>
      <c r="CA728" s="34" t="n"/>
      <c r="CB728" s="33" t="n"/>
      <c r="CC728" s="34" t="n"/>
      <c r="CD728" s="34" t="n"/>
      <c r="CE728" s="82" t="n"/>
      <c r="CF728" s="34" t="n"/>
      <c r="CG728" s="34" t="n"/>
      <c r="CH728" s="34" t="n"/>
      <c r="CI728" s="34" t="n"/>
      <c r="CJ728" s="34" t="n"/>
    </row>
    <row r="729">
      <c r="A729" s="29" t="n"/>
      <c r="B729" s="29" t="n"/>
      <c r="C729" s="35" t="n"/>
      <c r="D729" s="36" t="n"/>
      <c r="E729" s="147" t="n"/>
      <c r="F729" s="30" t="n"/>
      <c r="G729" s="30" t="n"/>
      <c r="H729" s="30" t="n"/>
      <c r="I729" s="30" t="n"/>
      <c r="J729" s="119" t="n"/>
      <c r="K729" s="34" t="n"/>
      <c r="L729" s="119" t="n"/>
      <c r="M729" s="34" t="n"/>
      <c r="N729" s="119" t="n"/>
      <c r="O729" s="34" t="n"/>
      <c r="P729" s="34" t="n"/>
      <c r="Q729" s="117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  <c r="AA729" s="34" t="n"/>
      <c r="AB729" s="34" t="n"/>
      <c r="AC729" s="34" t="n"/>
      <c r="AD729" s="34" t="n"/>
      <c r="AE729" s="34" t="n"/>
      <c r="AF729" s="34" t="n"/>
      <c r="AG729" s="34" t="n"/>
      <c r="AH729" s="34" t="n"/>
      <c r="AK729" s="34" t="n"/>
      <c r="AL729" s="34" t="n"/>
      <c r="AM729" s="39" t="n"/>
      <c r="AN729" s="34" t="n"/>
      <c r="AO729" s="34" t="n"/>
      <c r="AP729" s="34" t="n"/>
      <c r="AQ729" s="34" t="n"/>
      <c r="AR729" s="34" t="n"/>
      <c r="AS729" s="34" t="n"/>
      <c r="AU729" s="34" t="n"/>
      <c r="AV729" s="34" t="n"/>
      <c r="AW729" s="34" t="n"/>
      <c r="AX729" s="34" t="n"/>
      <c r="AY729" s="34" t="n"/>
      <c r="AZ729" s="34" t="n"/>
      <c r="BA729" s="34" t="n"/>
      <c r="BB729" s="34" t="n"/>
      <c r="BC729" s="34" t="n"/>
      <c r="BD729" s="34" t="n"/>
      <c r="BE729" s="34" t="n"/>
      <c r="BF729" s="34" t="n"/>
      <c r="BG729" s="34" t="n"/>
      <c r="BH729" s="34" t="n"/>
      <c r="BI729" s="34" t="n"/>
      <c r="BJ729" s="34" t="n"/>
      <c r="BK729" s="34" t="n"/>
      <c r="BL729" s="34" t="n"/>
      <c r="BM729" s="34" t="n"/>
      <c r="BN729" s="34" t="n"/>
      <c r="BO729" s="34" t="n"/>
      <c r="BP729" s="34" t="n"/>
      <c r="BQ729" s="34" t="n"/>
      <c r="BR729" s="82" t="n"/>
      <c r="BS729" s="34" t="n"/>
      <c r="BT729" s="34" t="n"/>
      <c r="BU729" s="34" t="n"/>
      <c r="BV729" s="34" t="n"/>
      <c r="BW729" s="34" t="n"/>
      <c r="BX729" s="34" t="n"/>
      <c r="BY729" s="34" t="n"/>
      <c r="BZ729" s="34" t="n"/>
      <c r="CA729" s="34" t="n"/>
      <c r="CB729" s="33" t="n"/>
      <c r="CC729" s="34" t="n"/>
      <c r="CD729" s="34" t="n"/>
      <c r="CE729" s="82" t="n"/>
      <c r="CF729" s="34" t="n"/>
      <c r="CG729" s="34" t="n"/>
      <c r="CH729" s="34" t="n"/>
      <c r="CI729" s="34" t="n"/>
      <c r="CJ729" s="34" t="n"/>
    </row>
    <row r="730">
      <c r="A730" s="29" t="n"/>
      <c r="B730" s="29" t="n"/>
      <c r="C730" s="35" t="n"/>
      <c r="D730" s="36" t="n"/>
      <c r="E730" s="147" t="n"/>
      <c r="F730" s="30" t="n"/>
      <c r="G730" s="30" t="n"/>
      <c r="H730" s="30" t="n"/>
      <c r="I730" s="30" t="n"/>
      <c r="J730" s="119" t="n"/>
      <c r="K730" s="34" t="n"/>
      <c r="L730" s="119" t="n"/>
      <c r="M730" s="34" t="n"/>
      <c r="N730" s="119" t="n"/>
      <c r="O730" s="34" t="n"/>
      <c r="P730" s="34" t="n"/>
      <c r="Q730" s="117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  <c r="AA730" s="34" t="n"/>
      <c r="AB730" s="34" t="n"/>
      <c r="AC730" s="34" t="n"/>
      <c r="AD730" s="34" t="n"/>
      <c r="AE730" s="34" t="n"/>
      <c r="AF730" s="34" t="n"/>
      <c r="AG730" s="34" t="n"/>
      <c r="AH730" s="34" t="n"/>
      <c r="AK730" s="34" t="n"/>
      <c r="AL730" s="34" t="n"/>
      <c r="AM730" s="39" t="n"/>
      <c r="AN730" s="34" t="n"/>
      <c r="AO730" s="34" t="n"/>
      <c r="AP730" s="34" t="n"/>
      <c r="AQ730" s="34" t="n"/>
      <c r="AR730" s="34" t="n"/>
      <c r="AS730" s="34" t="n"/>
      <c r="AU730" s="34" t="n"/>
      <c r="AV730" s="34" t="n"/>
      <c r="AW730" s="34" t="n"/>
      <c r="AX730" s="34" t="n"/>
      <c r="AY730" s="34" t="n"/>
      <c r="AZ730" s="34" t="n"/>
      <c r="BA730" s="34" t="n"/>
      <c r="BB730" s="34" t="n"/>
      <c r="BC730" s="34" t="n"/>
      <c r="BD730" s="34" t="n"/>
      <c r="BE730" s="34" t="n"/>
      <c r="BF730" s="34" t="n"/>
      <c r="BG730" s="34" t="n"/>
      <c r="BH730" s="34" t="n"/>
      <c r="BI730" s="34" t="n"/>
      <c r="BJ730" s="34" t="n"/>
      <c r="BK730" s="34" t="n"/>
      <c r="BL730" s="34" t="n"/>
      <c r="BM730" s="34" t="n"/>
      <c r="BN730" s="34" t="n"/>
      <c r="BO730" s="34" t="n"/>
      <c r="BP730" s="34" t="n"/>
      <c r="BQ730" s="34" t="n"/>
      <c r="BR730" s="82" t="n"/>
      <c r="BS730" s="34" t="n"/>
      <c r="BT730" s="34" t="n"/>
      <c r="BU730" s="34" t="n"/>
      <c r="BV730" s="34" t="n"/>
      <c r="BW730" s="34" t="n"/>
      <c r="BX730" s="34" t="n"/>
      <c r="BY730" s="34" t="n"/>
      <c r="BZ730" s="34" t="n"/>
      <c r="CA730" s="34" t="n"/>
      <c r="CB730" s="33" t="n"/>
      <c r="CC730" s="34" t="n"/>
      <c r="CD730" s="34" t="n"/>
      <c r="CE730" s="82" t="n"/>
      <c r="CF730" s="34" t="n"/>
      <c r="CG730" s="34" t="n"/>
      <c r="CH730" s="34" t="n"/>
      <c r="CI730" s="34" t="n"/>
      <c r="CJ730" s="34" t="n"/>
    </row>
    <row r="731">
      <c r="A731" s="29" t="n"/>
      <c r="B731" s="29" t="n"/>
      <c r="C731" s="35" t="n"/>
      <c r="D731" s="36" t="n"/>
      <c r="E731" s="147" t="n"/>
      <c r="F731" s="30" t="n"/>
      <c r="G731" s="30" t="n"/>
      <c r="H731" s="30" t="n"/>
      <c r="I731" s="30" t="n"/>
      <c r="J731" s="119" t="n"/>
      <c r="K731" s="34" t="n"/>
      <c r="L731" s="119" t="n"/>
      <c r="M731" s="34" t="n"/>
      <c r="N731" s="119" t="n"/>
      <c r="O731" s="34" t="n"/>
      <c r="P731" s="34" t="n"/>
      <c r="Q731" s="117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  <c r="AA731" s="34" t="n"/>
      <c r="AB731" s="34" t="n"/>
      <c r="AC731" s="34" t="n"/>
      <c r="AD731" s="34" t="n"/>
      <c r="AE731" s="34" t="n"/>
      <c r="AF731" s="34" t="n"/>
      <c r="AG731" s="34" t="n"/>
      <c r="AH731" s="34" t="n"/>
      <c r="AK731" s="34" t="n"/>
      <c r="AL731" s="34" t="n"/>
      <c r="AM731" s="39" t="n"/>
      <c r="AN731" s="34" t="n"/>
      <c r="AO731" s="34" t="n"/>
      <c r="AP731" s="34" t="n"/>
      <c r="AQ731" s="34" t="n"/>
      <c r="AR731" s="34" t="n"/>
      <c r="AS731" s="34" t="n"/>
      <c r="AU731" s="34" t="n"/>
      <c r="AV731" s="34" t="n"/>
      <c r="AW731" s="34" t="n"/>
      <c r="AX731" s="34" t="n"/>
      <c r="AY731" s="34" t="n"/>
      <c r="AZ731" s="34" t="n"/>
      <c r="BA731" s="34" t="n"/>
      <c r="BB731" s="34" t="n"/>
      <c r="BC731" s="34" t="n"/>
      <c r="BD731" s="34" t="n"/>
      <c r="BE731" s="34" t="n"/>
      <c r="BF731" s="34" t="n"/>
      <c r="BG731" s="34" t="n"/>
      <c r="BH731" s="34" t="n"/>
      <c r="BI731" s="34" t="n"/>
      <c r="BJ731" s="34" t="n"/>
      <c r="BK731" s="34" t="n"/>
      <c r="BL731" s="34" t="n"/>
      <c r="BM731" s="34" t="n"/>
      <c r="BN731" s="34" t="n"/>
      <c r="BO731" s="34" t="n"/>
      <c r="BP731" s="34" t="n"/>
      <c r="BQ731" s="34" t="n"/>
      <c r="BR731" s="82" t="n"/>
      <c r="BS731" s="34" t="n"/>
      <c r="BT731" s="34" t="n"/>
      <c r="BU731" s="34" t="n"/>
      <c r="BV731" s="34" t="n"/>
      <c r="BW731" s="34" t="n"/>
      <c r="BX731" s="34" t="n"/>
      <c r="BY731" s="34" t="n"/>
      <c r="BZ731" s="34" t="n"/>
      <c r="CA731" s="34" t="n"/>
      <c r="CB731" s="33" t="n"/>
      <c r="CC731" s="34" t="n"/>
      <c r="CD731" s="34" t="n"/>
      <c r="CE731" s="82" t="n"/>
      <c r="CF731" s="34" t="n"/>
      <c r="CG731" s="34" t="n"/>
      <c r="CH731" s="34" t="n"/>
      <c r="CI731" s="34" t="n"/>
      <c r="CJ731" s="34" t="n"/>
    </row>
    <row r="732">
      <c r="A732" s="29" t="n"/>
      <c r="B732" s="29" t="n"/>
      <c r="C732" s="35" t="n"/>
      <c r="D732" s="36" t="n"/>
      <c r="E732" s="147" t="n"/>
      <c r="F732" s="30" t="n"/>
      <c r="G732" s="30" t="n"/>
      <c r="H732" s="30" t="n"/>
      <c r="I732" s="30" t="n"/>
      <c r="J732" s="119" t="n"/>
      <c r="K732" s="34" t="n"/>
      <c r="L732" s="119" t="n"/>
      <c r="M732" s="34" t="n"/>
      <c r="N732" s="119" t="n"/>
      <c r="O732" s="34" t="n"/>
      <c r="P732" s="34" t="n"/>
      <c r="Q732" s="117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  <c r="AA732" s="34" t="n"/>
      <c r="AB732" s="34" t="n"/>
      <c r="AC732" s="34" t="n"/>
      <c r="AD732" s="34" t="n"/>
      <c r="AE732" s="34" t="n"/>
      <c r="AF732" s="34" t="n"/>
      <c r="AG732" s="34" t="n"/>
      <c r="AH732" s="34" t="n"/>
      <c r="AK732" s="34" t="n"/>
      <c r="AL732" s="34" t="n"/>
      <c r="AM732" s="39" t="n"/>
      <c r="AN732" s="34" t="n"/>
      <c r="AO732" s="34" t="n"/>
      <c r="AP732" s="34" t="n"/>
      <c r="AQ732" s="34" t="n"/>
      <c r="AR732" s="34" t="n"/>
      <c r="AS732" s="34" t="n"/>
      <c r="AU732" s="34" t="n"/>
      <c r="AV732" s="34" t="n"/>
      <c r="AW732" s="34" t="n"/>
      <c r="AX732" s="34" t="n"/>
      <c r="AY732" s="34" t="n"/>
      <c r="AZ732" s="34" t="n"/>
      <c r="BA732" s="34" t="n"/>
      <c r="BB732" s="34" t="n"/>
      <c r="BC732" s="34" t="n"/>
      <c r="BD732" s="34" t="n"/>
      <c r="BE732" s="34" t="n"/>
      <c r="BF732" s="34" t="n"/>
      <c r="BG732" s="34" t="n"/>
      <c r="BH732" s="34" t="n"/>
      <c r="BI732" s="34" t="n"/>
      <c r="BJ732" s="34" t="n"/>
      <c r="BK732" s="34" t="n"/>
      <c r="BL732" s="34" t="n"/>
      <c r="BM732" s="34" t="n"/>
      <c r="BN732" s="34" t="n"/>
      <c r="BO732" s="34" t="n"/>
      <c r="BP732" s="34" t="n"/>
      <c r="BQ732" s="34" t="n"/>
      <c r="BR732" s="82" t="n"/>
      <c r="BS732" s="34" t="n"/>
      <c r="BT732" s="34" t="n"/>
      <c r="BU732" s="34" t="n"/>
      <c r="BV732" s="34" t="n"/>
      <c r="BW732" s="34" t="n"/>
      <c r="BX732" s="34" t="n"/>
      <c r="BY732" s="34" t="n"/>
      <c r="BZ732" s="34" t="n"/>
      <c r="CA732" s="34" t="n"/>
      <c r="CB732" s="33" t="n"/>
      <c r="CC732" s="34" t="n"/>
      <c r="CD732" s="34" t="n"/>
      <c r="CE732" s="82" t="n"/>
      <c r="CF732" s="34" t="n"/>
      <c r="CG732" s="34" t="n"/>
      <c r="CH732" s="34" t="n"/>
      <c r="CI732" s="34" t="n"/>
      <c r="CJ732" s="34" t="n"/>
    </row>
    <row r="733">
      <c r="A733" s="29" t="n"/>
      <c r="B733" s="29" t="n"/>
      <c r="C733" s="35" t="n"/>
      <c r="D733" s="36" t="n"/>
      <c r="E733" s="147" t="n"/>
      <c r="F733" s="30" t="n"/>
      <c r="G733" s="30" t="n"/>
      <c r="H733" s="30" t="n"/>
      <c r="I733" s="30" t="n"/>
      <c r="J733" s="119" t="n"/>
      <c r="K733" s="34" t="n"/>
      <c r="L733" s="119" t="n"/>
      <c r="M733" s="34" t="n"/>
      <c r="N733" s="119" t="n"/>
      <c r="O733" s="34" t="n"/>
      <c r="P733" s="34" t="n"/>
      <c r="Q733" s="117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  <c r="AA733" s="34" t="n"/>
      <c r="AB733" s="34" t="n"/>
      <c r="AC733" s="34" t="n"/>
      <c r="AD733" s="34" t="n"/>
      <c r="AE733" s="34" t="n"/>
      <c r="AF733" s="34" t="n"/>
      <c r="AG733" s="34" t="n"/>
      <c r="AH733" s="34" t="n"/>
      <c r="AK733" s="34" t="n"/>
      <c r="AL733" s="34" t="n"/>
      <c r="AM733" s="39" t="n"/>
      <c r="AN733" s="34" t="n"/>
      <c r="AO733" s="34" t="n"/>
      <c r="AP733" s="34" t="n"/>
      <c r="AQ733" s="34" t="n"/>
      <c r="AR733" s="34" t="n"/>
      <c r="AS733" s="34" t="n"/>
      <c r="AU733" s="34" t="n"/>
      <c r="AV733" s="34" t="n"/>
      <c r="AW733" s="34" t="n"/>
      <c r="AX733" s="34" t="n"/>
      <c r="AY733" s="34" t="n"/>
      <c r="AZ733" s="34" t="n"/>
      <c r="BA733" s="34" t="n"/>
      <c r="BB733" s="34" t="n"/>
      <c r="BC733" s="34" t="n"/>
      <c r="BD733" s="34" t="n"/>
      <c r="BE733" s="34" t="n"/>
      <c r="BF733" s="34" t="n"/>
      <c r="BG733" s="34" t="n"/>
      <c r="BH733" s="34" t="n"/>
      <c r="BI733" s="34" t="n"/>
      <c r="BJ733" s="34" t="n"/>
      <c r="BK733" s="34" t="n"/>
      <c r="BL733" s="34" t="n"/>
      <c r="BM733" s="34" t="n"/>
      <c r="BN733" s="34" t="n"/>
      <c r="BO733" s="34" t="n"/>
      <c r="BP733" s="34" t="n"/>
      <c r="BQ733" s="34" t="n"/>
      <c r="BR733" s="82" t="n"/>
      <c r="BS733" s="34" t="n"/>
      <c r="BT733" s="34" t="n"/>
      <c r="BU733" s="34" t="n"/>
      <c r="BV733" s="34" t="n"/>
      <c r="BW733" s="34" t="n"/>
      <c r="BX733" s="34" t="n"/>
      <c r="BY733" s="34" t="n"/>
      <c r="BZ733" s="34" t="n"/>
      <c r="CA733" s="34" t="n"/>
      <c r="CB733" s="33" t="n"/>
      <c r="CC733" s="34" t="n"/>
      <c r="CD733" s="34" t="n"/>
      <c r="CE733" s="82" t="n"/>
      <c r="CF733" s="34" t="n"/>
      <c r="CG733" s="34" t="n"/>
      <c r="CH733" s="34" t="n"/>
      <c r="CI733" s="34" t="n"/>
      <c r="CJ733" s="34" t="n"/>
    </row>
    <row r="734">
      <c r="A734" s="29" t="n"/>
      <c r="B734" s="29" t="n"/>
      <c r="C734" s="35" t="n"/>
      <c r="D734" s="36" t="n"/>
      <c r="E734" s="147" t="n"/>
      <c r="F734" s="30" t="n"/>
      <c r="G734" s="30" t="n"/>
      <c r="H734" s="30" t="n"/>
      <c r="I734" s="30" t="n"/>
      <c r="J734" s="119" t="n"/>
      <c r="K734" s="34" t="n"/>
      <c r="L734" s="119" t="n"/>
      <c r="M734" s="34" t="n"/>
      <c r="N734" s="119" t="n"/>
      <c r="O734" s="34" t="n"/>
      <c r="P734" s="34" t="n"/>
      <c r="Q734" s="117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  <c r="AA734" s="34" t="n"/>
      <c r="AB734" s="34" t="n"/>
      <c r="AC734" s="34" t="n"/>
      <c r="AD734" s="34" t="n"/>
      <c r="AE734" s="34" t="n"/>
      <c r="AF734" s="34" t="n"/>
      <c r="AG734" s="34" t="n"/>
      <c r="AH734" s="34" t="n"/>
      <c r="AK734" s="34" t="n"/>
      <c r="AL734" s="34" t="n"/>
      <c r="AM734" s="39" t="n"/>
      <c r="AN734" s="34" t="n"/>
      <c r="AO734" s="34" t="n"/>
      <c r="AP734" s="34" t="n"/>
      <c r="AQ734" s="34" t="n"/>
      <c r="AR734" s="34" t="n"/>
      <c r="AS734" s="34" t="n"/>
      <c r="AU734" s="34" t="n"/>
      <c r="AV734" s="34" t="n"/>
      <c r="AW734" s="34" t="n"/>
      <c r="AX734" s="34" t="n"/>
      <c r="AY734" s="34" t="n"/>
      <c r="AZ734" s="34" t="n"/>
      <c r="BA734" s="34" t="n"/>
      <c r="BB734" s="34" t="n"/>
      <c r="BC734" s="34" t="n"/>
      <c r="BD734" s="34" t="n"/>
      <c r="BE734" s="34" t="n"/>
      <c r="BF734" s="34" t="n"/>
      <c r="BG734" s="34" t="n"/>
      <c r="BH734" s="34" t="n"/>
      <c r="BI734" s="34" t="n"/>
      <c r="BJ734" s="34" t="n"/>
      <c r="BK734" s="34" t="n"/>
      <c r="BL734" s="34" t="n"/>
      <c r="BM734" s="34" t="n"/>
      <c r="BN734" s="34" t="n"/>
      <c r="BO734" s="34" t="n"/>
      <c r="BP734" s="34" t="n"/>
      <c r="BQ734" s="34" t="n"/>
      <c r="BR734" s="82" t="n"/>
      <c r="BS734" s="34" t="n"/>
      <c r="BT734" s="34" t="n"/>
      <c r="BU734" s="34" t="n"/>
      <c r="BV734" s="34" t="n"/>
      <c r="BW734" s="34" t="n"/>
      <c r="BX734" s="34" t="n"/>
      <c r="BY734" s="34" t="n"/>
      <c r="BZ734" s="34" t="n"/>
      <c r="CA734" s="34" t="n"/>
      <c r="CB734" s="33" t="n"/>
      <c r="CC734" s="34" t="n"/>
      <c r="CD734" s="34" t="n"/>
      <c r="CE734" s="82" t="n"/>
      <c r="CF734" s="34" t="n"/>
      <c r="CG734" s="34" t="n"/>
      <c r="CH734" s="34" t="n"/>
      <c r="CI734" s="34" t="n"/>
      <c r="CJ734" s="34" t="n"/>
    </row>
    <row r="735">
      <c r="A735" s="29" t="n"/>
      <c r="B735" s="29" t="n"/>
      <c r="C735" s="35" t="n"/>
      <c r="D735" s="36" t="n"/>
      <c r="E735" s="147" t="n"/>
      <c r="F735" s="30" t="n"/>
      <c r="G735" s="30" t="n"/>
      <c r="H735" s="30" t="n"/>
      <c r="I735" s="30" t="n"/>
      <c r="J735" s="119" t="n"/>
      <c r="K735" s="34" t="n"/>
      <c r="L735" s="119" t="n"/>
      <c r="M735" s="34" t="n"/>
      <c r="N735" s="119" t="n"/>
      <c r="O735" s="34" t="n"/>
      <c r="P735" s="34" t="n"/>
      <c r="Q735" s="117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  <c r="AA735" s="34" t="n"/>
      <c r="AB735" s="34" t="n"/>
      <c r="AC735" s="34" t="n"/>
      <c r="AD735" s="34" t="n"/>
      <c r="AE735" s="34" t="n"/>
      <c r="AF735" s="34" t="n"/>
      <c r="AG735" s="34" t="n"/>
      <c r="AH735" s="34" t="n"/>
      <c r="AK735" s="34" t="n"/>
      <c r="AL735" s="34" t="n"/>
      <c r="AM735" s="39" t="n"/>
      <c r="AN735" s="34" t="n"/>
      <c r="AO735" s="34" t="n"/>
      <c r="AP735" s="34" t="n"/>
      <c r="AQ735" s="34" t="n"/>
      <c r="AR735" s="34" t="n"/>
      <c r="AS735" s="34" t="n"/>
      <c r="AU735" s="34" t="n"/>
      <c r="AV735" s="34" t="n"/>
      <c r="AW735" s="34" t="n"/>
      <c r="AX735" s="34" t="n"/>
      <c r="AY735" s="34" t="n"/>
      <c r="AZ735" s="34" t="n"/>
      <c r="BA735" s="34" t="n"/>
      <c r="BB735" s="34" t="n"/>
      <c r="BC735" s="34" t="n"/>
      <c r="BD735" s="34" t="n"/>
      <c r="BE735" s="34" t="n"/>
      <c r="BF735" s="34" t="n"/>
      <c r="BG735" s="34" t="n"/>
      <c r="BH735" s="34" t="n"/>
      <c r="BI735" s="34" t="n"/>
      <c r="BJ735" s="34" t="n"/>
      <c r="BK735" s="34" t="n"/>
      <c r="BL735" s="34" t="n"/>
      <c r="BM735" s="34" t="n"/>
      <c r="BN735" s="34" t="n"/>
      <c r="BO735" s="34" t="n"/>
      <c r="BP735" s="34" t="n"/>
      <c r="BQ735" s="34" t="n"/>
      <c r="BR735" s="82" t="n"/>
      <c r="BS735" s="34" t="n"/>
      <c r="BT735" s="34" t="n"/>
      <c r="BU735" s="34" t="n"/>
      <c r="BV735" s="34" t="n"/>
      <c r="BW735" s="34" t="n"/>
      <c r="BX735" s="34" t="n"/>
      <c r="BY735" s="34" t="n"/>
      <c r="BZ735" s="34" t="n"/>
      <c r="CA735" s="34" t="n"/>
      <c r="CB735" s="33" t="n"/>
      <c r="CC735" s="34" t="n"/>
      <c r="CD735" s="34" t="n"/>
      <c r="CE735" s="82" t="n"/>
      <c r="CF735" s="34" t="n"/>
      <c r="CG735" s="34" t="n"/>
      <c r="CH735" s="34" t="n"/>
      <c r="CI735" s="34" t="n"/>
      <c r="CJ735" s="34" t="n"/>
    </row>
    <row r="736">
      <c r="A736" s="29" t="n"/>
      <c r="B736" s="29" t="n"/>
      <c r="C736" s="35" t="n"/>
      <c r="D736" s="36" t="n"/>
      <c r="E736" s="147" t="n"/>
      <c r="F736" s="30" t="n"/>
      <c r="G736" s="30" t="n"/>
      <c r="H736" s="30" t="n"/>
      <c r="I736" s="30" t="n"/>
      <c r="J736" s="119" t="n"/>
      <c r="K736" s="34" t="n"/>
      <c r="L736" s="119" t="n"/>
      <c r="M736" s="34" t="n"/>
      <c r="N736" s="119" t="n"/>
      <c r="O736" s="34" t="n"/>
      <c r="P736" s="34" t="n"/>
      <c r="Q736" s="117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  <c r="AA736" s="34" t="n"/>
      <c r="AB736" s="34" t="n"/>
      <c r="AC736" s="34" t="n"/>
      <c r="AD736" s="34" t="n"/>
      <c r="AE736" s="34" t="n"/>
      <c r="AF736" s="34" t="n"/>
      <c r="AG736" s="34" t="n"/>
      <c r="AH736" s="34" t="n"/>
      <c r="AK736" s="34" t="n"/>
      <c r="AL736" s="34" t="n"/>
      <c r="AM736" s="39" t="n"/>
      <c r="AN736" s="34" t="n"/>
      <c r="AO736" s="34" t="n"/>
      <c r="AP736" s="34" t="n"/>
      <c r="AQ736" s="34" t="n"/>
      <c r="AR736" s="34" t="n"/>
      <c r="AS736" s="34" t="n"/>
      <c r="AU736" s="34" t="n"/>
      <c r="AV736" s="34" t="n"/>
      <c r="AW736" s="34" t="n"/>
      <c r="AX736" s="34" t="n"/>
      <c r="AY736" s="34" t="n"/>
      <c r="AZ736" s="34" t="n"/>
      <c r="BA736" s="34" t="n"/>
      <c r="BB736" s="34" t="n"/>
      <c r="BC736" s="34" t="n"/>
      <c r="BD736" s="34" t="n"/>
      <c r="BE736" s="34" t="n"/>
      <c r="BF736" s="34" t="n"/>
      <c r="BG736" s="34" t="n"/>
      <c r="BH736" s="34" t="n"/>
      <c r="BI736" s="34" t="n"/>
      <c r="BJ736" s="34" t="n"/>
      <c r="BK736" s="34" t="n"/>
      <c r="BL736" s="34" t="n"/>
      <c r="BM736" s="34" t="n"/>
      <c r="BN736" s="34" t="n"/>
      <c r="BO736" s="34" t="n"/>
      <c r="BP736" s="34" t="n"/>
      <c r="BQ736" s="34" t="n"/>
      <c r="BR736" s="82" t="n"/>
      <c r="BS736" s="34" t="n"/>
      <c r="BT736" s="34" t="n"/>
      <c r="BU736" s="34" t="n"/>
      <c r="BV736" s="34" t="n"/>
      <c r="BW736" s="34" t="n"/>
      <c r="BX736" s="34" t="n"/>
      <c r="BY736" s="34" t="n"/>
      <c r="BZ736" s="34" t="n"/>
      <c r="CA736" s="34" t="n"/>
      <c r="CB736" s="33" t="n"/>
      <c r="CC736" s="34" t="n"/>
      <c r="CD736" s="34" t="n"/>
      <c r="CE736" s="82" t="n"/>
      <c r="CF736" s="34" t="n"/>
      <c r="CG736" s="34" t="n"/>
      <c r="CH736" s="34" t="n"/>
      <c r="CI736" s="34" t="n"/>
      <c r="CJ736" s="34" t="n"/>
    </row>
    <row r="737">
      <c r="A737" s="29" t="n"/>
      <c r="B737" s="29" t="n"/>
      <c r="C737" s="35" t="n"/>
      <c r="D737" s="36" t="n"/>
      <c r="E737" s="147" t="n"/>
      <c r="F737" s="30" t="n"/>
      <c r="G737" s="30" t="n"/>
      <c r="H737" s="30" t="n"/>
      <c r="I737" s="30" t="n"/>
      <c r="J737" s="119" t="n"/>
      <c r="K737" s="34" t="n"/>
      <c r="L737" s="119" t="n"/>
      <c r="M737" s="34" t="n"/>
      <c r="N737" s="119" t="n"/>
      <c r="O737" s="34" t="n"/>
      <c r="P737" s="34" t="n"/>
      <c r="Q737" s="117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  <c r="AA737" s="34" t="n"/>
      <c r="AB737" s="34" t="n"/>
      <c r="AC737" s="34" t="n"/>
      <c r="AD737" s="34" t="n"/>
      <c r="AE737" s="34" t="n"/>
      <c r="AF737" s="34" t="n"/>
      <c r="AG737" s="34" t="n"/>
      <c r="AH737" s="34" t="n"/>
      <c r="AK737" s="34" t="n"/>
      <c r="AL737" s="34" t="n"/>
      <c r="AM737" s="39" t="n"/>
      <c r="AN737" s="34" t="n"/>
      <c r="AO737" s="34" t="n"/>
      <c r="AP737" s="34" t="n"/>
      <c r="AQ737" s="34" t="n"/>
      <c r="AR737" s="34" t="n"/>
      <c r="AS737" s="34" t="n"/>
      <c r="AU737" s="34" t="n"/>
      <c r="AV737" s="34" t="n"/>
      <c r="AW737" s="34" t="n"/>
      <c r="AX737" s="34" t="n"/>
      <c r="AY737" s="34" t="n"/>
      <c r="AZ737" s="34" t="n"/>
      <c r="BA737" s="34" t="n"/>
      <c r="BB737" s="34" t="n"/>
      <c r="BC737" s="34" t="n"/>
      <c r="BD737" s="34" t="n"/>
      <c r="BE737" s="34" t="n"/>
      <c r="BF737" s="34" t="n"/>
      <c r="BG737" s="34" t="n"/>
      <c r="BH737" s="34" t="n"/>
      <c r="BI737" s="34" t="n"/>
      <c r="BJ737" s="34" t="n"/>
      <c r="BK737" s="34" t="n"/>
      <c r="BL737" s="34" t="n"/>
      <c r="BM737" s="34" t="n"/>
      <c r="BN737" s="34" t="n"/>
      <c r="BO737" s="34" t="n"/>
      <c r="BP737" s="34" t="n"/>
      <c r="BQ737" s="34" t="n"/>
      <c r="BR737" s="82" t="n"/>
      <c r="BS737" s="34" t="n"/>
      <c r="BT737" s="34" t="n"/>
      <c r="BU737" s="34" t="n"/>
      <c r="BV737" s="34" t="n"/>
      <c r="BW737" s="34" t="n"/>
      <c r="BX737" s="34" t="n"/>
      <c r="BY737" s="34" t="n"/>
      <c r="BZ737" s="34" t="n"/>
      <c r="CA737" s="34" t="n"/>
      <c r="CB737" s="33" t="n"/>
      <c r="CC737" s="34" t="n"/>
      <c r="CD737" s="34" t="n"/>
      <c r="CE737" s="82" t="n"/>
      <c r="CF737" s="34" t="n"/>
      <c r="CG737" s="34" t="n"/>
      <c r="CH737" s="34" t="n"/>
      <c r="CI737" s="34" t="n"/>
      <c r="CJ737" s="34" t="n"/>
    </row>
    <row r="738">
      <c r="A738" s="29" t="n"/>
      <c r="B738" s="29" t="n"/>
      <c r="C738" s="35" t="n"/>
      <c r="D738" s="36" t="n"/>
      <c r="E738" s="147" t="n"/>
      <c r="F738" s="30" t="n"/>
      <c r="G738" s="30" t="n"/>
      <c r="H738" s="30" t="n"/>
      <c r="I738" s="30" t="n"/>
      <c r="J738" s="119" t="n"/>
      <c r="K738" s="34" t="n"/>
      <c r="L738" s="119" t="n"/>
      <c r="M738" s="34" t="n"/>
      <c r="N738" s="119" t="n"/>
      <c r="O738" s="34" t="n"/>
      <c r="P738" s="34" t="n"/>
      <c r="Q738" s="117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  <c r="AA738" s="34" t="n"/>
      <c r="AB738" s="34" t="n"/>
      <c r="AC738" s="34" t="n"/>
      <c r="AD738" s="34" t="n"/>
      <c r="AE738" s="34" t="n"/>
      <c r="AF738" s="34" t="n"/>
      <c r="AG738" s="34" t="n"/>
      <c r="AH738" s="34" t="n"/>
      <c r="AK738" s="34" t="n"/>
      <c r="AL738" s="34" t="n"/>
      <c r="AM738" s="39" t="n"/>
      <c r="AN738" s="34" t="n"/>
      <c r="AO738" s="34" t="n"/>
      <c r="AP738" s="34" t="n"/>
      <c r="AQ738" s="34" t="n"/>
      <c r="AR738" s="34" t="n"/>
      <c r="AS738" s="34" t="n"/>
      <c r="AU738" s="34" t="n"/>
      <c r="AV738" s="34" t="n"/>
      <c r="AW738" s="34" t="n"/>
      <c r="AX738" s="34" t="n"/>
      <c r="AY738" s="34" t="n"/>
      <c r="AZ738" s="34" t="n"/>
      <c r="BA738" s="34" t="n"/>
      <c r="BB738" s="34" t="n"/>
      <c r="BC738" s="34" t="n"/>
      <c r="BD738" s="34" t="n"/>
      <c r="BE738" s="34" t="n"/>
      <c r="BF738" s="34" t="n"/>
      <c r="BG738" s="34" t="n"/>
      <c r="BH738" s="34" t="n"/>
      <c r="BI738" s="34" t="n"/>
      <c r="BJ738" s="34" t="n"/>
      <c r="BK738" s="34" t="n"/>
      <c r="BL738" s="34" t="n"/>
      <c r="BM738" s="34" t="n"/>
      <c r="BN738" s="34" t="n"/>
      <c r="BO738" s="34" t="n"/>
      <c r="BP738" s="34" t="n"/>
      <c r="BQ738" s="34" t="n"/>
      <c r="BR738" s="82" t="n"/>
      <c r="BS738" s="34" t="n"/>
      <c r="BT738" s="34" t="n"/>
      <c r="BU738" s="34" t="n"/>
      <c r="BV738" s="34" t="n"/>
      <c r="BW738" s="34" t="n"/>
      <c r="BX738" s="34" t="n"/>
      <c r="BY738" s="34" t="n"/>
      <c r="BZ738" s="34" t="n"/>
      <c r="CA738" s="34" t="n"/>
      <c r="CB738" s="33" t="n"/>
      <c r="CC738" s="34" t="n"/>
      <c r="CD738" s="34" t="n"/>
      <c r="CE738" s="82" t="n"/>
      <c r="CF738" s="34" t="n"/>
      <c r="CG738" s="34" t="n"/>
      <c r="CH738" s="34" t="n"/>
      <c r="CI738" s="34" t="n"/>
      <c r="CJ738" s="34" t="n"/>
    </row>
    <row r="739">
      <c r="A739" s="29" t="n"/>
      <c r="B739" s="29" t="n"/>
      <c r="C739" s="35" t="n"/>
      <c r="D739" s="36" t="n"/>
      <c r="E739" s="147" t="n"/>
      <c r="F739" s="30" t="n"/>
      <c r="G739" s="30" t="n"/>
      <c r="H739" s="30" t="n"/>
      <c r="I739" s="30" t="n"/>
      <c r="J739" s="119" t="n"/>
      <c r="K739" s="34" t="n"/>
      <c r="L739" s="119" t="n"/>
      <c r="M739" s="34" t="n"/>
      <c r="N739" s="119" t="n"/>
      <c r="O739" s="34" t="n"/>
      <c r="P739" s="34" t="n"/>
      <c r="Q739" s="117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  <c r="AA739" s="34" t="n"/>
      <c r="AB739" s="34" t="n"/>
      <c r="AC739" s="34" t="n"/>
      <c r="AD739" s="34" t="n"/>
      <c r="AE739" s="34" t="n"/>
      <c r="AF739" s="34" t="n"/>
      <c r="AG739" s="34" t="n"/>
      <c r="AH739" s="34" t="n"/>
      <c r="AK739" s="34" t="n"/>
      <c r="AL739" s="34" t="n"/>
      <c r="AM739" s="39" t="n"/>
      <c r="AN739" s="34" t="n"/>
      <c r="AO739" s="34" t="n"/>
      <c r="AP739" s="34" t="n"/>
      <c r="AQ739" s="34" t="n"/>
      <c r="AR739" s="34" t="n"/>
      <c r="AS739" s="34" t="n"/>
      <c r="AU739" s="34" t="n"/>
      <c r="AV739" s="34" t="n"/>
      <c r="AW739" s="34" t="n"/>
      <c r="AX739" s="34" t="n"/>
      <c r="AY739" s="34" t="n"/>
      <c r="AZ739" s="34" t="n"/>
      <c r="BA739" s="34" t="n"/>
      <c r="BB739" s="34" t="n"/>
      <c r="BC739" s="34" t="n"/>
      <c r="BD739" s="34" t="n"/>
      <c r="BE739" s="34" t="n"/>
      <c r="BF739" s="34" t="n"/>
      <c r="BG739" s="34" t="n"/>
      <c r="BH739" s="34" t="n"/>
      <c r="BI739" s="34" t="n"/>
      <c r="BJ739" s="34" t="n"/>
      <c r="BK739" s="34" t="n"/>
      <c r="BL739" s="34" t="n"/>
      <c r="BM739" s="34" t="n"/>
      <c r="BN739" s="34" t="n"/>
      <c r="BO739" s="34" t="n"/>
      <c r="BP739" s="34" t="n"/>
      <c r="BQ739" s="34" t="n"/>
      <c r="BR739" s="82" t="n"/>
      <c r="BS739" s="34" t="n"/>
      <c r="BT739" s="34" t="n"/>
      <c r="BU739" s="34" t="n"/>
      <c r="BV739" s="34" t="n"/>
      <c r="BW739" s="34" t="n"/>
      <c r="BX739" s="34" t="n"/>
      <c r="BY739" s="34" t="n"/>
      <c r="BZ739" s="34" t="n"/>
      <c r="CA739" s="34" t="n"/>
      <c r="CB739" s="33" t="n"/>
      <c r="CC739" s="34" t="n"/>
      <c r="CD739" s="34" t="n"/>
      <c r="CE739" s="82" t="n"/>
      <c r="CF739" s="34" t="n"/>
      <c r="CG739" s="34" t="n"/>
      <c r="CH739" s="34" t="n"/>
      <c r="CI739" s="34" t="n"/>
      <c r="CJ739" s="34" t="n"/>
    </row>
    <row r="740">
      <c r="A740" s="29" t="n"/>
      <c r="B740" s="29" t="n"/>
      <c r="C740" s="35" t="n"/>
      <c r="D740" s="36" t="n"/>
      <c r="E740" s="147" t="n"/>
      <c r="F740" s="30" t="n"/>
      <c r="G740" s="30" t="n"/>
      <c r="H740" s="30" t="n"/>
      <c r="I740" s="30" t="n"/>
      <c r="J740" s="119" t="n"/>
      <c r="K740" s="34" t="n"/>
      <c r="L740" s="119" t="n"/>
      <c r="M740" s="34" t="n"/>
      <c r="N740" s="119" t="n"/>
      <c r="O740" s="34" t="n"/>
      <c r="P740" s="34" t="n"/>
      <c r="Q740" s="117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  <c r="AA740" s="34" t="n"/>
      <c r="AB740" s="34" t="n"/>
      <c r="AC740" s="34" t="n"/>
      <c r="AD740" s="34" t="n"/>
      <c r="AE740" s="34" t="n"/>
      <c r="AF740" s="34" t="n"/>
      <c r="AG740" s="34" t="n"/>
      <c r="AH740" s="34" t="n"/>
      <c r="AK740" s="34" t="n"/>
      <c r="AL740" s="34" t="n"/>
      <c r="AM740" s="39" t="n"/>
      <c r="AN740" s="34" t="n"/>
      <c r="AO740" s="34" t="n"/>
      <c r="AP740" s="34" t="n"/>
      <c r="AQ740" s="34" t="n"/>
      <c r="AR740" s="34" t="n"/>
      <c r="AS740" s="34" t="n"/>
      <c r="AU740" s="34" t="n"/>
      <c r="AV740" s="34" t="n"/>
      <c r="AW740" s="34" t="n"/>
      <c r="AX740" s="34" t="n"/>
      <c r="AY740" s="34" t="n"/>
      <c r="AZ740" s="34" t="n"/>
      <c r="BA740" s="34" t="n"/>
      <c r="BB740" s="34" t="n"/>
      <c r="BC740" s="34" t="n"/>
      <c r="BD740" s="34" t="n"/>
      <c r="BE740" s="34" t="n"/>
      <c r="BF740" s="34" t="n"/>
      <c r="BG740" s="34" t="n"/>
      <c r="BH740" s="34" t="n"/>
      <c r="BI740" s="34" t="n"/>
      <c r="BJ740" s="34" t="n"/>
      <c r="BK740" s="34" t="n"/>
      <c r="BL740" s="34" t="n"/>
      <c r="BM740" s="34" t="n"/>
      <c r="BN740" s="34" t="n"/>
      <c r="BO740" s="34" t="n"/>
      <c r="BP740" s="34" t="n"/>
      <c r="BQ740" s="34" t="n"/>
      <c r="BR740" s="82" t="n"/>
      <c r="BS740" s="34" t="n"/>
      <c r="BT740" s="34" t="n"/>
      <c r="BU740" s="34" t="n"/>
      <c r="BV740" s="34" t="n"/>
      <c r="BW740" s="34" t="n"/>
      <c r="BX740" s="34" t="n"/>
      <c r="BY740" s="34" t="n"/>
      <c r="BZ740" s="34" t="n"/>
      <c r="CA740" s="34" t="n"/>
      <c r="CB740" s="33" t="n"/>
      <c r="CC740" s="34" t="n"/>
      <c r="CD740" s="34" t="n"/>
      <c r="CE740" s="82" t="n"/>
      <c r="CF740" s="34" t="n"/>
      <c r="CG740" s="34" t="n"/>
      <c r="CH740" s="34" t="n"/>
      <c r="CI740" s="34" t="n"/>
      <c r="CJ740" s="34" t="n"/>
    </row>
    <row r="741">
      <c r="A741" s="29" t="n"/>
      <c r="B741" s="29" t="n"/>
      <c r="C741" s="35" t="n"/>
      <c r="D741" s="36" t="n"/>
      <c r="E741" s="147" t="n"/>
      <c r="F741" s="30" t="n"/>
      <c r="G741" s="30" t="n"/>
      <c r="H741" s="30" t="n"/>
      <c r="I741" s="30" t="n"/>
      <c r="J741" s="119" t="n"/>
      <c r="K741" s="34" t="n"/>
      <c r="L741" s="119" t="n"/>
      <c r="M741" s="34" t="n"/>
      <c r="N741" s="119" t="n"/>
      <c r="O741" s="34" t="n"/>
      <c r="P741" s="34" t="n"/>
      <c r="Q741" s="117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  <c r="AA741" s="34" t="n"/>
      <c r="AB741" s="34" t="n"/>
      <c r="AC741" s="34" t="n"/>
      <c r="AD741" s="34" t="n"/>
      <c r="AE741" s="34" t="n"/>
      <c r="AF741" s="34" t="n"/>
      <c r="AG741" s="34" t="n"/>
      <c r="AH741" s="34" t="n"/>
      <c r="AK741" s="34" t="n"/>
      <c r="AL741" s="34" t="n"/>
      <c r="AM741" s="39" t="n"/>
      <c r="AN741" s="34" t="n"/>
      <c r="AO741" s="34" t="n"/>
      <c r="AP741" s="34" t="n"/>
      <c r="AQ741" s="34" t="n"/>
      <c r="AR741" s="34" t="n"/>
      <c r="AS741" s="34" t="n"/>
      <c r="AU741" s="34" t="n"/>
      <c r="AV741" s="34" t="n"/>
      <c r="AW741" s="34" t="n"/>
      <c r="AX741" s="34" t="n"/>
      <c r="AY741" s="34" t="n"/>
      <c r="AZ741" s="34" t="n"/>
      <c r="BA741" s="34" t="n"/>
      <c r="BB741" s="34" t="n"/>
      <c r="BC741" s="34" t="n"/>
      <c r="BD741" s="34" t="n"/>
      <c r="BE741" s="34" t="n"/>
      <c r="BF741" s="34" t="n"/>
      <c r="BG741" s="34" t="n"/>
      <c r="BH741" s="34" t="n"/>
      <c r="BI741" s="34" t="n"/>
      <c r="BJ741" s="34" t="n"/>
      <c r="BK741" s="34" t="n"/>
      <c r="BL741" s="34" t="n"/>
      <c r="BM741" s="34" t="n"/>
      <c r="BN741" s="34" t="n"/>
      <c r="BO741" s="34" t="n"/>
      <c r="BP741" s="34" t="n"/>
      <c r="BQ741" s="34" t="n"/>
      <c r="BR741" s="82" t="n"/>
      <c r="BS741" s="34" t="n"/>
      <c r="BT741" s="34" t="n"/>
      <c r="BU741" s="34" t="n"/>
      <c r="BV741" s="34" t="n"/>
      <c r="BW741" s="34" t="n"/>
      <c r="BX741" s="34" t="n"/>
      <c r="BY741" s="34" t="n"/>
      <c r="BZ741" s="34" t="n"/>
      <c r="CA741" s="34" t="n"/>
      <c r="CB741" s="33" t="n"/>
      <c r="CC741" s="34" t="n"/>
      <c r="CD741" s="34" t="n"/>
      <c r="CE741" s="82" t="n"/>
      <c r="CF741" s="34" t="n"/>
      <c r="CG741" s="34" t="n"/>
      <c r="CH741" s="34" t="n"/>
      <c r="CI741" s="34" t="n"/>
      <c r="CJ741" s="34" t="n"/>
    </row>
    <row r="742">
      <c r="A742" s="29" t="n"/>
      <c r="B742" s="29" t="n"/>
      <c r="C742" s="35" t="n"/>
      <c r="D742" s="36" t="n"/>
      <c r="E742" s="147" t="n"/>
      <c r="F742" s="30" t="n"/>
      <c r="G742" s="30" t="n"/>
      <c r="H742" s="30" t="n"/>
      <c r="I742" s="30" t="n"/>
      <c r="J742" s="119" t="n"/>
      <c r="K742" s="34" t="n"/>
      <c r="L742" s="119" t="n"/>
      <c r="M742" s="34" t="n"/>
      <c r="N742" s="119" t="n"/>
      <c r="O742" s="34" t="n"/>
      <c r="P742" s="34" t="n"/>
      <c r="Q742" s="117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  <c r="AA742" s="34" t="n"/>
      <c r="AB742" s="34" t="n"/>
      <c r="AC742" s="34" t="n"/>
      <c r="AD742" s="34" t="n"/>
      <c r="AE742" s="34" t="n"/>
      <c r="AF742" s="34" t="n"/>
      <c r="AG742" s="34" t="n"/>
      <c r="AH742" s="34" t="n"/>
      <c r="AK742" s="34" t="n"/>
      <c r="AL742" s="34" t="n"/>
      <c r="AM742" s="39" t="n"/>
      <c r="AN742" s="34" t="n"/>
      <c r="AO742" s="34" t="n"/>
      <c r="AP742" s="34" t="n"/>
      <c r="AQ742" s="34" t="n"/>
      <c r="AR742" s="34" t="n"/>
      <c r="AS742" s="34" t="n"/>
      <c r="AU742" s="34" t="n"/>
      <c r="AV742" s="34" t="n"/>
      <c r="AW742" s="34" t="n"/>
      <c r="AX742" s="34" t="n"/>
      <c r="AY742" s="34" t="n"/>
      <c r="AZ742" s="34" t="n"/>
      <c r="BA742" s="34" t="n"/>
      <c r="BB742" s="34" t="n"/>
      <c r="BC742" s="34" t="n"/>
      <c r="BD742" s="34" t="n"/>
      <c r="BE742" s="34" t="n"/>
      <c r="BF742" s="34" t="n"/>
      <c r="BG742" s="34" t="n"/>
      <c r="BH742" s="34" t="n"/>
      <c r="BI742" s="34" t="n"/>
      <c r="BJ742" s="34" t="n"/>
      <c r="BK742" s="34" t="n"/>
      <c r="BL742" s="34" t="n"/>
      <c r="BM742" s="34" t="n"/>
      <c r="BN742" s="34" t="n"/>
      <c r="BO742" s="34" t="n"/>
      <c r="BP742" s="34" t="n"/>
      <c r="BQ742" s="34" t="n"/>
      <c r="BR742" s="82" t="n"/>
      <c r="BS742" s="34" t="n"/>
      <c r="BT742" s="34" t="n"/>
      <c r="BU742" s="34" t="n"/>
      <c r="BV742" s="34" t="n"/>
      <c r="BW742" s="34" t="n"/>
      <c r="BX742" s="34" t="n"/>
      <c r="BY742" s="34" t="n"/>
      <c r="BZ742" s="34" t="n"/>
      <c r="CA742" s="34" t="n"/>
      <c r="CB742" s="33" t="n"/>
      <c r="CC742" s="34" t="n"/>
      <c r="CD742" s="34" t="n"/>
      <c r="CE742" s="82" t="n"/>
      <c r="CF742" s="34" t="n"/>
      <c r="CG742" s="34" t="n"/>
      <c r="CH742" s="34" t="n"/>
      <c r="CI742" s="34" t="n"/>
      <c r="CJ742" s="34" t="n"/>
    </row>
    <row r="743">
      <c r="A743" s="29" t="n"/>
      <c r="B743" s="29" t="n"/>
      <c r="C743" s="35" t="n"/>
      <c r="D743" s="36" t="n"/>
      <c r="E743" s="147" t="n"/>
      <c r="F743" s="30" t="n"/>
      <c r="G743" s="30" t="n"/>
      <c r="H743" s="30" t="n"/>
      <c r="I743" s="30" t="n"/>
      <c r="J743" s="119" t="n"/>
      <c r="K743" s="34" t="n"/>
      <c r="L743" s="119" t="n"/>
      <c r="M743" s="34" t="n"/>
      <c r="N743" s="119" t="n"/>
      <c r="O743" s="34" t="n"/>
      <c r="P743" s="34" t="n"/>
      <c r="Q743" s="117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  <c r="AA743" s="34" t="n"/>
      <c r="AB743" s="34" t="n"/>
      <c r="AC743" s="34" t="n"/>
      <c r="AD743" s="34" t="n"/>
      <c r="AE743" s="34" t="n"/>
      <c r="AF743" s="34" t="n"/>
      <c r="AG743" s="34" t="n"/>
      <c r="AH743" s="34" t="n"/>
      <c r="AK743" s="34" t="n"/>
      <c r="AL743" s="34" t="n"/>
      <c r="AM743" s="39" t="n"/>
      <c r="AN743" s="34" t="n"/>
      <c r="AO743" s="34" t="n"/>
      <c r="AP743" s="34" t="n"/>
      <c r="AQ743" s="34" t="n"/>
      <c r="AR743" s="34" t="n"/>
      <c r="AS743" s="34" t="n"/>
      <c r="AU743" s="34" t="n"/>
      <c r="AV743" s="34" t="n"/>
      <c r="AW743" s="34" t="n"/>
      <c r="AX743" s="34" t="n"/>
      <c r="AY743" s="34" t="n"/>
      <c r="AZ743" s="34" t="n"/>
      <c r="BA743" s="34" t="n"/>
      <c r="BB743" s="34" t="n"/>
      <c r="BC743" s="34" t="n"/>
      <c r="BD743" s="34" t="n"/>
      <c r="BE743" s="34" t="n"/>
      <c r="BF743" s="34" t="n"/>
      <c r="BG743" s="34" t="n"/>
      <c r="BH743" s="34" t="n"/>
      <c r="BI743" s="34" t="n"/>
      <c r="BJ743" s="34" t="n"/>
      <c r="BK743" s="34" t="n"/>
      <c r="BL743" s="34" t="n"/>
      <c r="BM743" s="34" t="n"/>
      <c r="BN743" s="34" t="n"/>
      <c r="BO743" s="34" t="n"/>
      <c r="BP743" s="34" t="n"/>
      <c r="BQ743" s="34" t="n"/>
      <c r="BR743" s="82" t="n"/>
      <c r="BS743" s="34" t="n"/>
      <c r="BT743" s="34" t="n"/>
      <c r="BU743" s="34" t="n"/>
      <c r="BV743" s="34" t="n"/>
      <c r="BW743" s="34" t="n"/>
      <c r="BX743" s="34" t="n"/>
      <c r="BY743" s="34" t="n"/>
      <c r="BZ743" s="34" t="n"/>
      <c r="CA743" s="34" t="n"/>
      <c r="CB743" s="33" t="n"/>
      <c r="CC743" s="34" t="n"/>
      <c r="CD743" s="34" t="n"/>
      <c r="CE743" s="82" t="n"/>
      <c r="CF743" s="34" t="n"/>
      <c r="CG743" s="34" t="n"/>
      <c r="CH743" s="34" t="n"/>
      <c r="CI743" s="34" t="n"/>
      <c r="CJ743" s="34" t="n"/>
    </row>
    <row r="744">
      <c r="A744" s="29" t="n"/>
      <c r="B744" s="29" t="n"/>
      <c r="C744" s="35" t="n"/>
      <c r="D744" s="36" t="n"/>
      <c r="E744" s="147" t="n"/>
      <c r="F744" s="30" t="n"/>
      <c r="G744" s="30" t="n"/>
      <c r="H744" s="30" t="n"/>
      <c r="I744" s="30" t="n"/>
      <c r="J744" s="119" t="n"/>
      <c r="K744" s="34" t="n"/>
      <c r="L744" s="119" t="n"/>
      <c r="M744" s="34" t="n"/>
      <c r="N744" s="119" t="n"/>
      <c r="O744" s="34" t="n"/>
      <c r="P744" s="34" t="n"/>
      <c r="Q744" s="117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  <c r="AA744" s="34" t="n"/>
      <c r="AB744" s="34" t="n"/>
      <c r="AC744" s="34" t="n"/>
      <c r="AD744" s="34" t="n"/>
      <c r="AE744" s="34" t="n"/>
      <c r="AF744" s="34" t="n"/>
      <c r="AG744" s="34" t="n"/>
      <c r="AH744" s="34" t="n"/>
      <c r="AK744" s="34" t="n"/>
      <c r="AL744" s="34" t="n"/>
      <c r="AM744" s="39" t="n"/>
      <c r="AN744" s="34" t="n"/>
      <c r="AO744" s="34" t="n"/>
      <c r="AP744" s="34" t="n"/>
      <c r="AQ744" s="34" t="n"/>
      <c r="AR744" s="34" t="n"/>
      <c r="AS744" s="34" t="n"/>
      <c r="AU744" s="34" t="n"/>
      <c r="AV744" s="34" t="n"/>
      <c r="AW744" s="34" t="n"/>
      <c r="AX744" s="34" t="n"/>
      <c r="AY744" s="34" t="n"/>
      <c r="AZ744" s="34" t="n"/>
      <c r="BA744" s="34" t="n"/>
      <c r="BB744" s="34" t="n"/>
      <c r="BC744" s="34" t="n"/>
      <c r="BD744" s="34" t="n"/>
      <c r="BE744" s="34" t="n"/>
      <c r="BF744" s="34" t="n"/>
      <c r="BG744" s="34" t="n"/>
      <c r="BH744" s="34" t="n"/>
      <c r="BI744" s="34" t="n"/>
      <c r="BJ744" s="34" t="n"/>
      <c r="BK744" s="34" t="n"/>
      <c r="BL744" s="34" t="n"/>
      <c r="BM744" s="34" t="n"/>
      <c r="BN744" s="34" t="n"/>
      <c r="BO744" s="34" t="n"/>
      <c r="BP744" s="34" t="n"/>
      <c r="BQ744" s="34" t="n"/>
      <c r="BR744" s="82" t="n"/>
      <c r="BS744" s="34" t="n"/>
      <c r="BT744" s="34" t="n"/>
      <c r="BU744" s="34" t="n"/>
      <c r="BV744" s="34" t="n"/>
      <c r="BW744" s="34" t="n"/>
      <c r="BX744" s="34" t="n"/>
      <c r="BY744" s="34" t="n"/>
      <c r="BZ744" s="34" t="n"/>
      <c r="CA744" s="34" t="n"/>
      <c r="CB744" s="33" t="n"/>
      <c r="CC744" s="34" t="n"/>
      <c r="CD744" s="34" t="n"/>
      <c r="CE744" s="82" t="n"/>
      <c r="CF744" s="34" t="n"/>
      <c r="CG744" s="34" t="n"/>
      <c r="CH744" s="34" t="n"/>
      <c r="CI744" s="34" t="n"/>
      <c r="CJ744" s="34" t="n"/>
    </row>
    <row r="745">
      <c r="A745" s="29" t="n"/>
      <c r="B745" s="29" t="n"/>
      <c r="C745" s="35" t="n"/>
      <c r="D745" s="36" t="n"/>
      <c r="E745" s="147" t="n"/>
      <c r="F745" s="30" t="n"/>
      <c r="G745" s="30" t="n"/>
      <c r="H745" s="30" t="n"/>
      <c r="I745" s="30" t="n"/>
      <c r="J745" s="119" t="n"/>
      <c r="K745" s="34" t="n"/>
      <c r="L745" s="119" t="n"/>
      <c r="M745" s="34" t="n"/>
      <c r="N745" s="119" t="n"/>
      <c r="O745" s="34" t="n"/>
      <c r="P745" s="34" t="n"/>
      <c r="Q745" s="117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  <c r="AA745" s="34" t="n"/>
      <c r="AB745" s="34" t="n"/>
      <c r="AC745" s="34" t="n"/>
      <c r="AD745" s="34" t="n"/>
      <c r="AE745" s="34" t="n"/>
      <c r="AF745" s="34" t="n"/>
      <c r="AG745" s="34" t="n"/>
      <c r="AH745" s="34" t="n"/>
      <c r="AK745" s="34" t="n"/>
      <c r="AL745" s="34" t="n"/>
      <c r="AM745" s="39" t="n"/>
      <c r="AN745" s="34" t="n"/>
      <c r="AO745" s="34" t="n"/>
      <c r="AP745" s="34" t="n"/>
      <c r="AQ745" s="34" t="n"/>
      <c r="AR745" s="34" t="n"/>
      <c r="AS745" s="34" t="n"/>
      <c r="AU745" s="34" t="n"/>
      <c r="AV745" s="34" t="n"/>
      <c r="AW745" s="34" t="n"/>
      <c r="AX745" s="34" t="n"/>
      <c r="AY745" s="34" t="n"/>
      <c r="AZ745" s="34" t="n"/>
      <c r="BA745" s="34" t="n"/>
      <c r="BB745" s="34" t="n"/>
      <c r="BC745" s="34" t="n"/>
      <c r="BD745" s="34" t="n"/>
      <c r="BE745" s="34" t="n"/>
      <c r="BF745" s="34" t="n"/>
      <c r="BG745" s="34" t="n"/>
      <c r="BH745" s="34" t="n"/>
      <c r="BI745" s="34" t="n"/>
      <c r="BJ745" s="34" t="n"/>
      <c r="BK745" s="34" t="n"/>
      <c r="BL745" s="34" t="n"/>
      <c r="BM745" s="34" t="n"/>
      <c r="BN745" s="34" t="n"/>
      <c r="BO745" s="34" t="n"/>
      <c r="BP745" s="34" t="n"/>
      <c r="BQ745" s="34" t="n"/>
      <c r="BR745" s="82" t="n"/>
      <c r="BS745" s="34" t="n"/>
      <c r="BT745" s="34" t="n"/>
      <c r="BU745" s="34" t="n"/>
      <c r="BV745" s="34" t="n"/>
      <c r="BW745" s="34" t="n"/>
      <c r="BX745" s="34" t="n"/>
      <c r="BY745" s="34" t="n"/>
      <c r="BZ745" s="34" t="n"/>
      <c r="CA745" s="34" t="n"/>
      <c r="CB745" s="33" t="n"/>
      <c r="CC745" s="34" t="n"/>
      <c r="CD745" s="34" t="n"/>
      <c r="CE745" s="82" t="n"/>
      <c r="CF745" s="34" t="n"/>
      <c r="CG745" s="34" t="n"/>
      <c r="CH745" s="34" t="n"/>
      <c r="CI745" s="34" t="n"/>
      <c r="CJ745" s="34" t="n"/>
    </row>
    <row r="746">
      <c r="A746" s="29" t="n"/>
      <c r="B746" s="29" t="n"/>
      <c r="C746" s="35" t="n"/>
      <c r="D746" s="36" t="n"/>
      <c r="E746" s="147" t="n"/>
      <c r="F746" s="30" t="n"/>
      <c r="G746" s="30" t="n"/>
      <c r="H746" s="30" t="n"/>
      <c r="I746" s="30" t="n"/>
      <c r="J746" s="119" t="n"/>
      <c r="K746" s="34" t="n"/>
      <c r="L746" s="119" t="n"/>
      <c r="M746" s="34" t="n"/>
      <c r="N746" s="119" t="n"/>
      <c r="O746" s="34" t="n"/>
      <c r="P746" s="34" t="n"/>
      <c r="Q746" s="117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  <c r="AA746" s="34" t="n"/>
      <c r="AB746" s="34" t="n"/>
      <c r="AC746" s="34" t="n"/>
      <c r="AD746" s="34" t="n"/>
      <c r="AE746" s="34" t="n"/>
      <c r="AF746" s="34" t="n"/>
      <c r="AG746" s="34" t="n"/>
      <c r="AH746" s="34" t="n"/>
      <c r="AK746" s="34" t="n"/>
      <c r="AL746" s="34" t="n"/>
      <c r="AM746" s="39" t="n"/>
      <c r="AN746" s="34" t="n"/>
      <c r="AO746" s="34" t="n"/>
      <c r="AP746" s="34" t="n"/>
      <c r="AQ746" s="34" t="n"/>
      <c r="AR746" s="34" t="n"/>
      <c r="AS746" s="34" t="n"/>
      <c r="AU746" s="34" t="n"/>
      <c r="AV746" s="34" t="n"/>
      <c r="AW746" s="34" t="n"/>
      <c r="AX746" s="34" t="n"/>
      <c r="AY746" s="34" t="n"/>
      <c r="AZ746" s="34" t="n"/>
      <c r="BA746" s="34" t="n"/>
      <c r="BB746" s="34" t="n"/>
      <c r="BC746" s="34" t="n"/>
      <c r="BD746" s="34" t="n"/>
      <c r="BE746" s="34" t="n"/>
      <c r="BF746" s="34" t="n"/>
      <c r="BG746" s="34" t="n"/>
      <c r="BH746" s="34" t="n"/>
      <c r="BI746" s="34" t="n"/>
      <c r="BJ746" s="34" t="n"/>
      <c r="BK746" s="34" t="n"/>
      <c r="BL746" s="34" t="n"/>
      <c r="BM746" s="34" t="n"/>
      <c r="BN746" s="34" t="n"/>
      <c r="BO746" s="34" t="n"/>
      <c r="BP746" s="34" t="n"/>
      <c r="BQ746" s="34" t="n"/>
      <c r="BR746" s="82" t="n"/>
      <c r="BS746" s="34" t="n"/>
      <c r="BT746" s="34" t="n"/>
      <c r="BU746" s="34" t="n"/>
      <c r="BV746" s="34" t="n"/>
      <c r="BW746" s="34" t="n"/>
      <c r="BX746" s="34" t="n"/>
      <c r="BY746" s="34" t="n"/>
      <c r="BZ746" s="34" t="n"/>
      <c r="CA746" s="34" t="n"/>
      <c r="CB746" s="33" t="n"/>
      <c r="CC746" s="34" t="n"/>
      <c r="CD746" s="34" t="n"/>
      <c r="CE746" s="82" t="n"/>
      <c r="CF746" s="34" t="n"/>
      <c r="CG746" s="34" t="n"/>
      <c r="CH746" s="34" t="n"/>
      <c r="CI746" s="34" t="n"/>
      <c r="CJ746" s="34" t="n"/>
    </row>
    <row r="747">
      <c r="E747" s="146" t="n"/>
    </row>
    <row r="748">
      <c r="E748" s="146" t="n"/>
    </row>
    <row r="749">
      <c r="E749" s="146" t="n"/>
    </row>
    <row r="750">
      <c r="E750" s="146" t="n"/>
    </row>
    <row r="751">
      <c r="E751" s="146" t="n"/>
    </row>
    <row r="752">
      <c r="E752" s="146" t="n"/>
    </row>
    <row r="753">
      <c r="E753" s="146" t="n"/>
    </row>
    <row r="754">
      <c r="E754" s="146" t="n"/>
    </row>
    <row r="755">
      <c r="E755" s="146" t="n"/>
    </row>
    <row r="756">
      <c r="E756" s="146" t="n"/>
    </row>
    <row r="757">
      <c r="E757" s="146" t="n"/>
    </row>
    <row r="758">
      <c r="E758" s="146" t="n"/>
    </row>
    <row r="759">
      <c r="E759" s="146" t="n"/>
    </row>
    <row r="760">
      <c r="E760" s="146" t="n"/>
    </row>
    <row r="761">
      <c r="E761" s="146" t="n"/>
    </row>
    <row r="762">
      <c r="E762" s="146" t="n"/>
    </row>
    <row r="763">
      <c r="E763" s="146" t="n"/>
    </row>
    <row r="764">
      <c r="E764" s="146" t="n"/>
    </row>
    <row r="765">
      <c r="E765" s="146" t="n"/>
    </row>
    <row r="766">
      <c r="E766" s="146" t="n"/>
    </row>
    <row r="767">
      <c r="E767" s="146" t="n"/>
    </row>
    <row r="768">
      <c r="E768" s="146" t="n"/>
    </row>
    <row r="769">
      <c r="E769" s="146" t="n"/>
    </row>
    <row r="770">
      <c r="E770" s="146" t="n"/>
    </row>
  </sheetData>
  <mergeCells count="5">
    <mergeCell ref="AP1:AV1"/>
    <mergeCell ref="BV1:CH1"/>
    <mergeCell ref="BI1:BP1"/>
    <mergeCell ref="AB1:AH1"/>
    <mergeCell ref="AI1:AO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Yaren Polat</dc:creator>
  <dcterms:created xsi:type="dcterms:W3CDTF">2025-04-28T12:01:41Z</dcterms:created>
  <dcterms:modified xsi:type="dcterms:W3CDTF">2026-07-10T08:57:06Z</dcterms:modified>
  <cp:lastModifiedBy>Yaren Polat</cp:lastModifiedBy>
  <cp:lastPrinted>2026-07-09T12:34:07Z</cp:lastPrinted>
</cp:coreProperties>
</file>